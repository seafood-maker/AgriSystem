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7EF22258-8445-46D7-A4C1-8EB132023FDC}" xr6:coauthVersionLast="47" xr6:coauthVersionMax="47" xr10:uidLastSave="{00000000-0000-0000-0000-000000000000}"/>
  <bookViews>
    <workbookView xWindow="-14505" yWindow="0" windowWidth="14610" windowHeight="15585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54" i="3" l="1"/>
  <c r="T2255" i="3" s="1"/>
  <c r="T2201" i="3"/>
  <c r="T2199" i="3"/>
  <c r="U1708" i="3"/>
  <c r="U1709" i="3" s="1"/>
  <c r="U1706" i="3"/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<sst xmlns="http://schemas.openxmlformats.org/spreadsheetml/2006/main" count="31479" uniqueCount="5897">
  <si>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</si>
  <si>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</si>
  <si>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</si>
  <si>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</si>
  <si>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</si>
  <si>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</si>
  <si>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</si>
  <si>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</si>
  <si>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</si>
  <si>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</si>
  <si>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</si>
  <si>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</si>
  <si>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</si>
  <si>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</si>
  <si>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</si>
  <si>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</si>
  <si>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</si>
  <si>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</si>
  <si>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</si>
  <si>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</si>
  <si>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</si>
  <si>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</si>
  <si>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</si>
  <si>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</si>
  <si>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</si>
  <si>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</si>
  <si>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</si>
  <si>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</si>
  <si>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</si>
  <si>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</si>
  <si>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</si>
  <si>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</si>
  <si>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</si>
  <si>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</si>
  <si>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</si>
  <si>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</si>
  <si>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</si>
  <si>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</si>
  <si>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</si>
  <si>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</si>
  <si>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</si>
  <si>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</si>
  <si>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</si>
  <si>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</si>
  <si>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</si>
  <si>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</si>
  <si>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</si>
  <si>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</si>
  <si>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</si>
  <si>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</si>
  <si>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</si>
  <si>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</si>
  <si>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</si>
  <si>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</si>
  <si>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</si>
  <si>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</si>
  <si>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</si>
  <si>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</si>
  <si>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</si>
  <si>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</si>
  <si>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</si>
  <si>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</si>
  <si>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</si>
  <si>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</si>
  <si>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</si>
  <si>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</si>
  <si>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</si>
  <si>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</si>
  <si>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</si>
  <si>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</si>
  <si>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</si>
  <si>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</si>
  <si>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</si>
  <si>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</si>
  <si>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</si>
  <si>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</si>
  <si>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</si>
  <si>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</si>
  <si>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</si>
  <si>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</si>
  <si>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</si>
  <si>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</si>
  <si>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</si>
  <si>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</si>
  <si>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</si>
  <si>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</si>
  <si>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</si>
  <si>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</si>
  <si>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</si>
  <si>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</si>
  <si>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</si>
  <si>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</si>
  <si>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</si>
  <si>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</si>
  <si>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</si>
  <si>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</si>
  <si>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</si>
  <si>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</si>
  <si>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</si>
  <si>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</si>
  <si>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</si>
  <si>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</si>
  <si>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</si>
  <si>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</si>
  <si>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</si>
  <si>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</si>
  <si>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</si>
  <si>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</si>
  <si>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</si>
  <si>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</si>
  <si>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</si>
  <si>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</si>
  <si>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</si>
  <si>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</si>
  <si>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</si>
  <si>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</si>
  <si>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</si>
  <si>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</si>
  <si>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</si>
  <si>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</si>
  <si>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</si>
  <si>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</si>
  <si>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</si>
  <si>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</si>
  <si>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</si>
  <si>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</si>
  <si>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</si>
  <si>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</si>
  <si>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</si>
  <si>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</si>
  <si>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</si>
  <si>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</si>
  <si>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</si>
  <si>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</si>
  <si>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</si>
  <si>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</si>
  <si>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</si>
  <si>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</si>
  <si>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</si>
  <si>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</si>
  <si>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</si>
  <si>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</si>
  <si>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</si>
  <si>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</si>
  <si>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</si>
  <si>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</si>
  <si>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</si>
  <si>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</si>
  <si>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</si>
  <si>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</si>
  <si>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</si>
  <si>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</si>
  <si>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</si>
  <si>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</si>
  <si>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</si>
  <si>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</si>
  <si>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</si>
  <si>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</si>
  <si>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</si>
  <si>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</si>
  <si>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</si>
  <si>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</si>
  <si>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</si>
  <si>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</si>
  <si>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</si>
  <si>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</si>
  <si>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</si>
  <si>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</si>
  <si>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</si>
  <si>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</si>
  <si>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</si>
  <si>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</si>
  <si>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</si>
  <si>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</si>
  <si>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</si>
  <si>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</si>
  <si>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</si>
  <si>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</si>
  <si>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</si>
  <si>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</si>
  <si>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</si>
  <si>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</si>
  <si>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</si>
  <si>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</si>
  <si>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</si>
  <si>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</si>
  <si>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</si>
  <si>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</si>
  <si>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</si>
  <si>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</si>
  <si>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</si>
  <si>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</si>
  <si>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</si>
  <si>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</si>
  <si>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</si>
  <si>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</si>
  <si>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</si>
  <si>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</si>
  <si>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</si>
  <si>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</si>
  <si>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</si>
  <si>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</si>
  <si>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</si>
  <si>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</si>
  <si>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</si>
  <si>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</si>
  <si>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</si>
  <si>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</si>
  <si>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</si>
  <si>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</si>
  <si>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</si>
  <si>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</si>
  <si>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</si>
  <si>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</si>
  <si>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</si>
  <si>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</si>
  <si>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</si>
  <si>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</si>
  <si>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</si>
  <si>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</si>
  <si>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</si>
  <si>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</si>
  <si>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</si>
  <si>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</si>
  <si>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</si>
  <si>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</si>
  <si>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</si>
  <si>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</si>
  <si>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</si>
  <si>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</si>
  <si>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</si>
  <si>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</si>
  <si>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</si>
  <si>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</si>
  <si>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</si>
  <si>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</si>
  <si>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</si>
  <si>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</si>
  <si>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</si>
  <si>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</si>
  <si>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</si>
  <si>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</si>
  <si>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</si>
  <si>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</si>
  <si>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</si>
  <si>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</si>
  <si>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</si>
  <si>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</si>
  <si>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</si>
  <si>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</si>
  <si>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</si>
  <si>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</si>
  <si>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</si>
  <si>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</si>
  <si>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</si>
  <si>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</si>
  <si>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</si>
  <si>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</si>
  <si>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</si>
  <si>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</si>
  <si>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</si>
  <si>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</si>
  <si>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</si>
  <si>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</si>
  <si>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</si>
  <si>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</si>
  <si>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</si>
  <si>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</si>
  <si>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</si>
  <si>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</si>
  <si>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</si>
  <si>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</si>
  <si>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</si>
  <si>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</si>
  <si>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</si>
  <si>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</si>
  <si>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</si>
  <si>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</si>
  <si>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</si>
  <si>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</si>
  <si>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</si>
  <si>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</si>
  <si>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</si>
  <si>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</si>
  <si>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</si>
  <si>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</si>
  <si>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</si>
  <si>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</si>
  <si>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</si>
  <si>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</si>
  <si>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</si>
  <si>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</si>
  <si>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</si>
  <si>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</si>
  <si>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</si>
  <si>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</si>
  <si>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</si>
  <si>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</si>
  <si>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</si>
  <si>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</si>
  <si>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</si>
  <si>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</si>
  <si>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</si>
  <si>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</si>
  <si>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</si>
  <si>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</si>
  <si>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</si>
  <si>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</si>
  <si>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</si>
  <si>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</si>
  <si>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</si>
  <si>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</si>
  <si>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</si>
  <si>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</si>
  <si>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</si>
  <si>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</si>
  <si>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</si>
  <si>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</si>
  <si>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</si>
  <si>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</si>
  <si>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</si>
  <si>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</si>
  <si>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</si>
  <si>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</si>
  <si>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</si>
  <si>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</si>
  <si>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</si>
  <si>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</si>
  <si>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</si>
  <si>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</si>
  <si>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</si>
  <si>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</si>
  <si>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</si>
  <si>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</si>
  <si>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</si>
  <si>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</si>
  <si>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</si>
  <si>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</si>
  <si>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</si>
  <si>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</si>
  <si>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</si>
  <si>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</si>
  <si>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</si>
  <si>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</si>
  <si>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</si>
  <si>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</si>
  <si>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</si>
  <si>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</si>
  <si>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</si>
  <si>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</si>
  <si>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</si>
  <si>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</si>
  <si>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</si>
  <si>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</si>
  <si>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</si>
  <si>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</si>
  <si>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</si>
  <si>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</si>
  <si>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</si>
  <si>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</si>
  <si>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</si>
  <si>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</si>
  <si>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</si>
  <si>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</si>
  <si>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</si>
  <si>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</si>
  <si>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</si>
  <si>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</si>
  <si>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</si>
  <si>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</si>
  <si>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</si>
  <si>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</si>
  <si>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</si>
  <si>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</si>
  <si>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</si>
  <si>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</si>
  <si>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</si>
  <si>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</si>
  <si>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</si>
  <si>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</si>
  <si>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</si>
  <si>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</si>
  <si>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</si>
  <si>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</si>
  <si>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</si>
  <si>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</si>
  <si>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</si>
  <si>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</si>
  <si>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</si>
  <si>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</si>
  <si>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</si>
  <si>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</si>
  <si>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</si>
  <si>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</si>
  <si>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</si>
  <si>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</si>
  <si>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</si>
  <si>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</si>
  <si>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</si>
  <si>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</si>
  <si>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</si>
  <si>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</si>
  <si>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</si>
  <si>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</si>
  <si>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</si>
  <si>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</si>
  <si>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</si>
  <si>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</si>
  <si>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</si>
  <si>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</si>
  <si>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</si>
  <si>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</si>
  <si>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</si>
  <si>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</si>
  <si>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</si>
  <si>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</si>
  <si>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</si>
  <si>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</si>
  <si>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</si>
  <si>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</si>
  <si>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</si>
  <si>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</si>
  <si>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</si>
  <si>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</si>
  <si>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</si>
  <si>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</si>
  <si>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</si>
  <si>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</si>
  <si>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</si>
  <si>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</si>
  <si>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</si>
  <si>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</si>
  <si>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</si>
  <si>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</si>
  <si>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</si>
  <si>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</si>
  <si>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</si>
  <si>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</si>
  <si>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</si>
  <si>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</si>
  <si>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</si>
  <si>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</si>
  <si>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</si>
  <si>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</si>
  <si>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</si>
  <si>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</si>
  <si>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</si>
  <si>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</si>
  <si>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</si>
  <si>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</si>
  <si>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</si>
  <si>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</si>
  <si>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</si>
  <si>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</si>
  <si>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</si>
  <si>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</si>
  <si>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</si>
  <si>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</si>
  <si>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</si>
  <si>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</si>
  <si>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</si>
  <si>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</si>
  <si>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</si>
  <si>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</si>
  <si>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</si>
  <si>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</si>
  <si>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</si>
  <si>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</si>
  <si>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</si>
  <si>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</si>
  <si>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</si>
  <si>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</si>
  <si>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</si>
  <si>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</si>
  <si>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</si>
  <si>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</si>
  <si>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</si>
  <si>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</si>
  <si>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</si>
  <si>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</si>
  <si>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</si>
  <si>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</si>
  <si>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</si>
  <si>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</si>
  <si>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</si>
  <si>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</si>
  <si>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</si>
  <si>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</si>
  <si>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</si>
  <si>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</si>
  <si>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</si>
  <si>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</si>
  <si>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</si>
  <si>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</si>
  <si>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</si>
  <si>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</si>
  <si>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</si>
  <si>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</si>
  <si>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</si>
  <si>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</si>
  <si>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</si>
  <si>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</si>
  <si>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</si>
  <si>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</si>
  <si>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</si>
  <si>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</si>
  <si>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</si>
  <si>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</si>
  <si>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</si>
  <si>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</si>
  <si>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</si>
  <si>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</si>
  <si>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</si>
  <si>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</si>
  <si>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</si>
  <si>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</si>
  <si>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</si>
  <si>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</si>
  <si>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</si>
  <si>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</si>
  <si>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</si>
  <si>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</si>
  <si>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</si>
  <si>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</si>
  <si>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</si>
  <si>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</si>
  <si>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</si>
  <si>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</si>
  <si>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</si>
  <si>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</si>
  <si>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</si>
  <si>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</si>
  <si>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</si>
  <si>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</si>
  <si>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</si>
  <si>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</si>
  <si>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</si>
  <si>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</si>
  <si>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</si>
  <si>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</si>
  <si>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</si>
  <si>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</si>
  <si>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</si>
  <si>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</si>
  <si>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</si>
  <si>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</si>
  <si>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</si>
  <si>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</si>
  <si>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</si>
  <si>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</si>
  <si>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</si>
  <si>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</si>
  <si>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</si>
  <si>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</si>
  <si>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</si>
  <si>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</si>
  <si>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</si>
  <si>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</si>
  <si>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</si>
  <si>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</si>
  <si>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</si>
  <si>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</si>
  <si>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</si>
  <si>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</si>
  <si>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</si>
  <si>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</si>
  <si>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</si>
  <si>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</si>
  <si>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</si>
  <si>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</si>
  <si>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</si>
  <si>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</si>
  <si>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</si>
  <si>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</si>
  <si>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</si>
  <si>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</si>
  <si>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</si>
  <si>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</si>
  <si>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</si>
  <si>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</si>
  <si>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</si>
  <si>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</si>
  <si>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</si>
  <si>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</si>
  <si>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</si>
  <si>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</si>
  <si>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</si>
  <si>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</si>
  <si>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</si>
  <si>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</si>
  <si>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</si>
  <si>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</si>
  <si>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</si>
  <si>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</si>
  <si>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</si>
  <si>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</si>
  <si>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</si>
  <si>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</si>
  <si>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</si>
  <si>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</si>
  <si>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</si>
  <si>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</si>
  <si>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</si>
  <si>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</si>
  <si>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</si>
  <si>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</si>
  <si>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</si>
  <si>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</si>
  <si>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</si>
  <si>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</si>
  <si>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</si>
  <si>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</si>
  <si>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</si>
  <si>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</si>
  <si>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</si>
  <si>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</si>
  <si>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</si>
  <si>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</si>
  <si>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</si>
  <si>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</si>
  <si>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</si>
  <si>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</si>
  <si>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</si>
  <si>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</si>
  <si>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</si>
  <si>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</si>
  <si>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</si>
  <si>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</si>
  <si>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</si>
  <si>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</si>
  <si>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</si>
  <si>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</si>
  <si>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</si>
  <si>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</si>
  <si>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</si>
  <si>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</si>
  <si>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</si>
  <si>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</si>
  <si>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</si>
  <si>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</si>
  <si>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</si>
  <si>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</si>
  <si>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</si>
  <si>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</si>
  <si>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</si>
  <si>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</si>
  <si>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</si>
  <si>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</si>
  <si>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</si>
  <si>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</si>
  <si>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</si>
  <si>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</si>
  <si>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</si>
  <si>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</si>
  <si>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</si>
  <si>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</si>
  <si>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</si>
  <si>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</si>
  <si>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</si>
  <si>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</si>
  <si>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</si>
  <si>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</si>
  <si>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</si>
  <si>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</si>
  <si>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</si>
  <si>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</si>
  <si>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</si>
  <si>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</si>
  <si>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</si>
  <si>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</si>
  <si>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</si>
  <si>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</si>
  <si>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</si>
  <si>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</si>
  <si>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</si>
  <si>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</si>
  <si>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</si>
  <si>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</si>
  <si>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</si>
  <si>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</si>
  <si>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</si>
  <si>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</si>
  <si>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</si>
  <si>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</si>
  <si>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</si>
  <si>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</si>
  <si>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</si>
  <si>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</si>
  <si>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</si>
  <si>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</si>
  <si>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</si>
  <si>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</si>
  <si>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</si>
  <si>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</si>
  <si>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</si>
  <si>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</si>
  <si>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</si>
  <si>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</si>
  <si>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</si>
  <si>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</si>
  <si>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</si>
  <si>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</si>
  <si>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</si>
  <si>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</si>
  <si>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</si>
  <si>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</si>
  <si>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</si>
  <si>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</si>
  <si>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</si>
  <si>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</si>
  <si>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</si>
  <si>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</si>
  <si>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</si>
  <si>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</si>
  <si>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</si>
  <si>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</si>
  <si>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</si>
  <si>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</si>
  <si>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</si>
  <si>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</si>
  <si>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</si>
  <si>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</si>
  <si>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</si>
  <si>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</si>
  <si>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</si>
  <si>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</si>
  <si>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</si>
  <si>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</si>
  <si>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</si>
  <si>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</si>
  <si>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</si>
  <si>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</si>
  <si>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</si>
  <si>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</si>
  <si>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</si>
  <si>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</si>
  <si>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</si>
  <si>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</si>
  <si>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</si>
  <si>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</si>
  <si>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</si>
  <si>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</si>
  <si>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</si>
  <si>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</si>
  <si>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</si>
  <si>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</si>
  <si>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</si>
  <si>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</si>
  <si>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</si>
  <si>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</si>
  <si>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</si>
  <si>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</si>
  <si>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</si>
  <si>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</si>
  <si>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</si>
  <si>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</si>
  <si>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</si>
  <si>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</si>
  <si>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</si>
  <si>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</si>
  <si>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</si>
  <si>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</si>
  <si>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</si>
  <si>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</si>
  <si>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</si>
  <si>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</si>
  <si>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</si>
  <si>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</si>
  <si>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</si>
  <si>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</si>
  <si>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</si>
  <si>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</si>
  <si>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</si>
  <si>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</si>
  <si>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</si>
  <si>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</si>
  <si>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</si>
  <si>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</si>
  <si>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</si>
  <si>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</si>
  <si>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</si>
  <si>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</si>
  <si>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</si>
  <si>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</si>
  <si>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</si>
  <si>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</si>
  <si>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</si>
  <si>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</si>
  <si>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</si>
  <si>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</si>
  <si>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</si>
  <si>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</si>
  <si>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</si>
  <si>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</si>
  <si>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</si>
  <si>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</si>
  <si>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</si>
  <si>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</si>
  <si>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</si>
  <si>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</si>
  <si>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</si>
  <si>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</si>
  <si>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</si>
  <si>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</si>
  <si>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</si>
  <si>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</si>
  <si>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</si>
  <si>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</si>
  <si>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</si>
  <si>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</si>
  <si>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</si>
  <si>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</si>
  <si>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</si>
  <si>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</si>
  <si>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</si>
  <si>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</si>
  <si>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</si>
  <si>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</si>
  <si>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</si>
  <si>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</si>
  <si>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</si>
  <si>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</si>
  <si>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</si>
  <si>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</si>
  <si>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</si>
  <si>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</si>
  <si>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</si>
  <si>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</si>
  <si>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</si>
  <si>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</si>
  <si>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</si>
  <si>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</si>
  <si>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</si>
  <si>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</si>
  <si>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</si>
  <si>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</si>
  <si>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</si>
  <si>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</si>
  <si>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</si>
  <si>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</si>
  <si>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</si>
  <si>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</si>
  <si>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</si>
  <si>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</si>
  <si>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</si>
  <si>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</si>
  <si>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</si>
  <si>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</si>
  <si>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</si>
  <si>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</si>
  <si>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</si>
  <si>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</si>
  <si>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</si>
  <si>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</si>
  <si>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</si>
  <si>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</si>
  <si>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</si>
  <si>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</si>
  <si>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</si>
  <si>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</si>
  <si>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</si>
  <si>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</si>
  <si>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</si>
  <si>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</si>
  <si>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</si>
  <si>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</si>
  <si>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</si>
  <si>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</si>
  <si>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</si>
  <si>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</si>
  <si>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</si>
  <si>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</si>
  <si>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</si>
  <si>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</si>
  <si>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</si>
  <si>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</si>
  <si>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</si>
  <si>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</si>
  <si>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</si>
  <si>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</si>
  <si>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</si>
  <si>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</si>
  <si>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</si>
  <si>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</si>
  <si>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</si>
  <si>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</si>
  <si>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</si>
  <si>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</si>
  <si>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</si>
  <si>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</si>
  <si>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</si>
  <si>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</si>
  <si>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</si>
  <si>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</si>
  <si>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</si>
  <si>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</si>
  <si>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</si>
  <si>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</si>
  <si>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</si>
  <si>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</si>
  <si>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</si>
  <si>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</si>
  <si>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</si>
  <si>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</si>
  <si>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</si>
  <si>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</si>
  <si>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</si>
  <si>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</si>
  <si>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</si>
  <si>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</si>
  <si>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</si>
  <si>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</si>
  <si>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</si>
  <si>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</si>
  <si>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</si>
  <si>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</si>
  <si>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</si>
  <si>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</si>
  <si>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</si>
  <si>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</si>
  <si>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</si>
  <si>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</si>
  <si>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</si>
  <si>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</si>
  <si>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</si>
  <si>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</si>
  <si>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</si>
  <si>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</si>
  <si>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</si>
  <si>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</si>
  <si>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</si>
  <si>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</si>
  <si>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</si>
  <si>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</si>
  <si>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</si>
  <si>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</si>
  <si>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</si>
  <si>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</si>
  <si>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</si>
  <si>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</si>
  <si>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</si>
  <si>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</si>
  <si>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</si>
  <si>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</si>
  <si>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</si>
  <si>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</si>
  <si>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</si>
  <si>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</si>
  <si>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</si>
  <si>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</si>
  <si>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</si>
  <si>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</si>
  <si>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</si>
  <si>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</si>
  <si>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</si>
  <si>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</si>
  <si>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</si>
  <si>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</si>
  <si>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</si>
  <si>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</si>
  <si>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</si>
  <si>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</si>
  <si>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</si>
  <si>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</si>
  <si>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</si>
  <si>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</si>
  <si>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</si>
  <si>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</si>
  <si>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</si>
  <si>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</si>
  <si>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</si>
  <si>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</si>
  <si>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</si>
  <si>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</si>
  <si>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</si>
  <si>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</si>
  <si>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</si>
  <si>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</si>
  <si>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</si>
  <si>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</si>
  <si>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</si>
  <si>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</si>
  <si>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</si>
  <si>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</si>
  <si>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</si>
  <si>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</si>
  <si>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</si>
  <si>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</si>
  <si>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</si>
  <si>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</si>
  <si>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</si>
  <si>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</si>
  <si>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</si>
  <si>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</si>
  <si>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</si>
  <si>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</si>
  <si>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</si>
  <si>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</si>
  <si>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</si>
  <si>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</si>
  <si>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</si>
  <si>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</si>
  <si>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</si>
  <si>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</si>
  <si>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</si>
  <si>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</si>
  <si>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</si>
  <si>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</si>
  <si>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</si>
  <si>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</si>
  <si>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</si>
  <si>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</si>
  <si>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</si>
  <si>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</si>
  <si>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</si>
  <si>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</si>
  <si>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</si>
  <si>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</si>
  <si>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</si>
  <si>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</si>
  <si>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</si>
  <si>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</si>
  <si>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</si>
  <si>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</si>
  <si>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</si>
  <si>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</si>
  <si>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</si>
  <si>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</si>
  <si>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</si>
  <si>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</si>
  <si>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</si>
  <si>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</si>
  <si>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</si>
  <si>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</si>
  <si>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</si>
  <si>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</si>
  <si>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</si>
  <si>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</si>
  <si>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</si>
  <si>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</si>
  <si>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</si>
  <si>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</si>
  <si>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</si>
  <si>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</si>
  <si>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</si>
  <si>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</si>
  <si>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</si>
  <si>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</si>
  <si>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</si>
  <si>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</si>
  <si>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</si>
  <si>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</si>
  <si>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</si>
  <si>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</si>
  <si>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</si>
  <si>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</si>
  <si>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</si>
  <si>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</si>
  <si>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</si>
  <si>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</si>
  <si>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</si>
  <si>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</si>
  <si>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</si>
  <si>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</si>
  <si>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</si>
  <si>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</si>
  <si>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</si>
  <si>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</si>
  <si>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</si>
  <si>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</si>
  <si>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</si>
  <si>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</si>
  <si>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</si>
  <si>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</si>
  <si>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</si>
  <si>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</si>
  <si>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</si>
  <si>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</si>
  <si>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</si>
  <si>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</si>
  <si>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</si>
  <si>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</si>
  <si>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</si>
  <si>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</si>
  <si>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</si>
  <si>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</si>
  <si>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</si>
  <si>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</si>
  <si>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</si>
  <si>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</si>
  <si>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</si>
  <si>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</si>
  <si>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</si>
  <si>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</si>
  <si>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</si>
  <si>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</si>
  <si>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</si>
  <si>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</si>
  <si>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</si>
  <si>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</si>
  <si>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</si>
  <si>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</si>
  <si>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</si>
  <si>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</si>
  <si>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</si>
  <si>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</si>
  <si>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</si>
  <si>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</si>
  <si>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</si>
  <si>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</si>
  <si>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</si>
  <si>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</si>
  <si>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</si>
  <si>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</si>
  <si>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</si>
  <si>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</si>
  <si>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</si>
  <si>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</si>
  <si>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</si>
  <si>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</si>
  <si>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</si>
  <si>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</si>
  <si>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</si>
  <si>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</si>
  <si>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</si>
  <si>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</si>
  <si>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</si>
  <si>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</si>
  <si>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</si>
  <si>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</si>
  <si>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</si>
  <si>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</si>
  <si>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</si>
  <si>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</si>
  <si>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</si>
  <si>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</si>
  <si>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</si>
  <si>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</si>
  <si>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</si>
  <si>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</si>
  <si>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</si>
  <si>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</si>
  <si>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</si>
  <si>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</si>
  <si>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</si>
  <si>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</si>
  <si>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</si>
  <si>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</si>
  <si>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</si>
  <si>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</si>
  <si>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</si>
  <si>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</si>
  <si>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</si>
  <si>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</si>
  <si>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</si>
  <si>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</si>
  <si>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</si>
  <si>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</si>
  <si>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</si>
  <si>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</si>
  <si>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</si>
  <si>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</si>
  <si>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</si>
  <si>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</si>
  <si>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</si>
  <si>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</si>
  <si>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</si>
  <si>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</si>
  <si>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</si>
  <si>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</si>
  <si>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</si>
  <si>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</si>
  <si>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</si>
  <si>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</si>
  <si>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</si>
  <si>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</si>
  <si>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</si>
  <si>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</si>
  <si>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</si>
  <si>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</si>
  <si>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</si>
  <si>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</si>
  <si>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</si>
  <si>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</si>
  <si>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</si>
  <si>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</si>
  <si>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</si>
  <si>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</si>
  <si>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</si>
  <si>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</si>
  <si>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</si>
  <si>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</si>
  <si>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</si>
  <si>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</si>
  <si>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</si>
  <si>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</si>
  <si>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</si>
  <si>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</si>
  <si>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</si>
  <si>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</si>
  <si>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</si>
  <si>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</si>
  <si>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</si>
  <si>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</si>
  <si>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</si>
  <si>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</si>
  <si>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</si>
  <si>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</si>
  <si>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</si>
  <si>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</si>
  <si>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</si>
  <si>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</si>
  <si>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</si>
  <si>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</si>
  <si>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</si>
  <si>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</si>
  <si>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</si>
  <si>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</si>
  <si>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</si>
  <si>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</si>
  <si>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</si>
  <si>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</si>
  <si>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</si>
  <si>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</si>
  <si>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</si>
  <si>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</si>
  <si>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</si>
  <si>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</si>
  <si>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</si>
  <si>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</si>
  <si>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</si>
  <si>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</si>
  <si>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</si>
  <si>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</si>
  <si>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</si>
  <si>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</si>
  <si>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</si>
  <si>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</si>
  <si>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</si>
  <si>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</si>
  <si>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</si>
  <si>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</si>
  <si>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</si>
  <si>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</si>
  <si>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</si>
  <si>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</si>
  <si>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</si>
  <si>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</si>
  <si>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</si>
  <si>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</si>
  <si>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</si>
  <si>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</si>
  <si>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</si>
  <si>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</si>
  <si>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</si>
  <si>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</si>
  <si>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</si>
  <si>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</si>
  <si>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</si>
  <si>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</si>
  <si>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</si>
  <si>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</si>
  <si>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</si>
  <si>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</si>
  <si>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</si>
  <si>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</si>
  <si>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</si>
  <si>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</si>
  <si>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</si>
  <si>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</si>
  <si>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</si>
  <si>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</si>
  <si>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</si>
  <si>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</si>
  <si>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</si>
  <si>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</si>
  <si>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</si>
  <si>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</si>
  <si>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</si>
  <si>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</si>
  <si>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</si>
  <si>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</si>
  <si>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</si>
  <si>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</si>
  <si>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</si>
  <si>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</si>
  <si>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</si>
  <si>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</si>
  <si>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</si>
  <si>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</si>
  <si>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</si>
  <si>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</si>
  <si>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</si>
  <si>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</si>
  <si>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</si>
  <si>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</si>
  <si>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</si>
  <si>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</si>
  <si>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</si>
  <si>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</si>
  <si>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</si>
  <si>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</si>
  <si>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</si>
  <si>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</si>
  <si>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</si>
  <si>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</si>
  <si>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</si>
  <si>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</si>
  <si>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</si>
  <si>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</si>
  <si>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</si>
  <si>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</si>
  <si>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</si>
  <si>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</si>
  <si>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</si>
  <si>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</si>
  <si>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</si>
  <si>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</si>
  <si>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</si>
  <si>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</si>
  <si>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</si>
  <si>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</si>
  <si>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</si>
  <si>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</si>
  <si>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</si>
  <si>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</si>
  <si>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</si>
  <si>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</si>
  <si>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</si>
  <si>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</si>
  <si>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</si>
  <si>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</si>
  <si>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</si>
  <si>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</si>
  <si>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</si>
  <si>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</si>
  <si>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</si>
  <si>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</si>
  <si>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</si>
  <si>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</si>
  <si>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</si>
  <si>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</si>
  <si>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</si>
  <si>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</si>
  <si>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</si>
  <si>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</si>
  <si>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</si>
  <si>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</si>
  <si>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</si>
  <si>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</si>
  <si>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</si>
  <si>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</si>
  <si>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</si>
  <si>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</si>
  <si>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</si>
  <si>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</si>
  <si>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</si>
  <si>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</si>
  <si>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</si>
  <si>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</si>
  <si>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</si>
  <si>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</si>
  <si>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</si>
  <si>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</si>
  <si>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</si>
  <si>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</si>
  <si>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</si>
  <si>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</si>
  <si>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</si>
  <si>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</si>
  <si>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</si>
  <si>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</si>
  <si>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</si>
  <si>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</si>
  <si>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</si>
  <si>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</si>
  <si>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</si>
  <si>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</si>
  <si>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</si>
  <si>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</si>
  <si>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</si>
  <si>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</si>
  <si>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</si>
  <si>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</si>
  <si>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</si>
  <si>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</si>
  <si>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</si>
  <si>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</si>
  <si>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</si>
  <si>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</si>
  <si>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</si>
  <si>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</si>
  <si>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</si>
  <si>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</si>
  <si>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</si>
  <si>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</si>
  <si>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</si>
  <si>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</si>
  <si>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</si>
  <si>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</si>
  <si>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</si>
  <si>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</si>
  <si>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</si>
  <si>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</si>
  <si>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</si>
  <si>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</si>
  <si>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</si>
  <si>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</si>
  <si>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</si>
  <si>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</si>
  <si>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</si>
  <si>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</si>
  <si>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</si>
  <si>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</si>
  <si>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</si>
  <si>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</si>
  <si>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</si>
  <si>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</si>
  <si>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</si>
  <si>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</si>
  <si>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</si>
  <si>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</si>
  <si>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</si>
  <si>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</si>
  <si>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</si>
  <si>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</si>
  <si>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</si>
  <si>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</si>
  <si>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</si>
  <si>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</si>
  <si>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</si>
  <si>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</si>
  <si>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</si>
  <si>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</si>
  <si>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</si>
  <si>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</si>
  <si>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</si>
  <si>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</si>
  <si>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</si>
  <si>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</si>
  <si>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</si>
  <si>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</si>
  <si>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</si>
  <si>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</si>
  <si>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</si>
  <si>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</si>
  <si>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</si>
  <si>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</si>
  <si>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</si>
  <si>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</si>
  <si>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</si>
  <si>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</si>
  <si>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</si>
  <si>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</si>
  <si>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</si>
  <si>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</si>
  <si>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</si>
  <si>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</si>
  <si>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</si>
  <si>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</si>
  <si>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</si>
  <si>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</si>
  <si>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</si>
  <si>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</si>
  <si>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</si>
  <si>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</si>
  <si>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</si>
  <si>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</si>
  <si>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</si>
  <si>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</si>
  <si>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</si>
  <si>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</si>
  <si>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</si>
  <si>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</si>
  <si>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</si>
  <si>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</si>
  <si>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</si>
  <si>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</si>
  <si>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</si>
  <si>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</si>
  <si>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</si>
  <si>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</si>
  <si>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</si>
  <si>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</si>
  <si>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</si>
  <si>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</si>
  <si>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</si>
  <si>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</si>
  <si>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</si>
  <si>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</si>
  <si>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</si>
  <si>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</si>
  <si>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</si>
  <si>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</si>
  <si>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</si>
  <si>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</si>
  <si>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</si>
  <si>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</si>
  <si>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</si>
  <si>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</si>
  <si>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</si>
  <si>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</si>
  <si>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</si>
  <si>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</si>
  <si>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</si>
  <si>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</si>
  <si>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</si>
  <si>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</si>
  <si>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</si>
  <si>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</si>
  <si>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</si>
  <si>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</si>
  <si>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</si>
  <si>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</si>
  <si>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</si>
  <si>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</si>
  <si>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</si>
  <si>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</si>
  <si>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</si>
  <si>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</si>
  <si>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</si>
  <si>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</si>
  <si>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</si>
  <si>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</si>
  <si>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</si>
  <si>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</si>
  <si>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</si>
  <si>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</si>
  <si>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</si>
  <si>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</si>
  <si>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</si>
  <si>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</si>
  <si>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</si>
  <si>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</si>
  <si>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</si>
  <si>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</si>
  <si>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</si>
  <si>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</si>
  <si>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</si>
  <si>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</si>
  <si>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</si>
  <si>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</si>
  <si>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</si>
  <si>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</si>
  <si>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</si>
  <si>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</si>
  <si>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</si>
  <si>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</si>
  <si>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</si>
  <si>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</si>
  <si>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</si>
  <si>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</si>
  <si>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</si>
  <si>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</si>
  <si>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</si>
  <si>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</si>
  <si>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</si>
  <si>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</si>
  <si>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</si>
  <si>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</si>
  <si>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</si>
  <si>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</si>
  <si>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</si>
  <si>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</si>
  <si>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</si>
  <si>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</si>
  <si>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</si>
  <si>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</si>
  <si>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</si>
  <si>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</si>
  <si>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</si>
  <si>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</si>
  <si>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</si>
  <si>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</si>
  <si>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</si>
  <si>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</si>
  <si>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</si>
  <si>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</si>
  <si>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</si>
  <si>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</si>
  <si>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</si>
  <si>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</si>
  <si>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</si>
  <si>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</si>
  <si>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</si>
  <si>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</si>
  <si>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</si>
  <si>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</si>
  <si>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</si>
  <si>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</si>
  <si>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</si>
  <si>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</si>
  <si>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</si>
  <si>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</si>
  <si>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</si>
  <si>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</si>
  <si>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</si>
  <si>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</si>
  <si>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</si>
  <si>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</si>
  <si>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</si>
  <si>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</si>
  <si>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</si>
  <si>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</si>
  <si>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</si>
  <si>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</si>
  <si>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</si>
  <si>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</si>
  <si>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</si>
  <si>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</si>
  <si>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</si>
  <si>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</si>
  <si>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</si>
  <si>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</si>
  <si>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</si>
  <si>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</si>
  <si>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</si>
  <si>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</si>
  <si>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</si>
  <si>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</si>
  <si>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</si>
  <si>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</si>
  <si>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</si>
  <si>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</si>
  <si>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</si>
  <si>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</si>
  <si>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</si>
  <si>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</si>
  <si>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</si>
  <si>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</si>
  <si>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</si>
  <si>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</si>
  <si>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</si>
  <si>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</si>
  <si>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</si>
  <si>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</si>
  <si>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</si>
  <si>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</si>
  <si>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</si>
  <si>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</si>
  <si>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</si>
  <si>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</si>
  <si>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</si>
  <si>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</si>
  <si>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</si>
  <si>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</si>
  <si>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</si>
  <si>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</si>
  <si>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</si>
  <si>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</si>
  <si>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</si>
  <si>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</si>
  <si>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</si>
  <si>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</si>
  <si>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</si>
  <si>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</si>
  <si>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</si>
  <si>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</si>
  <si>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</si>
  <si>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</si>
  <si>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</si>
  <si>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</si>
  <si>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</si>
  <si>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</si>
  <si>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</si>
  <si>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</si>
  <si>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</si>
  <si>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</si>
  <si>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</si>
  <si>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</si>
  <si>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</si>
  <si>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</si>
  <si>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</si>
  <si>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</si>
  <si>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</si>
  <si>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</si>
  <si>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</si>
  <si>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</si>
  <si>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</si>
  <si>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</si>
  <si>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</si>
  <si>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</si>
  <si>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</si>
  <si>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</si>
  <si>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</si>
  <si>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</si>
  <si>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</si>
  <si>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</si>
  <si>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</si>
  <si>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</si>
  <si>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</si>
  <si>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</si>
  <si>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</si>
  <si>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</si>
  <si>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</si>
  <si>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</si>
  <si>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</si>
  <si>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</si>
  <si>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</si>
  <si>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</si>
  <si>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</si>
  <si>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</si>
  <si>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</si>
  <si>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</si>
  <si>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</si>
  <si>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</si>
  <si>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</si>
  <si>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</si>
  <si>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</si>
  <si>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</si>
  <si>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</si>
  <si>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</si>
  <si>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</si>
  <si>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</si>
  <si>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</si>
  <si>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</si>
  <si>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</si>
  <si>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</si>
  <si>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</si>
  <si>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</si>
  <si>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</si>
  <si>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</si>
  <si>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</si>
  <si>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</si>
  <si>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</si>
  <si>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</si>
  <si>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</si>
  <si>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</si>
  <si>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</si>
  <si>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</si>
  <si>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</si>
  <si>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</si>
  <si>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</si>
  <si>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</si>
  <si>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</si>
  <si>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</si>
  <si>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</si>
  <si>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</si>
  <si>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</si>
  <si>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</si>
  <si>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</si>
  <si>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</si>
  <si>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</si>
  <si>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</si>
  <si>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</si>
  <si>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</si>
  <si>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</si>
  <si>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</si>
  <si>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</si>
  <si>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</si>
  <si>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</si>
  <si>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</si>
  <si>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</si>
  <si>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</si>
  <si>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</si>
  <si>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</si>
  <si>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</si>
  <si>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</si>
  <si>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</si>
  <si>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</si>
  <si>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</si>
  <si>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</si>
  <si>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</si>
  <si>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</si>
  <si>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</si>
  <si>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</si>
  <si>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</si>
  <si>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</si>
  <si>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</si>
  <si>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</si>
  <si>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</si>
  <si>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</si>
  <si>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</si>
  <si>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</si>
  <si>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</si>
  <si>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</si>
  <si>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</si>
  <si>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</si>
  <si>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</si>
  <si>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</si>
  <si>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</si>
  <si>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</si>
  <si>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</si>
  <si>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</si>
  <si>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</si>
  <si>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</si>
  <si>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</si>
  <si>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</si>
  <si>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</si>
  <si>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</si>
  <si>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</si>
  <si>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</si>
  <si>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</si>
  <si>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</si>
  <si>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</si>
  <si>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</si>
  <si>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</si>
  <si>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</si>
  <si>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</si>
  <si>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</si>
  <si>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</si>
  <si>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</si>
  <si>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</si>
  <si>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</si>
  <si>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</si>
  <si>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</si>
  <si>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</si>
  <si>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</si>
  <si>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</si>
  <si>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</si>
  <si>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</si>
  <si>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</si>
  <si>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</si>
  <si>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</si>
  <si>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</si>
  <si>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</si>
  <si>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</si>
  <si>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</si>
  <si>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</si>
  <si>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</si>
  <si>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</si>
  <si>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</si>
  <si>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</si>
  <si>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</si>
  <si>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</si>
  <si>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</si>
  <si>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</si>
  <si>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</si>
  <si>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</si>
  <si>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</si>
  <si>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</si>
  <si>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</si>
  <si>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</si>
  <si>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</si>
  <si>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</si>
  <si>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</si>
  <si>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</si>
  <si>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</si>
  <si>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</si>
  <si>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</si>
  <si>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</si>
  <si>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</si>
  <si>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</si>
  <si>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</si>
  <si>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</si>
  <si>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</si>
  <si>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</si>
  <si>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</si>
  <si>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</si>
  <si>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</si>
  <si>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</si>
  <si>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</si>
  <si>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</si>
  <si>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</si>
  <si>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</si>
  <si>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</si>
  <si>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</si>
  <si>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</si>
  <si>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</si>
  <si>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</si>
  <si>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</si>
  <si>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</si>
  <si>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</si>
  <si>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</si>
  <si>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</si>
  <si>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</si>
  <si>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</si>
  <si>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</si>
  <si>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</si>
  <si>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</si>
  <si>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</si>
  <si>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</si>
  <si>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</si>
  <si>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</si>
  <si>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</si>
  <si>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</si>
  <si>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</si>
  <si>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</si>
  <si>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</si>
  <si>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</si>
  <si>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</si>
  <si>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</si>
  <si>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</si>
  <si>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</si>
  <si>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</si>
  <si>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</si>
  <si>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</si>
  <si>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</si>
  <si>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</si>
  <si>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</si>
  <si>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</si>
  <si>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</si>
  <si>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</si>
  <si>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</si>
  <si>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</si>
  <si>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</si>
  <si>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</si>
  <si>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</si>
  <si>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</si>
  <si>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</si>
  <si>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</si>
  <si>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</si>
  <si>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</si>
  <si>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</si>
  <si>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</si>
  <si>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</si>
  <si>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</si>
  <si>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</si>
  <si>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</si>
  <si>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</si>
  <si>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</si>
  <si>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</si>
  <si>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</si>
  <si>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</si>
  <si>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</si>
  <si>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</si>
  <si>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</si>
  <si>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</si>
  <si>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</si>
  <si>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</si>
  <si>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</si>
  <si>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</si>
  <si>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</si>
  <si>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</si>
  <si>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</si>
  <si>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</si>
  <si>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</si>
  <si>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</si>
  <si>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</si>
  <si>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</si>
  <si>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</si>
  <si>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</si>
  <si>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</si>
  <si>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</si>
  <si>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</si>
  <si>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</si>
  <si>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</si>
  <si>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</si>
  <si>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</si>
  <si>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</si>
  <si>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</si>
  <si>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</si>
  <si>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</si>
  <si>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</si>
  <si>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</si>
  <si>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</si>
  <si>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</si>
  <si>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</si>
  <si>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</si>
  <si>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</si>
  <si>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</si>
  <si>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</si>
  <si>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</si>
  <si>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</si>
  <si>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</si>
  <si>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</si>
  <si>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</si>
  <si>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</si>
  <si>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</si>
  <si>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</si>
  <si>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</si>
  <si>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</si>
  <si>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</si>
  <si>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</si>
  <si>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</si>
  <si>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</si>
  <si>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</si>
  <si>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</si>
  <si>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</si>
  <si>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</si>
  <si>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</si>
  <si>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</si>
  <si>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</si>
  <si>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</si>
  <si>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</si>
  <si>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</si>
  <si>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</si>
  <si>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</si>
  <si>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</si>
  <si>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</si>
  <si>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</si>
  <si>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</si>
  <si>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</si>
  <si>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</si>
  <si>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</si>
  <si>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</si>
  <si>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</si>
  <si>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</si>
  <si>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</si>
  <si>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</si>
  <si>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</si>
  <si>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</si>
  <si>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</si>
  <si>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</si>
  <si>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</si>
  <si>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</si>
  <si>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</si>
  <si>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</si>
  <si>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</si>
  <si>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</si>
  <si>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</si>
  <si>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</si>
  <si>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</si>
  <si>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</si>
  <si>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</si>
  <si>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</si>
  <si>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</si>
  <si>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</si>
  <si>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</si>
  <si>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</si>
  <si>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</si>
  <si>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</si>
  <si>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</si>
  <si>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</si>
  <si>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</si>
  <si>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</si>
  <si>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</si>
  <si>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</si>
  <si>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</si>
  <si>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</si>
  <si>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</si>
  <si>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</si>
  <si>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</si>
  <si>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</si>
  <si>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</si>
  <si>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</si>
  <si>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</si>
  <si>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</si>
  <si>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</si>
  <si>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</si>
  <si>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</si>
  <si>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</si>
  <si>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</si>
  <si>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</si>
  <si>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</si>
  <si>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</si>
  <si>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</si>
  <si>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</si>
  <si>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</si>
  <si>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</si>
  <si>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</si>
  <si>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</si>
  <si>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</si>
  <si>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</si>
  <si>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</si>
  <si>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</si>
  <si>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</si>
  <si>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</si>
  <si>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</si>
  <si>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</si>
  <si>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</si>
  <si>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</si>
  <si>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</si>
  <si>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</si>
  <si>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</si>
  <si>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</si>
  <si>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</si>
  <si>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</si>
  <si>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</si>
  <si>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</si>
  <si>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</si>
  <si>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</si>
  <si>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</si>
  <si>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</si>
  <si>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</si>
  <si>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</si>
  <si>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</si>
  <si>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</si>
  <si>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</si>
  <si>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</si>
  <si>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</si>
  <si>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</si>
  <si>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</si>
  <si>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</si>
  <si>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</si>
  <si>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</si>
  <si>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</si>
  <si>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</si>
  <si>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</si>
  <si>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</si>
  <si>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</si>
  <si>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</si>
  <si>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</si>
  <si>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</si>
  <si>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</si>
  <si>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</si>
  <si>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</si>
  <si>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</si>
  <si>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</si>
  <si>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</si>
  <si>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</si>
  <si>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</si>
  <si>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</si>
  <si>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</si>
  <si>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</si>
  <si>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</si>
  <si>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</si>
  <si>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</si>
  <si>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</si>
  <si>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</si>
  <si>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</si>
  <si>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</si>
  <si>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</si>
  <si>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</si>
  <si>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</si>
  <si>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</si>
  <si>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</si>
  <si>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</si>
  <si>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</si>
  <si>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</si>
  <si>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</si>
  <si>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</si>
  <si>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</si>
  <si>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</si>
  <si>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</si>
  <si>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</si>
  <si>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</si>
  <si>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</si>
  <si>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</si>
  <si>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</si>
  <si>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</si>
  <si>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</si>
  <si>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</si>
  <si>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</si>
  <si>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</si>
  <si>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</si>
  <si>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</si>
  <si>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</si>
  <si>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</si>
  <si>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</si>
  <si>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</si>
  <si>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</si>
  <si>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</si>
  <si>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</si>
  <si>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</si>
  <si>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</si>
  <si>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</si>
  <si>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</si>
  <si>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</si>
  <si>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</si>
  <si>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</si>
  <si>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</si>
  <si>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</si>
  <si>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</si>
  <si>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</si>
  <si>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</si>
  <si>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</si>
  <si>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</si>
  <si>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</si>
  <si>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</si>
  <si>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</si>
  <si>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</si>
  <si>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</si>
  <si>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</si>
  <si>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</si>
  <si>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</si>
  <si>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</si>
  <si>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</si>
  <si>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</si>
  <si>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</si>
  <si>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</si>
  <si>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</si>
  <si>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</si>
  <si>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</si>
  <si>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</si>
  <si>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</si>
  <si>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</si>
  <si>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</si>
  <si>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</si>
  <si>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</si>
  <si>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</si>
  <si>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</si>
  <si>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</si>
  <si>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</si>
  <si>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</si>
  <si>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</si>
  <si>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</si>
  <si>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</si>
  <si>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</si>
  <si>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</si>
  <si>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</si>
  <si>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</si>
  <si>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</si>
  <si>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</si>
  <si>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</si>
  <si>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</si>
  <si>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</si>
  <si>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</si>
  <si>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</si>
  <si>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</si>
  <si>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</si>
  <si>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</si>
  <si>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</si>
  <si>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</si>
  <si>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</si>
  <si>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</si>
  <si>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</si>
  <si>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</si>
  <si>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</si>
  <si>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</si>
  <si>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</si>
  <si>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</si>
  <si>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</si>
  <si>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</si>
  <si>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</si>
  <si>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</si>
  <si>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</si>
  <si>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</si>
  <si>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</si>
  <si>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</si>
  <si>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</si>
  <si>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</si>
  <si>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</si>
  <si>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</si>
  <si>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</si>
  <si>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</si>
  <si>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</si>
  <si>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</si>
  <si>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</si>
  <si>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</si>
  <si>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</si>
  <si>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</si>
  <si>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</si>
  <si>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</si>
  <si>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</si>
  <si>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</si>
  <si>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</si>
  <si>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</si>
  <si>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</si>
  <si>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</si>
  <si>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</si>
  <si>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</si>
  <si>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</si>
  <si>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</si>
  <si>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</si>
  <si>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</si>
  <si>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</si>
  <si>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</si>
  <si>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</si>
  <si>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</si>
  <si>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</si>
  <si>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</si>
  <si>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</si>
  <si>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</si>
  <si>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</si>
  <si>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</si>
  <si>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</si>
  <si>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</si>
  <si>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</si>
  <si>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</si>
  <si>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</si>
  <si>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</si>
  <si>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</si>
  <si>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</si>
  <si>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</si>
  <si>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</si>
  <si>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</si>
  <si>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</si>
  <si>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</si>
  <si>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</si>
  <si>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</si>
  <si>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</si>
  <si>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</si>
  <si>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</si>
  <si>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</si>
  <si>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</si>
  <si>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</si>
  <si>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</si>
  <si>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</si>
  <si>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</si>
  <si>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</si>
  <si>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</si>
  <si>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</si>
  <si>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</si>
  <si>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</si>
  <si>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</si>
  <si>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</si>
  <si>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</si>
  <si>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</si>
  <si>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</si>
  <si>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</si>
  <si>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</si>
  <si>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</si>
  <si>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</si>
  <si>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</si>
  <si>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</si>
  <si>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</si>
  <si>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</si>
  <si>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</si>
  <si>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</si>
  <si>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</si>
  <si>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</si>
  <si>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</si>
  <si>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</si>
  <si>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</si>
  <si>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</si>
  <si>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</si>
  <si>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</si>
  <si>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</si>
  <si>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</si>
  <si>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</si>
  <si>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</si>
  <si>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</si>
  <si>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</si>
  <si>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</si>
  <si>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</si>
  <si>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</si>
  <si>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</si>
  <si>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</si>
  <si>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</si>
  <si>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</si>
  <si>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</si>
  <si>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</si>
  <si>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</si>
  <si>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</si>
  <si>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</si>
  <si>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</si>
  <si>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</si>
  <si>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</si>
  <si>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</si>
  <si>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</si>
  <si>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</si>
  <si>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</si>
  <si>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</si>
  <si>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</si>
  <si>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</si>
  <si>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</si>
  <si>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</si>
  <si>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</si>
  <si>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</si>
  <si>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</si>
  <si>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</si>
  <si>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</si>
  <si>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</si>
  <si>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</si>
  <si>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</si>
  <si>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</si>
  <si>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</si>
  <si>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</si>
  <si>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</si>
  <si>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</si>
  <si>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</si>
  <si>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</si>
  <si>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</si>
  <si>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</si>
  <si>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</si>
  <si>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</si>
  <si>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</si>
  <si>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</si>
  <si>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</si>
  <si>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</si>
  <si>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</si>
  <si>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</si>
  <si>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</si>
  <si>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</si>
  <si>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</si>
  <si>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</si>
  <si>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</si>
  <si>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</si>
  <si>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</si>
  <si>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</si>
  <si>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</si>
  <si>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</si>
  <si>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</si>
  <si>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</si>
  <si>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</si>
  <si>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</si>
  <si>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</si>
  <si>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</si>
  <si>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</si>
  <si>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</si>
  <si>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</si>
  <si>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</si>
  <si>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</si>
  <si>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</si>
  <si>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</si>
  <si>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</si>
  <si>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</si>
  <si>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</si>
  <si>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</si>
  <si>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</si>
  <si>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</si>
  <si>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</si>
  <si>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</si>
  <si>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</si>
  <si>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</si>
  <si>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</si>
  <si>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</si>
  <si>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</si>
  <si>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</si>
  <si>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</si>
  <si>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</si>
  <si>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</si>
  <si>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</si>
  <si>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</si>
  <si>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</si>
  <si>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</si>
  <si>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</si>
  <si>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</si>
  <si>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</si>
  <si>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</si>
  <si>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</si>
  <si>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</si>
  <si>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</si>
  <si>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</si>
  <si>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</si>
  <si>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</si>
  <si>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</si>
  <si>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</si>
  <si>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</si>
  <si>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</si>
  <si>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</si>
  <si>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</si>
  <si>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</si>
  <si>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</si>
  <si>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</si>
  <si>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</si>
  <si>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</si>
  <si>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</si>
  <si>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</si>
  <si>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</si>
  <si>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</si>
  <si>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</si>
  <si>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</si>
  <si>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</si>
  <si>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</si>
  <si>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</si>
  <si>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</si>
  <si>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</si>
  <si>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</si>
  <si>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</si>
  <si>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</si>
  <si>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</si>
  <si>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</si>
  <si>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</si>
  <si>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</si>
  <si>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</si>
  <si>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</si>
  <si>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</si>
  <si>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</si>
  <si>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</si>
  <si>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</si>
  <si>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</si>
  <si>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</si>
  <si>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</si>
  <si>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</si>
  <si>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</si>
  <si>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</si>
  <si>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</si>
  <si>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</si>
  <si>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</si>
  <si>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</si>
  <si>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</si>
  <si>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</si>
  <si>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</si>
  <si>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</si>
  <si>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</si>
  <si>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</si>
  <si>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</si>
  <si>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</si>
  <si>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</si>
  <si>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</si>
  <si>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</si>
  <si>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</si>
  <si>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</si>
  <si>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</si>
  <si>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</si>
  <si>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</si>
  <si>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</si>
  <si>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</si>
  <si>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</si>
  <si>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</si>
  <si>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</si>
  <si>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</si>
  <si>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</si>
  <si>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</si>
  <si>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</si>
  <si>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</si>
  <si>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</si>
  <si>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</si>
  <si>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</si>
  <si>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</si>
  <si>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</si>
  <si>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</si>
  <si>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</si>
  <si>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</si>
  <si>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</si>
  <si>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</si>
  <si>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</si>
  <si>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</si>
  <si>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</si>
  <si>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</si>
  <si>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</si>
  <si>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</si>
  <si>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</si>
  <si>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</si>
  <si>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</si>
  <si>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</si>
  <si>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</si>
  <si>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</si>
  <si>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</si>
  <si>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</si>
  <si>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</si>
  <si>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</si>
  <si>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</si>
  <si>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</si>
  <si>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</si>
  <si>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</si>
  <si>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</si>
  <si>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</si>
  <si>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</si>
  <si>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</si>
  <si>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</si>
  <si>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</si>
  <si>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</si>
  <si>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</si>
  <si>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</si>
  <si>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</si>
  <si>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</si>
  <si>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</si>
  <si>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</si>
  <si>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</si>
  <si>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</si>
  <si>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</si>
  <si>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</si>
  <si>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</si>
  <si>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</si>
  <si>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</si>
  <si>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</si>
  <si>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</si>
  <si>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</si>
  <si>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</si>
  <si>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</si>
  <si>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</si>
  <si>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</si>
  <si>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</si>
  <si>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</si>
  <si>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</si>
  <si>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</si>
  <si>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</si>
  <si>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</si>
  <si>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</si>
  <si>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</si>
  <si>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</si>
  <si>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</si>
  <si>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</si>
  <si>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</si>
  <si>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</si>
  <si>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</si>
  <si>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</si>
  <si>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</si>
  <si>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</si>
  <si>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</si>
  <si>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</si>
  <si>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</si>
  <si>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</si>
  <si>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</si>
  <si>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</si>
  <si>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</si>
  <si>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</si>
  <si>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</si>
  <si>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</si>
  <si>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</si>
  <si>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</si>
  <si>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</si>
  <si>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</si>
  <si>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</si>
  <si>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</si>
  <si>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</si>
  <si>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</si>
  <si>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</si>
  <si>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</si>
  <si>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</si>
  <si>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</si>
  <si>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</si>
  <si>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</si>
  <si>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</si>
  <si>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</si>
  <si>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</si>
  <si>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</si>
  <si>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</si>
  <si>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</si>
  <si>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</si>
  <si>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</si>
  <si>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</si>
  <si>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</si>
  <si>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</si>
  <si>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</si>
  <si>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</si>
  <si>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</si>
  <si>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</si>
  <si>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</si>
  <si>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</si>
  <si>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</si>
  <si>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</si>
  <si>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</si>
  <si>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</si>
  <si>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</si>
  <si>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</si>
  <si>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</si>
  <si>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</si>
  <si>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</si>
  <si>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</si>
  <si>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</si>
  <si>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</si>
  <si>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</si>
  <si>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</si>
  <si>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</si>
  <si>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</si>
  <si>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</si>
  <si>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</si>
  <si>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</si>
  <si>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</si>
  <si>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</si>
  <si>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</si>
  <si>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</si>
  <si>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</si>
  <si>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</si>
  <si>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</si>
  <si>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</si>
  <si>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</si>
  <si>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</si>
  <si>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</si>
  <si>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</si>
  <si>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</si>
  <si>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</si>
  <si>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</si>
  <si>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</si>
  <si>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</si>
  <si>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</si>
  <si>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</si>
  <si>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</si>
  <si>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</si>
  <si>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</si>
  <si>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</si>
  <si>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</si>
  <si>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</si>
  <si>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</si>
  <si>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</si>
  <si>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</si>
  <si>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</si>
  <si>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</si>
  <si>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</si>
  <si>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</si>
  <si>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</si>
  <si>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</si>
  <si>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</si>
  <si>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</si>
  <si>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</si>
  <si>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</si>
  <si>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</si>
  <si>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</si>
  <si>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</si>
  <si>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</si>
  <si>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</si>
  <si>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</si>
  <si>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</si>
  <si>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</si>
  <si>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</si>
  <si>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</si>
  <si>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</si>
  <si>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</si>
  <si>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</si>
  <si>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</si>
  <si>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</si>
  <si>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</si>
  <si>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</si>
  <si>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</si>
  <si>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</si>
  <si>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</si>
  <si>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</si>
  <si>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</si>
  <si>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</si>
  <si>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</si>
  <si>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</si>
  <si>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</si>
  <si>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</si>
  <si>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</si>
  <si>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</si>
  <si>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</si>
  <si>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</si>
  <si>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</si>
  <si>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</si>
  <si>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</si>
  <si>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</si>
  <si>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</si>
  <si>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</si>
  <si>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</si>
  <si>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</si>
  <si>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</si>
  <si>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</si>
  <si>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</si>
  <si>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</si>
  <si>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</si>
  <si>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</si>
  <si>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</si>
  <si>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</si>
  <si>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</si>
  <si>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</si>
  <si>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</si>
  <si>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</si>
  <si>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</si>
  <si>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</si>
  <si>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</si>
  <si>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</si>
  <si>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</si>
  <si>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</si>
  <si>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</si>
  <si>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</si>
  <si>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</si>
  <si>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</si>
  <si>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</si>
  <si>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</si>
  <si>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</si>
  <si>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</si>
  <si>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</si>
  <si>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</si>
  <si>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</si>
  <si>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</si>
  <si>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</si>
  <si>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</si>
  <si>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</si>
  <si>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</si>
  <si>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</si>
  <si>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</si>
  <si>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</si>
  <si>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</si>
  <si>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</si>
  <si>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</si>
  <si>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</si>
  <si>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</si>
  <si>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</si>
  <si>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</si>
  <si>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</si>
  <si>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</si>
  <si>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</si>
  <si>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</si>
  <si>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</si>
  <si>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</si>
  <si>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</si>
  <si>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</si>
  <si>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</si>
  <si>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</si>
  <si>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</si>
  <si>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</si>
  <si>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</si>
  <si>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</si>
  <si>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</si>
  <si>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</si>
  <si>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</si>
  <si>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</si>
  <si>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</si>
  <si>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</si>
  <si>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</si>
  <si>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</si>
  <si>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</si>
  <si>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</si>
  <si>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</si>
  <si>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</si>
  <si>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</si>
  <si>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</si>
  <si>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</si>
  <si>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</si>
  <si>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</si>
  <si>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</si>
  <si>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</si>
  <si>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</si>
  <si>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</si>
  <si>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</si>
  <si>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</si>
  <si>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</si>
  <si>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</si>
  <si>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</si>
  <si>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</si>
  <si>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</si>
  <si>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</si>
  <si>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</si>
  <si>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</si>
  <si>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</si>
  <si>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</si>
  <si>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</si>
  <si>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</si>
  <si>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</si>
  <si>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</si>
  <si>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</si>
  <si>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</si>
  <si>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</si>
  <si>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</si>
  <si>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</si>
  <si>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</si>
  <si>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</si>
  <si>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</si>
  <si>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</si>
  <si>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</si>
  <si>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</si>
  <si>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</si>
  <si>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</si>
  <si>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</si>
  <si>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</si>
  <si>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</si>
  <si>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</si>
  <si>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</si>
  <si>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</si>
  <si>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</si>
  <si>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</si>
  <si>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</si>
  <si>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</si>
  <si>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</si>
  <si>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</si>
  <si>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</si>
  <si>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</si>
  <si>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</si>
  <si>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</si>
  <si>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</si>
  <si>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</si>
  <si>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</si>
  <si>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</si>
  <si>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</si>
  <si>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</si>
  <si>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</si>
  <si>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</si>
  <si>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</si>
  <si>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</si>
  <si>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</si>
  <si>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</si>
  <si>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</si>
  <si>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</si>
  <si>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</si>
  <si>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</si>
  <si>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</si>
  <si>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</si>
  <si>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</si>
  <si>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</si>
  <si>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</si>
  <si>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</si>
  <si>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</si>
  <si>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</si>
  <si>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</si>
  <si>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</si>
  <si>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</si>
  <si>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</si>
  <si>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</si>
  <si>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</si>
  <si>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</si>
  <si>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</si>
  <si>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</si>
  <si>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</si>
  <si>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</si>
  <si>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</si>
  <si>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</si>
  <si>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</si>
  <si>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</si>
  <si>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</si>
  <si>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</si>
  <si>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</si>
  <si>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</si>
  <si>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</si>
  <si>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</si>
  <si>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</si>
  <si>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</si>
  <si>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</si>
  <si>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</si>
  <si>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</si>
  <si>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</si>
  <si>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</si>
  <si>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</si>
  <si>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</si>
  <si>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</si>
  <si>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</si>
  <si>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</si>
  <si>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</si>
  <si>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</si>
  <si>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</si>
  <si>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</si>
  <si>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</si>
  <si>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</si>
  <si>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</si>
  <si>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</si>
  <si>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</si>
  <si>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</si>
  <si>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</si>
  <si>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</si>
  <si>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</si>
  <si>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</si>
  <si>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</si>
  <si>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</si>
  <si>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</si>
  <si>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</si>
  <si>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</si>
  <si>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</si>
  <si>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</si>
  <si>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</si>
  <si>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</si>
  <si>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</si>
  <si>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</si>
  <si>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</si>
  <si>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</si>
  <si>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</si>
  <si>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</si>
  <si>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</si>
  <si>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</si>
  <si>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</si>
  <si>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</si>
  <si>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</si>
  <si>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</si>
  <si>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</si>
  <si>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</si>
  <si>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</si>
  <si>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</si>
  <si>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</si>
  <si>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</si>
  <si>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</si>
  <si>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</si>
  <si>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</si>
  <si>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</si>
  <si>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</si>
  <si>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</si>
  <si>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</si>
  <si>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</si>
  <si>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</si>
  <si>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</si>
  <si>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</si>
  <si>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</si>
  <si>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</si>
  <si>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</si>
  <si>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</si>
  <si>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</si>
  <si>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</si>
  <si>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</si>
  <si>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</si>
  <si>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</si>
  <si>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</si>
  <si>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</si>
  <si>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</si>
  <si>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</si>
  <si>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</si>
  <si>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</si>
  <si>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</si>
  <si>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</si>
  <si>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</si>
  <si>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</si>
  <si>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</si>
  <si>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</si>
  <si>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</si>
  <si>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</si>
  <si>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</si>
  <si>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</si>
  <si>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</si>
  <si>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</si>
  <si>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</si>
  <si>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</si>
  <si>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</si>
  <si>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</si>
  <si>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</si>
  <si>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</si>
  <si>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</si>
  <si>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</si>
  <si>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</si>
  <si>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</si>
  <si>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</si>
  <si>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</si>
  <si>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</si>
  <si>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</si>
  <si>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</si>
  <si>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</si>
  <si>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</si>
  <si>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</si>
  <si>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</si>
  <si>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</si>
  <si>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</si>
  <si>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</si>
  <si>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</si>
  <si>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</si>
  <si>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</si>
  <si>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</si>
  <si>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</si>
  <si>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</si>
  <si>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</si>
  <si>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</si>
  <si>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</si>
  <si>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</si>
  <si>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</si>
  <si>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</si>
  <si>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</si>
  <si>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</si>
  <si>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</si>
  <si>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</si>
  <si>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</si>
  <si>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</si>
  <si>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</si>
  <si>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</si>
  <si>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</si>
  <si>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</si>
  <si>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</si>
  <si>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</si>
  <si>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</si>
  <si>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</si>
  <si>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</si>
  <si>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</si>
  <si>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</si>
  <si>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</si>
  <si>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</si>
  <si>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</si>
  <si>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</si>
  <si>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</si>
  <si>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</si>
  <si>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</si>
  <si>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</si>
  <si>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</si>
  <si>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</si>
  <si>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</si>
  <si>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</si>
  <si>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</si>
  <si>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</si>
  <si>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</si>
  <si>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</si>
  <si>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</si>
  <si>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</si>
  <si>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</si>
  <si>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</si>
  <si>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</si>
  <si>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</si>
  <si>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</si>
  <si>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</si>
  <si>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</si>
  <si>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</si>
  <si>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</si>
  <si>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</si>
  <si>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</si>
  <si>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</si>
  <si>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</si>
  <si>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</si>
  <si>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</si>
  <si>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</si>
  <si>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</si>
  <si>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</si>
  <si>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</si>
  <si>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</si>
  <si>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</si>
  <si>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</si>
  <si>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</si>
  <si>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</si>
  <si>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</si>
  <si>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</si>
  <si>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</si>
  <si>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</si>
  <si>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</si>
  <si>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</si>
  <si>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</si>
  <si>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</si>
  <si>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</si>
  <si>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</si>
  <si>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</si>
  <si>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</si>
  <si>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</si>
  <si>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</si>
  <si>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</si>
  <si>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</si>
  <si>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</si>
  <si>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</si>
  <si>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</si>
  <si>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</si>
  <si>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</si>
  <si>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</si>
  <si>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</si>
  <si>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</si>
  <si>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</si>
  <si>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</si>
  <si>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</si>
  <si>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</si>
  <si>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</si>
  <si>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</si>
  <si>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</si>
  <si>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</si>
  <si>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</si>
  <si>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</si>
  <si>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</si>
  <si>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</si>
  <si>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</si>
  <si>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</si>
  <si>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</si>
  <si>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</si>
  <si>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</si>
  <si>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</si>
  <si>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</si>
  <si>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</si>
  <si>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</si>
  <si>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</si>
  <si>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</si>
  <si>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</si>
  <si>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</si>
  <si>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</si>
  <si>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</si>
  <si>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</si>
  <si>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</si>
  <si>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</si>
  <si>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</si>
  <si>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</si>
  <si>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</si>
  <si>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</si>
  <si>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</si>
  <si>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</si>
  <si>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</si>
  <si>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</si>
  <si>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</si>
  <si>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</si>
  <si>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</si>
  <si>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</si>
  <si>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</si>
  <si>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</si>
  <si>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</si>
  <si>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</si>
  <si>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</si>
  <si>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</si>
  <si>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</si>
  <si>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</si>
  <si>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</si>
  <si>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</si>
  <si>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</si>
  <si>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</si>
  <si>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</si>
  <si>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</si>
  <si>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</si>
  <si>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</si>
  <si>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</si>
  <si>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</si>
  <si>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</si>
  <si>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</si>
  <si>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</si>
  <si>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</si>
  <si>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</si>
  <si>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</si>
  <si>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</si>
  <si>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</si>
  <si>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</si>
  <si>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</si>
  <si>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</si>
  <si>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</si>
  <si>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</si>
  <si>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</si>
  <si>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</si>
  <si>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</si>
  <si>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</si>
  <si>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</si>
  <si>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</si>
  <si>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</si>
  <si>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</si>
  <si>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</si>
  <si>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</si>
  <si>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</si>
  <si>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</si>
  <si>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</si>
  <si>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</si>
  <si>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</si>
  <si>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</si>
  <si>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</si>
  <si>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</si>
  <si>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</si>
  <si>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</si>
  <si>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</si>
  <si>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</si>
  <si>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</si>
  <si>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</si>
  <si>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</si>
  <si>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</si>
  <si>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</si>
  <si>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</si>
  <si>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</si>
  <si>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</si>
  <si>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</si>
  <si>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</si>
  <si>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</si>
  <si>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</si>
  <si>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</si>
  <si>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</si>
  <si>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</si>
  <si>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</si>
  <si>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</si>
  <si>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</si>
  <si>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</si>
  <si>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</si>
  <si>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</si>
  <si>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</si>
  <si>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</si>
  <si>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</si>
  <si>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</si>
  <si>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</si>
  <si>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</si>
  <si>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</si>
  <si>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</si>
  <si>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</si>
  <si>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</si>
  <si>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</si>
  <si>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</si>
  <si>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</si>
  <si>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</si>
  <si>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</si>
  <si>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</si>
  <si>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</si>
  <si>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</si>
  <si>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</si>
  <si>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</si>
  <si>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</si>
  <si>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</si>
  <si>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</si>
  <si>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</si>
  <si>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</si>
  <si>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</si>
  <si>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</si>
  <si>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</si>
  <si>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</si>
  <si>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</si>
  <si>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</si>
  <si>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</si>
  <si>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</si>
  <si>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</si>
  <si>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</si>
  <si>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</si>
  <si>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</si>
  <si>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</si>
  <si>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</si>
  <si>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</si>
  <si>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</si>
  <si>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</si>
  <si>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</si>
  <si>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</si>
  <si>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</si>
  <si>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</si>
  <si>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</si>
  <si>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</si>
  <si>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</si>
  <si>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</si>
  <si>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</si>
  <si>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</si>
  <si>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</si>
  <si>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</si>
  <si>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</si>
  <si>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</si>
  <si>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</si>
  <si>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</si>
  <si>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</si>
  <si>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</si>
  <si>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</si>
  <si>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</si>
  <si>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</si>
  <si>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</si>
  <si>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</si>
  <si>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</si>
  <si>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</si>
  <si>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</si>
  <si>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</si>
  <si>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</si>
  <si>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</si>
  <si>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</si>
  <si>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</si>
  <si>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</si>
  <si>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</si>
  <si>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</si>
  <si>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</si>
  <si>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</si>
  <si>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</si>
  <si>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</si>
  <si>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</si>
  <si>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</si>
  <si>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</si>
  <si>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</si>
  <si>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</si>
  <si>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</si>
  <si>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</si>
  <si>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</si>
  <si>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</si>
  <si>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</si>
  <si>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</si>
  <si>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</si>
  <si>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</si>
  <si>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</si>
  <si>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</si>
  <si>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</si>
  <si>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</si>
  <si>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</si>
  <si>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</si>
  <si>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</si>
  <si>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</si>
  <si>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</si>
  <si>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</si>
  <si>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</si>
  <si>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</si>
  <si>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</si>
  <si>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</si>
  <si>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</si>
  <si>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</si>
  <si>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</si>
  <si>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</si>
  <si>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</si>
  <si>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</si>
  <si>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</si>
  <si>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</si>
  <si>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</si>
  <si>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</si>
  <si>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</si>
  <si>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</si>
  <si>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</si>
  <si>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</si>
  <si>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</si>
  <si>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</si>
  <si>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</si>
  <si>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</si>
  <si>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</si>
  <si>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</si>
  <si>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</si>
  <si>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</si>
  <si>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</si>
  <si>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</si>
  <si>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</si>
  <si>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</si>
  <si>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</si>
  <si>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</si>
  <si>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</si>
  <si>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</si>
  <si>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</si>
  <si>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</si>
  <si>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</si>
  <si>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</si>
  <si>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</si>
  <si>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</si>
  <si>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</si>
  <si>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</si>
  <si>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</si>
  <si>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</si>
  <si>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</si>
  <si>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</si>
  <si>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</si>
  <si>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</si>
  <si>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</si>
  <si>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</si>
  <si>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</si>
  <si>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</si>
  <si>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</si>
  <si>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</si>
  <si>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</si>
  <si>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</si>
  <si>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</si>
  <si>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</si>
  <si>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</si>
  <si>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</si>
  <si>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</si>
  <si>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</si>
  <si>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</si>
  <si>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</si>
  <si>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</si>
  <si>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</si>
  <si>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</si>
  <si>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</si>
  <si>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</si>
  <si>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</si>
  <si>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</si>
  <si>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</si>
  <si>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</si>
  <si>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</si>
  <si>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</si>
  <si>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</si>
  <si>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</si>
  <si>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</si>
  <si>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</si>
  <si>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</si>
  <si>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</si>
  <si>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</si>
  <si>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</si>
  <si>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</si>
  <si>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</si>
  <si>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</si>
  <si>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</si>
  <si>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</si>
  <si>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</si>
  <si>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</si>
  <si>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</si>
  <si>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</si>
  <si>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</si>
  <si>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</si>
  <si>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</si>
  <si>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</si>
  <si>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</si>
  <si>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</si>
  <si>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</si>
  <si>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</si>
  <si>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</si>
  <si>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</si>
  <si>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</si>
  <si>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</si>
  <si>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</si>
  <si>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</si>
  <si>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</si>
  <si>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</si>
  <si>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</si>
  <si>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</si>
  <si>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</si>
  <si>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</si>
  <si>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</si>
  <si>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</si>
  <si>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</si>
  <si>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</si>
  <si>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</si>
  <si>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</si>
  <si>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</si>
  <si>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</si>
  <si>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</si>
  <si>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</si>
  <si>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</si>
  <si>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</si>
  <si>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</si>
  <si>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</si>
  <si>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</si>
  <si>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</si>
  <si>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</si>
  <si>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</si>
  <si>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</si>
  <si>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</si>
  <si>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</si>
  <si>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</si>
  <si>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</si>
  <si>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</si>
  <si>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</si>
  <si>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</si>
  <si>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</si>
  <si>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</si>
  <si>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</si>
  <si>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</si>
  <si>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</si>
  <si>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</si>
  <si>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</si>
  <si>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</si>
  <si>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</si>
  <si>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</si>
  <si>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</si>
  <si>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</si>
  <si>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</si>
  <si>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</si>
  <si>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</si>
  <si>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</si>
  <si>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</si>
  <si>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</si>
  <si>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</si>
  <si>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</si>
  <si>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</si>
  <si>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</si>
  <si>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</si>
  <si>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</si>
  <si>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</si>
  <si>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</si>
  <si>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</si>
  <si>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</si>
  <si>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</si>
  <si>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</si>
  <si>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</si>
  <si>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</si>
  <si>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</si>
  <si>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</si>
  <si>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</si>
  <si>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</si>
  <si>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</si>
  <si>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</si>
  <si>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</si>
  <si>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</si>
  <si>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</si>
  <si>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</si>
  <si>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</si>
  <si>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</si>
  <si>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</si>
  <si>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</si>
  <si>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</si>
  <si>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</si>
  <si>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</si>
  <si>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</si>
  <si>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</si>
  <si>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</si>
  <si>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</si>
  <si>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</si>
  <si>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</si>
  <si>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</si>
  <si>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</si>
  <si>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</si>
  <si>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</si>
  <si>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</si>
  <si>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</si>
  <si>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</si>
  <si>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</si>
  <si>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</si>
  <si>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</si>
  <si>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</si>
  <si>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</si>
  <si>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</si>
  <si>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</si>
  <si>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</si>
  <si>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</si>
  <si>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</si>
  <si>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</si>
  <si>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</si>
  <si>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</si>
  <si>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</si>
  <si>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</si>
  <si>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</si>
  <si>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</si>
  <si>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</si>
  <si>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</si>
  <si>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</si>
  <si>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</si>
  <si>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</si>
  <si>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</si>
  <si>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</si>
  <si>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</si>
  <si>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</si>
  <si>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</si>
  <si>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</si>
  <si>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</si>
  <si>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</si>
  <si>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</si>
  <si>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</si>
  <si>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</si>
  <si>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</si>
  <si>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</si>
  <si>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</si>
  <si>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</si>
  <si>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</si>
  <si>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</si>
  <si>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</si>
  <si>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</si>
  <si>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</si>
  <si>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</si>
  <si>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</si>
  <si>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</si>
  <si>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</si>
  <si>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</si>
  <si>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</si>
  <si>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</si>
  <si>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</si>
  <si>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</si>
  <si>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</si>
  <si>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</si>
  <si>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</si>
  <si>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</si>
  <si>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</si>
  <si>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</si>
  <si>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</si>
  <si>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</si>
  <si>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</si>
  <si>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</si>
  <si>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</si>
  <si>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</si>
  <si>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</si>
  <si>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</si>
  <si>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</si>
  <si>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</si>
  <si>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</si>
  <si>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</si>
  <si>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</si>
  <si>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</si>
  <si>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</si>
  <si>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</si>
  <si>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</si>
  <si>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</si>
  <si>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</si>
  <si>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</si>
  <si>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</si>
  <si>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</si>
  <si>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</si>
  <si>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</si>
  <si>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</si>
  <si>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</si>
  <si>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</si>
  <si>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</si>
  <si>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</si>
  <si>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</si>
  <si>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</si>
  <si>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</si>
  <si>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</si>
  <si>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</si>
  <si>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</si>
  <si>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</si>
  <si>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</si>
  <si>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</si>
  <si>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</si>
  <si>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</si>
  <si>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</si>
  <si>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</si>
  <si>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</si>
  <si>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</si>
  <si>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</si>
  <si>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</si>
  <si>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</si>
  <si>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</si>
  <si>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</si>
  <si>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</si>
  <si>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</si>
  <si>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</si>
  <si>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</si>
  <si>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</si>
  <si>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</si>
  <si>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</si>
  <si>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</si>
  <si>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</si>
  <si>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</si>
  <si>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</si>
  <si>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</si>
  <si>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</si>
  <si>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</si>
  <si>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</si>
  <si>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</si>
  <si>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</si>
  <si>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</si>
  <si>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</si>
  <si>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</si>
  <si>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</si>
  <si>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</si>
  <si>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</si>
  <si>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</si>
  <si>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</si>
  <si>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</si>
  <si>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</si>
  <si>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</si>
  <si>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</si>
  <si>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</si>
  <si>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</si>
  <si>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</si>
  <si>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</si>
  <si>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</si>
  <si>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</si>
  <si>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</si>
  <si>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</si>
  <si>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</si>
  <si>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</si>
  <si>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</si>
  <si>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</si>
  <si>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</si>
  <si>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</si>
  <si>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</si>
  <si>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</si>
  <si>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</si>
  <si>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</si>
  <si>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</si>
  <si>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</si>
  <si>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</si>
  <si>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</si>
  <si>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</si>
  <si>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</si>
  <si>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</si>
  <si>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</si>
  <si>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</si>
  <si>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</si>
  <si>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</si>
  <si>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</si>
  <si>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</si>
  <si>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</si>
  <si>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</si>
  <si>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</si>
  <si>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</si>
  <si>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</si>
  <si>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</si>
  <si>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</si>
  <si>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</si>
  <si>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</si>
  <si>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</si>
  <si>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</si>
  <si>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</si>
  <si>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</si>
  <si>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</si>
  <si>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</si>
  <si>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</si>
  <si>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</si>
  <si>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</si>
  <si>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</si>
  <si>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</si>
  <si>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</si>
  <si>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</si>
  <si>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</si>
  <si>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</si>
  <si>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</si>
  <si>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</si>
  <si>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</si>
  <si>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</si>
  <si>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</si>
  <si>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</si>
  <si>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</si>
  <si>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</si>
  <si>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</si>
  <si>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</si>
  <si>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</si>
  <si>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</si>
  <si>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</si>
  <si>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</si>
  <si>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</si>
  <si>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</si>
  <si>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</si>
  <si>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</si>
  <si>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</si>
  <si>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</si>
  <si>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</si>
  <si>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</si>
  <si>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</si>
  <si>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</si>
  <si>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</si>
  <si>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</si>
  <si>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</si>
  <si>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</si>
  <si>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</si>
  <si>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</si>
  <si>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</si>
  <si>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</si>
  <si>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</si>
  <si>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</si>
  <si>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</si>
  <si>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</si>
  <si>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</si>
  <si>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</si>
  <si>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</si>
  <si>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</si>
  <si>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</si>
  <si>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</si>
  <si>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</si>
  <si>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</si>
  <si>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</si>
  <si>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</si>
  <si>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</si>
  <si>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</si>
  <si>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</si>
  <si>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</si>
  <si>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</si>
  <si>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</si>
  <si>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</si>
  <si>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</si>
  <si>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</si>
  <si>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</si>
  <si>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</si>
  <si>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</si>
  <si>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</si>
  <si>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</si>
  <si>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</si>
  <si>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</si>
  <si>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</si>
  <si>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</si>
  <si>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</si>
  <si>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</si>
  <si>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</si>
  <si>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</si>
  <si>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</si>
  <si>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</si>
  <si>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</si>
  <si>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</si>
  <si>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</si>
  <si>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</si>
  <si>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</si>
  <si>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</si>
  <si>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</si>
  <si>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</si>
  <si>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</si>
  <si>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</si>
  <si>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</si>
  <si>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</si>
  <si>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</si>
  <si>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</si>
  <si>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</si>
  <si>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</si>
  <si>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</si>
  <si>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</si>
  <si>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</si>
  <si>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</si>
  <si>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</si>
  <si>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</si>
  <si>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</si>
  <si>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</si>
  <si>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</si>
  <si>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</si>
  <si>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</si>
  <si>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</si>
  <si>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</si>
  <si>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</si>
  <si>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</si>
  <si>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</si>
  <si>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</si>
  <si>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</si>
  <si>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</si>
  <si>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</si>
  <si>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</si>
  <si>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</si>
  <si>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</si>
  <si>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</si>
  <si>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</si>
  <si>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</si>
  <si>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</si>
  <si>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</si>
  <si>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</si>
  <si>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</si>
  <si>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</si>
  <si>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</si>
  <si>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</si>
  <si>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</si>
  <si>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</si>
  <si>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</si>
  <si>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</si>
  <si>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</si>
  <si>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</si>
  <si>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</si>
  <si>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</si>
  <si>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</si>
  <si>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</si>
  <si>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</si>
  <si>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</si>
  <si>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</si>
  <si>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</si>
  <si>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</si>
  <si>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</si>
  <si>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</si>
  <si>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</si>
  <si>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</si>
  <si>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</si>
  <si>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</si>
  <si>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</si>
  <si>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</si>
  <si>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</si>
  <si>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</si>
  <si>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</si>
  <si>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</si>
  <si>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</si>
  <si>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</si>
  <si>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</si>
  <si>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</si>
  <si>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</si>
  <si>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</si>
  <si>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</si>
  <si>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</si>
  <si>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</si>
  <si>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</si>
  <si>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</si>
  <si>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</si>
  <si>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</si>
  <si>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</si>
  <si>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</si>
  <si>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</si>
  <si>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</si>
  <si>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</si>
  <si>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</si>
  <si>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</si>
  <si>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</si>
  <si>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</si>
  <si>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</si>
  <si>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</si>
  <si>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</si>
  <si>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</si>
  <si>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</si>
  <si>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</si>
  <si>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</si>
  <si>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</si>
  <si>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</si>
  <si>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</si>
  <si>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</si>
  <si>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</si>
  <si>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</si>
  <si>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</si>
  <si>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</si>
  <si>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</si>
  <si>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</si>
  <si>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</si>
  <si>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</si>
  <si>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</si>
  <si>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</si>
  <si>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</si>
  <si>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</si>
  <si>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</si>
  <si>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</si>
  <si>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</si>
  <si>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</si>
  <si>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</si>
  <si>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</si>
  <si>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</si>
  <si>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</si>
  <si>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</si>
  <si>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</si>
  <si>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</si>
  <si>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</si>
  <si>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</si>
  <si>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</si>
  <si>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</si>
  <si>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</si>
  <si>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</si>
  <si>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</si>
  <si>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</si>
  <si>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</si>
  <si>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</si>
  <si>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</si>
  <si>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</si>
  <si>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</si>
  <si>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</si>
  <si>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</si>
  <si>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</si>
  <si>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</si>
  <si>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</si>
  <si>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</si>
  <si>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</si>
  <si>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</si>
  <si>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</si>
  <si>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</si>
  <si>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</si>
  <si>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</si>
  <si>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</si>
  <si>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</si>
  <si>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</si>
  <si>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</si>
  <si>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</si>
  <si>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</si>
  <si>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</si>
  <si>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</si>
  <si>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</si>
  <si>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</si>
  <si>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</si>
  <si>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</si>
  <si>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</si>
  <si>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</si>
  <si>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</si>
  <si>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</si>
  <si>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</si>
  <si>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</si>
  <si>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</si>
  <si>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</si>
  <si>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</si>
  <si>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</si>
  <si>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</si>
  <si>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</si>
  <si>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</si>
  <si>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</si>
  <si>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</si>
  <si>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</si>
  <si>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</si>
  <si>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</si>
  <si>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</si>
  <si>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</si>
  <si>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</si>
  <si>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</si>
  <si>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</si>
  <si>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</si>
  <si>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</si>
  <si>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</si>
  <si>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</si>
  <si>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</si>
  <si>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</si>
  <si>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</si>
  <si>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</si>
  <si>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</si>
  <si>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</si>
  <si>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</si>
  <si>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</si>
  <si>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</si>
  <si>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</si>
  <si>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</si>
  <si>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</si>
  <si>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</si>
  <si>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</si>
  <si>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</si>
  <si>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</si>
  <si>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</si>
  <si>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</si>
  <si>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</si>
  <si>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</si>
  <si>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</si>
  <si>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</si>
  <si>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</si>
  <si>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</si>
  <si>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</si>
  <si>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</si>
  <si>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</si>
  <si>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</si>
  <si>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</si>
  <si>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</si>
  <si>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</si>
  <si>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</si>
  <si>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</si>
  <si>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</si>
  <si>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</si>
  <si>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</si>
  <si>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</si>
  <si>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</si>
  <si>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</si>
  <si>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</si>
  <si>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</si>
  <si>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</si>
  <si>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</si>
  <si>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</si>
  <si>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</si>
  <si>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</si>
  <si>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</si>
  <si>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</si>
  <si>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</si>
  <si>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</si>
  <si>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</si>
  <si>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</si>
  <si>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</si>
  <si>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</si>
  <si>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</si>
  <si>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</si>
  <si>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</si>
  <si>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</si>
  <si>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</si>
  <si>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</si>
  <si>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</si>
  <si>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</si>
  <si>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</si>
  <si>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</si>
  <si>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</si>
  <si>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</si>
  <si>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</si>
  <si>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</si>
  <si>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</si>
  <si>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</si>
  <si>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</si>
  <si>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</si>
  <si>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</si>
  <si>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</si>
  <si>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</si>
  <si>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</si>
  <si>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</si>
  <si>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</si>
  <si>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</si>
  <si>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</si>
  <si>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</si>
  <si>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</si>
  <si>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</si>
  <si>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</si>
  <si>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</si>
  <si>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</si>
  <si>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</si>
  <si>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</si>
  <si>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</si>
  <si>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</si>
  <si>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</si>
  <si>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</si>
  <si>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</si>
  <si>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</si>
  <si>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</si>
  <si>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</si>
  <si>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</si>
  <si>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</si>
  <si>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</si>
  <si>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</si>
  <si>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</si>
  <si>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</si>
  <si>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</si>
  <si>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</si>
  <si>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</si>
  <si>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</si>
  <si>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</si>
  <si>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</si>
  <si>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</si>
  <si>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</si>
  <si>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</si>
  <si>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</si>
  <si>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</si>
  <si>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</si>
  <si>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</si>
  <si>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</si>
  <si>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</si>
  <si>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</si>
  <si>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</si>
  <si>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</si>
  <si>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</si>
  <si>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</si>
  <si>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</si>
  <si>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</si>
  <si>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</si>
  <si>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</si>
  <si>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</si>
  <si>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</si>
  <si>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</si>
  <si>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</si>
  <si>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</si>
  <si>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</si>
  <si>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</si>
  <si>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</si>
  <si>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</si>
  <si>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</si>
  <si>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</si>
  <si>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</si>
  <si>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</si>
  <si>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</si>
  <si>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</si>
  <si>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</si>
  <si>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</si>
  <si>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</si>
  <si>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</si>
  <si>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</si>
  <si>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</si>
  <si>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</si>
  <si>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</si>
  <si>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</si>
  <si>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</si>
  <si>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</si>
  <si>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</si>
  <si>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</si>
  <si>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</si>
  <si>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</si>
  <si>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</si>
  <si>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</si>
  <si>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</si>
  <si>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</si>
  <si>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</si>
  <si>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</si>
  <si>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</si>
  <si>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</si>
  <si>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</si>
  <si>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</si>
  <si>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</si>
  <si>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</si>
  <si>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</si>
  <si>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</si>
  <si>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</si>
  <si>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</si>
  <si>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</si>
  <si>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</si>
  <si>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</si>
  <si>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</si>
  <si>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</si>
  <si>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</si>
  <si>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</si>
  <si>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</si>
  <si>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</si>
  <si>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</si>
  <si>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</si>
  <si>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</si>
  <si>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</si>
  <si>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</si>
  <si>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</si>
  <si>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</si>
  <si>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</si>
  <si>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</si>
  <si>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</si>
  <si>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</si>
  <si>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</si>
  <si>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</si>
  <si>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</si>
  <si>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</si>
  <si>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</si>
  <si>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</si>
  <si>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</si>
  <si>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</si>
  <si>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</si>
  <si>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</si>
  <si>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</si>
  <si>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</si>
  <si>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</si>
  <si>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</si>
  <si>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</si>
  <si>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</si>
  <si>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</si>
  <si>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</si>
  <si>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</si>
  <si>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</si>
  <si>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</si>
  <si>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</si>
  <si>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</si>
  <si>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</si>
  <si>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</si>
  <si>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</si>
  <si>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</si>
  <si>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</si>
  <si>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</si>
  <si>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</si>
  <si>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</si>
  <si>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</si>
  <si>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</si>
  <si>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</si>
  <si>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</si>
  <si>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</si>
  <si>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</si>
  <si>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</si>
  <si>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</si>
  <si>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</si>
  <si>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</si>
  <si>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</si>
  <si>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</si>
  <si>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</si>
  <si>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</si>
  <si>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</si>
  <si>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</si>
  <si>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</si>
  <si>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</si>
  <si>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</si>
  <si>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</si>
  <si>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</si>
  <si>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</si>
  <si>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</si>
  <si>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</si>
  <si>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</si>
  <si>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</si>
  <si>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</si>
  <si>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</si>
  <si>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</si>
  <si>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</si>
  <si>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</si>
  <si>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</si>
  <si>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</si>
  <si>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</si>
  <si>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</si>
  <si>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</si>
  <si>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</si>
  <si>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</si>
  <si>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</si>
  <si>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</si>
  <si>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</si>
  <si>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</si>
  <si>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</si>
  <si>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</si>
  <si>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</si>
  <si>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</si>
  <si>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</si>
  <si>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</si>
  <si>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</si>
  <si>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</si>
  <si>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</si>
  <si>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</si>
  <si>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</si>
  <si>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</si>
  <si>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</si>
  <si>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</si>
  <si>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</si>
  <si>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</si>
  <si>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</si>
  <si>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</si>
  <si>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</si>
  <si>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</si>
  <si>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</si>
  <si>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</si>
  <si>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</si>
  <si>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</si>
  <si>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</si>
  <si>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</si>
  <si>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</si>
  <si>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</si>
  <si>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</si>
  <si>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</si>
  <si>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</si>
  <si>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</si>
  <si>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</si>
  <si>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</si>
  <si>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</si>
  <si>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</si>
  <si>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</si>
  <si>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</si>
  <si>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</si>
  <si>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</si>
  <si>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</si>
  <si>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</si>
  <si>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</si>
  <si>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</si>
  <si>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</si>
  <si>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</si>
  <si>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</si>
  <si>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</si>
  <si>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</si>
  <si>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</si>
  <si>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</si>
  <si>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</si>
  <si>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</si>
  <si>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</si>
  <si>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</si>
  <si>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</si>
  <si>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</si>
  <si>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</si>
  <si>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</si>
  <si>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</si>
  <si>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</si>
  <si>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</si>
  <si>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</si>
  <si>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</si>
  <si>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</si>
  <si>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</si>
  <si>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</si>
  <si>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</si>
  <si>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</si>
  <si>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</si>
  <si>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</si>
  <si>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</si>
  <si>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</si>
  <si>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</si>
  <si>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</si>
  <si>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</si>
  <si>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</si>
  <si>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</si>
  <si>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</si>
  <si>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</si>
  <si>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</si>
  <si>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</si>
  <si>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</si>
  <si>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</si>
  <si>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</si>
  <si>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</si>
  <si>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</si>
  <si>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</si>
  <si>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</si>
  <si>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</si>
  <si>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</si>
  <si>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</si>
  <si>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</si>
  <si>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</si>
  <si>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</si>
  <si>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</si>
  <si>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</si>
  <si>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</si>
  <si>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</si>
  <si>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</si>
  <si>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</si>
  <si>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</si>
  <si>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</si>
  <si>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</si>
  <si>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</si>
  <si>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</si>
  <si>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</si>
  <si>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</si>
  <si>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</si>
  <si>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</si>
  <si>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</si>
  <si>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</si>
  <si>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</si>
  <si>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</si>
  <si>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</si>
  <si>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</si>
  <si>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</si>
  <si>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</si>
  <si>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</si>
  <si>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</si>
  <si>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</si>
  <si>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</si>
  <si>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</si>
  <si>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</si>
  <si>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</si>
  <si>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</si>
  <si>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</si>
  <si>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</si>
  <si>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</si>
  <si>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</si>
  <si>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</si>
  <si>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</si>
  <si>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</si>
  <si>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</si>
  <si>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</si>
  <si>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</si>
  <si>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</si>
  <si>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</si>
  <si>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</si>
  <si>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</si>
  <si>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</si>
  <si>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</si>
  <si>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</si>
  <si>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</si>
  <si>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</si>
  <si>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</si>
  <si>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</si>
  <si>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</si>
  <si>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</si>
  <si>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</si>
  <si>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</si>
  <si>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</si>
  <si>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</si>
  <si>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</si>
  <si>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</si>
  <si>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</si>
  <si>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</si>
  <si>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</si>
  <si>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</si>
  <si>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</si>
  <si>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</si>
  <si>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</si>
  <si>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</si>
  <si>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</si>
  <si>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</si>
  <si>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</si>
  <si>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</si>
  <si>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</si>
  <si>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</si>
  <si>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</si>
  <si>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</si>
  <si>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</si>
  <si>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</si>
  <si>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</si>
  <si>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</si>
  <si>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</si>
  <si>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</si>
  <si>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</si>
  <si>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</si>
  <si>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</si>
  <si>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</si>
  <si>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</si>
  <si>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</si>
  <si>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</si>
  <si>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</si>
  <si>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</si>
  <si>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</si>
  <si>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</si>
  <si>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</si>
  <si>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</si>
  <si>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</si>
  <si>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</si>
  <si>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</si>
  <si>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</si>
  <si>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</si>
  <si>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</si>
  <si>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</si>
  <si>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</si>
  <si>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</si>
  <si>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</si>
  <si>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</si>
  <si>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</si>
  <si>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</si>
  <si>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</si>
  <si>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</si>
  <si>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</si>
  <si>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</si>
  <si>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</si>
  <si>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</si>
  <si>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</si>
  <si>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</si>
  <si>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</si>
  <si>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</si>
  <si>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</si>
  <si>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</si>
  <si>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</si>
  <si>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</si>
  <si>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</si>
  <si>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</si>
  <si>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</si>
  <si>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</si>
  <si>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</si>
  <si>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</si>
  <si>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</si>
  <si>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</si>
  <si>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</si>
  <si>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</si>
  <si>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</si>
  <si>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</si>
  <si>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</si>
  <si>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</si>
  <si>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</si>
  <si>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</si>
  <si>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</si>
  <si>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</si>
  <si>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</si>
  <si>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</si>
  <si>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</si>
  <si>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</si>
  <si>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</si>
  <si>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</si>
  <si>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</si>
  <si>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</si>
  <si>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</si>
  <si>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</si>
  <si>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</si>
  <si>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</si>
  <si>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</si>
  <si>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</si>
  <si>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</si>
  <si>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</si>
  <si>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</si>
  <si>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</si>
  <si>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</si>
  <si>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</si>
  <si>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</si>
  <si>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</si>
  <si>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</si>
  <si>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</si>
  <si>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</si>
  <si>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</si>
  <si>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</si>
  <si>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</si>
  <si>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</si>
  <si>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</si>
  <si>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</si>
  <si>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</si>
  <si>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</si>
  <si>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</si>
  <si>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</si>
  <si>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</si>
  <si>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</si>
  <si>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</si>
  <si>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</si>
  <si>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</si>
  <si>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</si>
  <si>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</si>
  <si>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</si>
  <si>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</si>
  <si>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</si>
  <si>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</si>
  <si>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</si>
  <si>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</si>
  <si>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</si>
  <si>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</si>
  <si>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</si>
  <si>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</si>
  <si>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</si>
  <si>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</si>
  <si>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</si>
  <si>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</si>
  <si>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</si>
  <si>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</si>
  <si>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</si>
  <si>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</si>
  <si>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</si>
  <si>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</si>
  <si>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</si>
  <si>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</si>
  <si>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</si>
  <si>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</si>
  <si>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</si>
  <si>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</si>
  <si>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</si>
  <si>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</si>
  <si>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</si>
  <si>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</si>
  <si>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</si>
  <si>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</si>
  <si>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</si>
  <si>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</si>
  <si>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</si>
  <si>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</si>
  <si>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</si>
  <si>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</si>
  <si>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</si>
  <si>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</si>
  <si>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</si>
  <si>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</si>
  <si>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</si>
  <si>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</si>
  <si>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</si>
  <si>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</si>
  <si>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</si>
  <si>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</si>
  <si>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</si>
  <si>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</si>
  <si>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</si>
  <si>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</si>
  <si>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</si>
  <si>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</si>
  <si>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</si>
  <si>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</si>
  <si>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</si>
  <si>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</si>
  <si>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</si>
  <si>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</si>
  <si>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</si>
  <si>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</si>
  <si>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</si>
  <si>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</si>
  <si>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</si>
  <si>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</si>
  <si>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</si>
  <si>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</si>
  <si>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</si>
  <si>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</si>
  <si>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</si>
  <si>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</si>
  <si>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</si>
  <si>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</si>
  <si>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</si>
  <si>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</si>
  <si>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</si>
  <si>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</si>
  <si>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</si>
  <si>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</si>
  <si>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</si>
  <si>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</si>
  <si>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</si>
  <si>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</si>
  <si>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</si>
  <si>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</si>
  <si>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</si>
  <si>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</si>
  <si>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</si>
  <si>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</si>
  <si>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</si>
  <si>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</si>
  <si>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</si>
  <si>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</si>
  <si>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</si>
  <si>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</si>
  <si>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</si>
  <si>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</si>
  <si>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</si>
  <si>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</si>
  <si>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</si>
  <si>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</si>
  <si>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</si>
  <si>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</si>
  <si>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</si>
  <si>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</si>
  <si>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</si>
  <si>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</si>
  <si>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</si>
  <si>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</si>
  <si>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</si>
  <si>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</si>
  <si>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</si>
  <si>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</si>
  <si>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</si>
  <si>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</si>
  <si>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</si>
  <si>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</si>
  <si>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</si>
  <si>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</si>
  <si>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</si>
  <si>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</si>
  <si>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</si>
  <si>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</si>
  <si>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</si>
  <si>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</si>
  <si>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</si>
  <si>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</si>
  <si>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</si>
  <si>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</si>
  <si>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</si>
  <si>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</si>
  <si>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</si>
  <si>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</si>
  <si>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</si>
  <si>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</si>
  <si>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</si>
  <si>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</si>
  <si>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</si>
  <si>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</si>
  <si>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</si>
  <si>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</si>
  <si>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</si>
  <si>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</si>
  <si>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</si>
  <si>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</si>
  <si>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</si>
  <si>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</si>
  <si>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</si>
  <si>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</si>
  <si>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</si>
  <si>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</si>
  <si>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</si>
  <si>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</si>
  <si>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</si>
  <si>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</si>
  <si>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</si>
  <si>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</si>
  <si>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</si>
  <si>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</si>
  <si>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</si>
  <si>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</si>
  <si>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</si>
  <si>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</si>
  <si>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</si>
  <si>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</si>
  <si>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</si>
  <si>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</si>
  <si>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</si>
  <si>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</si>
  <si>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</si>
  <si>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</si>
  <si>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</si>
  <si>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</si>
  <si>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</si>
  <si>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</si>
  <si>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</si>
  <si>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</si>
  <si>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</si>
  <si>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</si>
  <si>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</si>
  <si>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</si>
  <si>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</si>
  <si>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</si>
  <si>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</si>
  <si>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</si>
  <si>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</si>
  <si>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</si>
  <si>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</si>
  <si>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</si>
  <si>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</si>
  <si>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</si>
  <si>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</si>
  <si>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</si>
  <si>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</si>
  <si>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</si>
  <si>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</si>
  <si>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</si>
  <si>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</si>
  <si>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</si>
  <si>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</si>
  <si>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</si>
  <si>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</si>
  <si>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</si>
  <si>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</si>
  <si>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</si>
  <si>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</si>
  <si>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</si>
  <si>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</si>
  <si>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</si>
  <si>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</si>
  <si>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</si>
  <si>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</si>
  <si>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</si>
  <si>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</si>
  <si>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</si>
  <si>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</si>
  <si>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</si>
  <si>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</si>
  <si>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</si>
  <si>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</si>
  <si>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</si>
  <si>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</si>
  <si>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</si>
  <si>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</si>
  <si>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</si>
  <si>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</si>
  <si>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</si>
  <si>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</si>
  <si>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</si>
  <si>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</si>
  <si>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</si>
  <si>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</si>
  <si>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</si>
  <si>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</si>
  <si>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</si>
  <si>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</si>
  <si>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</si>
  <si>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</si>
  <si>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</si>
  <si>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</si>
  <si>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</si>
  <si>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</si>
  <si>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</si>
  <si>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</si>
  <si>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</si>
  <si>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</si>
  <si>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</si>
  <si>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</si>
  <si>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</si>
  <si>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</si>
  <si>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</si>
  <si>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</si>
  <si>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</si>
  <si>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</si>
  <si>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</si>
  <si>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</si>
  <si>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</si>
  <si>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</si>
  <si>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</si>
  <si>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</si>
  <si>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</si>
  <si>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</si>
  <si>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</si>
  <si>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</si>
  <si>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</si>
  <si>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</si>
  <si>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</si>
  <si>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</si>
  <si>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</si>
  <si>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</si>
  <si>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</si>
  <si>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</si>
  <si>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</si>
  <si>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</si>
  <si>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</si>
  <si>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</si>
  <si>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</si>
  <si>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</si>
  <si>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</si>
  <si>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</si>
  <si>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</si>
  <si>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</si>
  <si>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</si>
  <si>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</si>
  <si>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</si>
  <si>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</si>
  <si>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</si>
  <si>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</si>
  <si>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</si>
  <si>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</si>
  <si>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</si>
  <si>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</si>
  <si>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</si>
  <si>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</si>
  <si>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</si>
  <si>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</si>
  <si>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</si>
  <si>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</si>
  <si>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</si>
  <si>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</si>
  <si>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</si>
  <si>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</si>
  <si>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</si>
  <si>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</si>
  <si>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</si>
  <si>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</si>
  <si>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</si>
  <si>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</si>
  <si>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</si>
  <si>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</si>
  <si>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</si>
  <si>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</si>
  <si>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</si>
  <si>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</si>
  <si>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</si>
  <si>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</si>
  <si>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</si>
  <si>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</si>
  <si>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</si>
  <si>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</si>
  <si>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</si>
  <si>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</si>
  <si>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</si>
  <si>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</si>
  <si>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</si>
  <si>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</si>
  <si>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</si>
  <si>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</si>
  <si>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</si>
  <si>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</si>
  <si>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</si>
  <si>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</si>
  <si>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</si>
  <si>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</si>
  <si>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</si>
  <si>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</si>
  <si>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</si>
  <si>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</si>
  <si>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</si>
  <si>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</si>
  <si>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</si>
  <si>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</si>
  <si>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</si>
  <si>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</si>
  <si>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</si>
  <si>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</si>
  <si>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</si>
  <si>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</si>
  <si>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</si>
  <si>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</si>
  <si>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</si>
  <si>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</si>
  <si>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</si>
  <si>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</si>
  <si>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</si>
  <si>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</si>
  <si>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</si>
  <si>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</si>
  <si>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</si>
  <si>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</si>
  <si>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</si>
  <si>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</si>
  <si>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</si>
  <si>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</si>
  <si>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</si>
  <si>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</si>
  <si>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</si>
  <si>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</si>
  <si>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</si>
  <si>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</si>
  <si>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</si>
  <si>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</si>
  <si>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</si>
  <si>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</si>
  <si>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</si>
  <si>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</si>
  <si>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</si>
  <si>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</si>
  <si>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</si>
  <si>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</si>
  <si>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</si>
  <si>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</si>
  <si>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</si>
  <si>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</si>
  <si>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</si>
  <si>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</si>
  <si>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</si>
  <si>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</si>
  <si>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</si>
  <si>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</si>
  <si>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</si>
  <si>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</si>
  <si>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</si>
  <si>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</si>
  <si>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</si>
  <si>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</si>
  <si>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</si>
  <si>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</si>
  <si>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</si>
  <si>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</si>
  <si>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</si>
  <si>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</si>
  <si>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</si>
  <si>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</si>
  <si>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</si>
  <si>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</si>
  <si>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</si>
  <si>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</si>
  <si>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</si>
  <si>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</si>
  <si>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</si>
  <si>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</si>
  <si>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</si>
  <si>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</si>
  <si>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</si>
  <si>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</si>
  <si>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</si>
  <si>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</si>
  <si>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</si>
  <si>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</si>
  <si>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</si>
  <si>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</si>
  <si>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</si>
  <si>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</si>
  <si>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</si>
  <si>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</si>
  <si>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</si>
  <si>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</si>
  <si>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</si>
  <si>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</si>
  <si>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</si>
  <si>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</si>
  <si>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</si>
  <si>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</si>
  <si>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</si>
  <si>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</si>
  <si>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</si>
  <si>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</si>
  <si>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</si>
  <si>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</si>
  <si>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</si>
  <si>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</si>
  <si>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</si>
  <si>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</si>
  <si>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</si>
  <si>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</si>
  <si>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</si>
  <si>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</si>
  <si>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</si>
  <si>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</si>
  <si>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</si>
  <si>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</si>
  <si>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</si>
  <si>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</si>
  <si>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</si>
  <si>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</si>
  <si>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</si>
  <si>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</si>
  <si>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</si>
  <si>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</si>
  <si>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</si>
  <si>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</si>
  <si>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</si>
  <si>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</si>
  <si>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</si>
  <si>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</si>
  <si>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</si>
  <si>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</si>
  <si>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</si>
  <si>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</si>
  <si>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</si>
  <si>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</si>
  <si>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</si>
  <si>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</si>
  <si>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</si>
  <si>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</si>
  <si>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</si>
  <si>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</si>
  <si>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</si>
  <si>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</si>
  <si>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</si>
  <si>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</si>
  <si>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</si>
  <si>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</si>
  <si>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</si>
  <si>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</si>
  <si>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</si>
  <si>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</si>
  <si>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</si>
  <si>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</si>
  <si>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</si>
  <si>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</si>
  <si>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</si>
  <si>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</si>
  <si>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</si>
  <si>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</si>
  <si>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</si>
  <si>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</si>
  <si>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</si>
  <si>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</si>
  <si>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</si>
  <si>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</si>
  <si>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</si>
  <si>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</si>
  <si>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</si>
  <si>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</si>
  <si>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</si>
  <si>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</si>
  <si>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</si>
  <si>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</si>
  <si>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</si>
  <si>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</si>
  <si>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</si>
  <si>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</si>
  <si>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</si>
  <si>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</si>
  <si>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</si>
  <si>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</si>
  <si>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</si>
  <si>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</si>
  <si>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</si>
  <si>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</si>
  <si>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</si>
  <si>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</si>
  <si>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</si>
  <si>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</si>
  <si>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</si>
  <si>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</si>
  <si>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</si>
  <si>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</si>
  <si>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</si>
  <si>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</si>
  <si>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</si>
  <si>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</si>
  <si>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</si>
  <si>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</si>
  <si>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</si>
  <si>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</si>
  <si>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</si>
  <si>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</si>
  <si>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</si>
  <si>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</si>
  <si>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</si>
  <si>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</si>
  <si>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</si>
  <si>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</si>
  <si>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</si>
  <si>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</si>
  <si>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</si>
  <si>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</si>
  <si>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</si>
  <si>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</si>
  <si>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</si>
  <si>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</si>
  <si>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</si>
  <si>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</si>
  <si>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</si>
  <si>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</si>
  <si>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</si>
  <si>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</si>
  <si>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</si>
  <si>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</si>
  <si>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</si>
  <si>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</si>
  <si>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</si>
  <si>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</si>
  <si>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</si>
  <si>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</si>
  <si>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</si>
  <si>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</si>
  <si>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</si>
  <si>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</si>
  <si>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</si>
  <si>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</si>
  <si>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</si>
  <si>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</si>
  <si>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</si>
  <si>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</si>
  <si>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</si>
  <si>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</si>
  <si>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</si>
  <si>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</si>
  <si>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</si>
  <si>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</si>
  <si>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</si>
  <si>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</si>
  <si>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</si>
  <si>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</si>
  <si>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</si>
  <si>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</si>
  <si>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</si>
  <si>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</si>
  <si>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</si>
  <si>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</si>
  <si>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</si>
  <si>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</si>
  <si>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</si>
  <si>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</si>
  <si>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</si>
  <si>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</si>
  <si>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</si>
  <si>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</si>
  <si>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</si>
  <si>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</si>
  <si>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</si>
  <si>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</si>
  <si>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</si>
  <si>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</si>
  <si>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</si>
  <si>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</si>
  <si>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</si>
  <si>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</si>
  <si>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</si>
  <si>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</si>
  <si>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</si>
  <si>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</si>
  <si>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</si>
  <si>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</si>
  <si>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</si>
  <si>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</si>
  <si>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</si>
  <si>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</si>
  <si>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</si>
  <si>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</si>
  <si>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</si>
  <si>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</si>
  <si>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</si>
  <si>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</si>
  <si>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</si>
  <si>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</si>
  <si>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</si>
  <si>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</si>
  <si>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</si>
  <si>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</si>
  <si>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</si>
  <si>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</si>
  <si>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</si>
  <si>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</si>
  <si>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</si>
  <si>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</si>
  <si>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</si>
  <si>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</si>
  <si>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</si>
  <si>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</si>
  <si>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</si>
  <si>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</si>
  <si>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</si>
  <si>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</si>
  <si>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</si>
  <si>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</si>
  <si>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</si>
  <si>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</si>
  <si>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</si>
  <si>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</si>
  <si>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</si>
  <si>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</si>
  <si>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</si>
  <si>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</si>
  <si>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</si>
  <si>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</si>
  <si>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</si>
  <si>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</si>
  <si>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</si>
  <si>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</si>
  <si>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</si>
  <si>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</si>
  <si>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</si>
  <si>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</si>
  <si>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</si>
  <si>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</si>
  <si>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</si>
  <si>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</si>
  <si>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</si>
  <si>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</si>
  <si>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</si>
  <si>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</si>
  <si>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</si>
  <si>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</si>
  <si>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</si>
  <si>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</si>
  <si>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</si>
  <si>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</si>
  <si>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</si>
  <si>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</si>
  <si>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</si>
  <si>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</si>
  <si>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</si>
  <si>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</si>
  <si>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</si>
  <si>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</si>
  <si>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</si>
  <si>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</si>
  <si>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</si>
  <si>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</si>
  <si>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</si>
  <si>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</si>
  <si>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</si>
  <si>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</si>
  <si>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</si>
  <si>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</si>
  <si>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</si>
  <si>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</si>
  <si>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</si>
  <si>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</si>
  <si>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</si>
  <si>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</si>
  <si>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</si>
  <si>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</si>
  <si>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</si>
  <si>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</si>
  <si>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</si>
  <si>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</si>
  <si>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</si>
  <si>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</si>
  <si>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</si>
  <si>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</si>
  <si>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</si>
  <si>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</si>
  <si>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</si>
  <si>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</si>
  <si>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</si>
  <si>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</si>
  <si>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</si>
  <si>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</si>
  <si>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</si>
  <si>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</si>
  <si>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</si>
  <si>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</si>
  <si>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</si>
  <si>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</si>
  <si>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</si>
  <si>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</si>
  <si>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</si>
  <si>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</si>
  <si>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</si>
  <si>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</si>
  <si>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</si>
  <si>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</si>
  <si>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</si>
  <si>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</si>
  <si>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</si>
  <si>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</si>
  <si>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</si>
  <si>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</si>
  <si>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</si>
  <si>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</si>
  <si>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</si>
  <si>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</si>
  <si>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</si>
  <si>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</si>
  <si>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</si>
  <si>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</si>
  <si>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</si>
  <si>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</si>
  <si>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</si>
  <si>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</si>
  <si>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</si>
  <si>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</si>
  <si>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</si>
  <si>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</si>
  <si>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</si>
  <si>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</si>
  <si>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</si>
  <si>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</si>
  <si>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</si>
  <si>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</si>
  <si>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</si>
  <si>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</si>
  <si>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</si>
  <si>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</si>
  <si>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</si>
  <si>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</si>
  <si>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</si>
  <si>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</si>
  <si>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</si>
  <si>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</si>
  <si>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</si>
  <si>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</si>
  <si>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</si>
  <si>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</si>
  <si>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</si>
  <si>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</si>
  <si>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</si>
  <si>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</si>
  <si>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</si>
  <si>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</si>
  <si>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</si>
  <si>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</si>
  <si>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</si>
  <si>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</si>
  <si>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</si>
  <si>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</si>
  <si>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</si>
  <si>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</si>
  <si>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</si>
  <si>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</si>
  <si>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</si>
  <si>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</si>
  <si>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</si>
  <si>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</si>
  <si>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</si>
  <si>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</si>
  <si>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</si>
  <si>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</si>
  <si>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</si>
  <si>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</si>
  <si>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</si>
  <si>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</si>
  <si>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</si>
  <si>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</si>
  <si>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</si>
  <si>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</si>
  <si>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</si>
  <si>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</si>
  <si>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</si>
  <si>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</si>
  <si>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</si>
  <si>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</si>
  <si>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</si>
  <si>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</si>
  <si>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</si>
  <si>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</si>
  <si>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</si>
  <si>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</si>
  <si>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</si>
  <si>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</si>
  <si>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</si>
  <si>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</si>
  <si>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</si>
  <si>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</si>
  <si>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</si>
  <si>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</si>
  <si>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</si>
  <si>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</si>
  <si>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</si>
  <si>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</si>
  <si>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</si>
  <si>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</si>
  <si>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</si>
  <si>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</si>
  <si>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</si>
  <si>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</si>
  <si>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</si>
  <si>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</si>
  <si>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</si>
  <si>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</si>
  <si>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</si>
  <si>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</si>
  <si>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</si>
  <si>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</si>
  <si>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</si>
  <si>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</si>
  <si>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</si>
  <si>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</si>
  <si>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</si>
  <si>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</si>
  <si>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</si>
  <si>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</si>
  <si>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</si>
  <si>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</si>
  <si>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</si>
  <si>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</si>
  <si>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</si>
  <si>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</si>
  <si>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</si>
  <si>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</si>
  <si>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</si>
  <si>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</si>
  <si>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</si>
  <si>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</si>
  <si>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</si>
  <si>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</si>
  <si>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</si>
  <si>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</si>
  <si>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</si>
  <si>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</si>
  <si>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</si>
  <si>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</si>
  <si>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</si>
  <si>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</si>
  <si>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</si>
  <si>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</si>
  <si>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</si>
  <si>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</si>
  <si>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</si>
  <si>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</si>
  <si>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</si>
  <si>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</si>
  <si>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</si>
  <si>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</si>
  <si>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</si>
  <si>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</si>
  <si>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</si>
  <si>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</si>
  <si>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</si>
  <si>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</si>
  <si>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</si>
  <si>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</si>
  <si>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</si>
  <si>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</si>
  <si>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</si>
  <si>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</si>
  <si>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</si>
  <si>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</si>
  <si>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</si>
  <si>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</si>
  <si>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</si>
  <si>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</si>
  <si>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</si>
  <si>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</si>
  <si>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</si>
  <si>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</si>
  <si>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</si>
  <si>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</si>
  <si>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</si>
  <si>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</si>
  <si>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</si>
  <si>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</si>
  <si>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</si>
  <si>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</si>
  <si>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</si>
  <si>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</si>
  <si>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</si>
  <si>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</si>
  <si>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</si>
  <si>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</si>
  <si>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</si>
  <si>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</si>
  <si>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</si>
  <si>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</si>
  <si>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</si>
  <si>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</si>
  <si>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</si>
  <si>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</si>
  <si>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</si>
  <si>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</si>
  <si>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</si>
  <si>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</si>
  <si>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</si>
  <si>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</si>
  <si>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</si>
  <si>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</si>
  <si>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</si>
  <si>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</si>
  <si>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</si>
  <si>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</si>
  <si>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</si>
  <si>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</si>
  <si>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</si>
  <si>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</si>
  <si>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</si>
  <si>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</si>
  <si>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</si>
  <si>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</si>
  <si>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</si>
  <si>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</si>
  <si>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</si>
  <si>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</si>
  <si>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</si>
  <si>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</si>
  <si>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</si>
  <si>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</si>
  <si>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</si>
  <si>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</si>
  <si>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</si>
  <si>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</si>
  <si>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</si>
  <si>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</si>
  <si>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</si>
  <si>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</si>
  <si>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</si>
  <si>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</si>
  <si>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</si>
  <si>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</si>
  <si>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</si>
  <si>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</si>
  <si>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</si>
  <si>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</si>
  <si>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</si>
  <si>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</si>
  <si>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</si>
  <si>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</si>
  <si>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</si>
  <si>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</si>
  <si>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</si>
  <si>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</si>
  <si>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</si>
  <si>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</si>
  <si>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</si>
  <si>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</si>
  <si>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</si>
  <si>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</si>
  <si>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</si>
  <si>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</si>
  <si>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</si>
  <si>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</si>
  <si>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</si>
  <si>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</si>
  <si>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</si>
  <si>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</si>
  <si>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</si>
  <si>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</si>
  <si>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</si>
  <si>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</si>
  <si>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</si>
  <si>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</si>
  <si>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</si>
  <si>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</si>
  <si>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</si>
  <si>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</si>
  <si>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</si>
  <si>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</si>
  <si>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</si>
  <si>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</si>
  <si>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</si>
  <si>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</si>
  <si>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</si>
  <si>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</si>
  <si>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</si>
  <si>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</si>
  <si>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</si>
  <si>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</si>
  <si>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</si>
  <si>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</si>
  <si>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</si>
  <si>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</si>
  <si>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</si>
  <si>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</si>
  <si>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</si>
  <si>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</si>
  <si>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</si>
  <si>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</si>
  <si>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</si>
  <si>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</si>
  <si>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</si>
  <si>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</si>
  <si>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</si>
  <si>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</si>
  <si>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</si>
  <si>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</si>
  <si>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</si>
  <si>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</si>
  <si>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</si>
  <si>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</si>
  <si>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</si>
  <si>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</si>
  <si>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</si>
  <si>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</si>
  <si>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</si>
  <si>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</si>
  <si>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</si>
  <si>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</si>
  <si>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</si>
  <si>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</si>
  <si>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</si>
  <si>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</si>
  <si>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</si>
  <si>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</si>
  <si>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</si>
  <si>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</si>
  <si>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</si>
  <si>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</si>
  <si>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</si>
  <si>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</si>
  <si>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</si>
  <si>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</si>
  <si>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</si>
  <si>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</si>
  <si>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</si>
  <si>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</si>
  <si>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</si>
  <si>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</si>
  <si>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</si>
  <si>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</si>
  <si>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</si>
  <si>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</si>
  <si>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</si>
  <si>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</si>
  <si>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</si>
  <si>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</si>
  <si>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</si>
  <si>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</si>
  <si>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</si>
  <si>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</si>
  <si>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</si>
  <si>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</si>
  <si>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</si>
  <si>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</si>
  <si>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</si>
  <si>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</si>
  <si>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</si>
  <si>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</si>
  <si>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</si>
  <si>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</si>
  <si>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</si>
  <si>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</si>
  <si>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</si>
  <si>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</si>
  <si>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</si>
  <si>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</si>
  <si>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</si>
  <si>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</si>
  <si>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</si>
  <si>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</si>
  <si>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</si>
  <si>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</si>
  <si>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</si>
  <si>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</si>
  <si>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</si>
  <si>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</si>
  <si>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</si>
  <si>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</si>
  <si>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</si>
  <si>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</si>
  <si>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</si>
  <si>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</si>
  <si>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</si>
  <si>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</si>
  <si>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</si>
  <si>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</si>
  <si>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</si>
  <si>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</si>
  <si>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</si>
  <si>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</si>
  <si>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</si>
  <si>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</si>
  <si>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</si>
  <si>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</si>
  <si>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</si>
  <si>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</si>
  <si>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</si>
  <si>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</si>
  <si>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</si>
  <si>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</si>
  <si>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</si>
  <si>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</si>
  <si>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</si>
  <si>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</si>
  <si>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</si>
  <si>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</si>
  <si>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</si>
  <si>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</si>
  <si>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</si>
  <si>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</si>
  <si>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</si>
  <si>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</si>
  <si>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</si>
  <si>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</si>
  <si>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</si>
  <si>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</si>
  <si>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</si>
  <si>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</si>
  <si>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</si>
  <si>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</si>
  <si>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</si>
  <si>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</si>
  <si>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</si>
  <si>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</si>
  <si>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</si>
  <si>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</si>
  <si>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</si>
  <si>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</si>
  <si>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</si>
  <si>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</si>
  <si>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</si>
  <si>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</si>
  <si>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</si>
  <si>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</si>
  <si>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</si>
  <si>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</si>
  <si>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</si>
  <si>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</si>
  <si>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</si>
  <si>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</si>
  <si>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</si>
  <si>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</si>
  <si>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</si>
  <si>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</si>
  <si>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</si>
  <si>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</si>
  <si>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</si>
  <si>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</si>
  <si>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</si>
  <si>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</si>
  <si>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</si>
  <si>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</si>
  <si>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</si>
  <si>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</si>
  <si>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</si>
  <si>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</si>
  <si>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</si>
  <si>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</si>
  <si>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</si>
  <si>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</si>
  <si>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</si>
  <si>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</si>
  <si>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</si>
  <si>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</si>
  <si>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</si>
  <si>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</si>
  <si>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</si>
  <si>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</si>
  <si>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</si>
  <si>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</si>
  <si>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</si>
  <si>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</si>
  <si>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</si>
  <si>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</si>
  <si>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</si>
  <si>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</si>
  <si>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</si>
  <si>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</si>
  <si>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</si>
  <si>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</si>
  <si>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</si>
  <si>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</si>
  <si>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</si>
  <si>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</si>
  <si>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</si>
  <si>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</si>
  <si>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</si>
  <si>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</si>
  <si>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</si>
  <si>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</si>
  <si>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</si>
  <si>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</si>
  <si>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</si>
  <si>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</si>
  <si>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</si>
  <si>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</si>
  <si>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</si>
  <si>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</si>
  <si>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</si>
  <si>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</si>
  <si>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</si>
  <si>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</si>
  <si>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</si>
  <si>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</si>
  <si>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</si>
  <si>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</si>
  <si>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</si>
  <si>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</si>
  <si>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</si>
  <si>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</si>
  <si>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</si>
  <si>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</si>
  <si>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</si>
  <si>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</si>
  <si>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</si>
  <si>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</si>
  <si>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</si>
  <si>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</si>
  <si>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</si>
  <si>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</si>
  <si>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</si>
  <si>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</si>
  <si>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</si>
  <si>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</si>
  <si>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</si>
  <si>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</si>
  <si>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</si>
  <si>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</si>
  <si>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</si>
  <si>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</si>
  <si>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</si>
  <si>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</si>
  <si>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</si>
  <si>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</si>
  <si>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</si>
  <si>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</si>
  <si>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</si>
  <si>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</si>
  <si>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</si>
  <si>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</si>
  <si>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</si>
  <si>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</si>
  <si>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</si>
  <si>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</si>
  <si>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</si>
  <si>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</si>
  <si>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</si>
  <si>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</si>
  <si>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</si>
  <si>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</si>
  <si>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</si>
  <si>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</si>
  <si>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</si>
  <si>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</si>
  <si>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</si>
  <si>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</si>
  <si>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</si>
  <si>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</si>
  <si>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</si>
  <si>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</si>
  <si>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</si>
  <si>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</si>
  <si>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</si>
  <si>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</si>
  <si>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</si>
  <si>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</si>
  <si>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</si>
  <si>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</si>
  <si>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</si>
  <si>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</si>
  <si>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</si>
  <si>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</si>
  <si>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</si>
  <si>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</si>
  <si>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</si>
  <si>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</si>
  <si>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</si>
  <si>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</si>
  <si>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</si>
  <si>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</si>
  <si>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</si>
  <si>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</si>
  <si>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</si>
  <si>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</si>
  <si>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</si>
  <si>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</si>
  <si>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</si>
  <si>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</si>
  <si>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</si>
  <si>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</si>
  <si>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</si>
  <si>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</si>
  <si>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</si>
  <si>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</si>
  <si>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</si>
  <si>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</si>
  <si>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</si>
  <si>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</si>
  <si>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</si>
  <si>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</si>
  <si>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</si>
  <si>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</si>
  <si>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</si>
  <si>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</si>
  <si>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</si>
  <si>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</si>
  <si>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</si>
  <si>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</si>
  <si>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</si>
  <si>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</si>
  <si>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</si>
  <si>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</si>
  <si>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</si>
  <si>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</si>
  <si>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</si>
  <si>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</si>
  <si>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</si>
  <si>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</si>
  <si>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</si>
  <si>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</si>
  <si>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</si>
  <si>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</si>
  <si>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</si>
  <si>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</si>
  <si>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</si>
  <si>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</si>
  <si>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</si>
  <si>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</si>
  <si>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</si>
  <si>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</si>
  <si>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</si>
  <si>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</si>
  <si>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</si>
  <si>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</si>
  <si>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</si>
  <si>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</si>
  <si>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</si>
  <si>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</si>
  <si>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</si>
  <si>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</si>
  <si>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</si>
  <si>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</si>
  <si>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</si>
  <si>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</si>
  <si>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</si>
  <si>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</si>
  <si>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</si>
  <si>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</si>
  <si>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</si>
  <si>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</si>
  <si>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</si>
  <si>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</si>
  <si>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</si>
  <si>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</si>
  <si>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</si>
  <si>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</si>
  <si>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</si>
  <si>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</si>
  <si>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</si>
  <si>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</si>
  <si>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</si>
  <si>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</si>
  <si>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</si>
  <si>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</si>
  <si>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</si>
  <si>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</si>
  <si>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</si>
  <si>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</si>
  <si>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</si>
  <si>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</si>
  <si>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</si>
  <si>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</si>
  <si>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</si>
  <si>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代表點</t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</si>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</sst>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58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8"/>
      <color rgb="FF1A1C1E"/>
      <name val="細明體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6" fillId="0" borderId="0"/>
  </cellStyleXfs>
  <cellXfs count="499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7" fontId="20" fillId="0" borderId="12" xfId="0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7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7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7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78" fontId="20" fillId="0" borderId="6" xfId="0" applyNumberFormat="1" applyFont="1" applyBorder="1" applyAlignment="1">
      <alignment horizontal="center" vertical="center"/>
    </xf>
    <xf numFmtId="178" fontId="20" fillId="0" borderId="6" xfId="0" applyNumberFormat="1" applyFont="1" applyBorder="1" applyAlignment="1">
      <alignment horizontal="center" vertical="center" wrapText="1"/>
    </xf>
    <xf numFmtId="178" fontId="27" fillId="0" borderId="18" xfId="0" applyNumberFormat="1" applyFont="1" applyBorder="1" applyAlignment="1">
      <alignment horizontal="center" vertical="center"/>
    </xf>
    <xf numFmtId="178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78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7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7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7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34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5" fillId="9" borderId="9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8" fillId="9" borderId="9" xfId="0" applyNumberFormat="1" applyFont="1" applyFill="1" applyBorder="1" applyAlignment="1">
      <alignment horizontal="center" vertical="center" wrapText="1"/>
    </xf>
    <xf numFmtId="0" fontId="38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40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42" fillId="0" borderId="0" xfId="0" applyFont="1">
      <alignment vertical="center"/>
    </xf>
    <xf numFmtId="49" fontId="45" fillId="0" borderId="0" xfId="0" applyNumberFormat="1" applyFont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47" fillId="0" borderId="0" xfId="3" applyFont="1" applyAlignment="1">
      <alignment horizontal="center" vertical="center" wrapText="1"/>
    </xf>
    <xf numFmtId="0" fontId="48" fillId="0" borderId="0" xfId="3" applyFont="1" applyAlignment="1">
      <alignment horizontal="center" vertical="center"/>
    </xf>
    <xf numFmtId="0" fontId="49" fillId="0" borderId="0" xfId="3" applyFont="1" applyAlignment="1">
      <alignment horizontal="center" wrapText="1"/>
    </xf>
    <xf numFmtId="0" fontId="48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39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0" fillId="9" borderId="9" xfId="0" applyNumberFormat="1" applyFont="1" applyFill="1" applyBorder="1" applyAlignment="1">
      <alignment horizontal="center" vertical="center" wrapText="1"/>
    </xf>
    <xf numFmtId="0" fontId="51" fillId="9" borderId="9" xfId="0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4" fillId="0" borderId="12" xfId="0" applyFont="1" applyBorder="1" applyAlignment="1">
      <alignment horizontal="center" vertical="center" wrapText="1"/>
    </xf>
    <xf numFmtId="0" fontId="56" fillId="0" borderId="0" xfId="1" applyFont="1" applyAlignment="1">
      <alignment horizontal="center" vertical="center" wrapText="1"/>
    </xf>
    <xf numFmtId="0" fontId="57" fillId="0" borderId="0" xfId="0" applyFont="1">
      <alignment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9481"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FF0000"/>
      </font>
      <fill>
        <patternFill>
          <bgColor rgb="FFFFFF00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topLeftCell="B1" zoomScale="80" zoomScaleNormal="80" workbookViewId="0">
      <pane ySplit="1" topLeftCell="A2411" activePane="bottomLeft" state="frozen"/>
      <selection activeCell="I1048" sqref="I1048"/>
      <selection pane="bottomLeft" activeCell="C2435" sqref="C2435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1" t="s">
        <v>3146</v>
      </c>
      <c r="B1" s="7" t="s">
        <v>3145</v>
      </c>
      <c r="C1" s="448" t="s">
        <v>3148</v>
      </c>
      <c r="D1" s="449" t="s">
        <v>3149</v>
      </c>
      <c r="E1" s="492" t="s">
        <v>5862</v>
      </c>
      <c r="F1" s="448" t="s">
        <v>5600</v>
      </c>
      <c r="G1" s="450" t="s">
        <v>5603</v>
      </c>
      <c r="H1" s="452" t="s">
        <v>5889</v>
      </c>
      <c r="I1" s="450" t="s">
        <v>5601</v>
      </c>
      <c r="J1" s="10" t="s">
        <v>5863</v>
      </c>
      <c r="K1" s="10" t="s">
        <v>5864</v>
      </c>
      <c r="L1" s="461" t="s">
        <v>5611</v>
      </c>
      <c r="M1" s="462" t="s">
        <v>5612</v>
      </c>
      <c r="N1" s="462" t="s">
        <v>5613</v>
      </c>
      <c r="O1" s="462" t="s">
        <v>5614</v>
      </c>
      <c r="P1" s="462" t="s">
        <v>5615</v>
      </c>
      <c r="Q1" s="462" t="s">
        <v>5616</v>
      </c>
      <c r="R1" s="462" t="s">
        <v>5617</v>
      </c>
      <c r="S1" s="462" t="s">
        <v>5618</v>
      </c>
      <c r="T1" s="468" t="s">
        <v>5619</v>
      </c>
      <c r="U1" s="468" t="s">
        <v>5860</v>
      </c>
      <c r="V1" s="446" t="s">
        <v>3147</v>
      </c>
      <c r="W1" s="8" t="s">
        <v>5861</v>
      </c>
      <c r="X1" s="9" t="s">
        <v>5865</v>
      </c>
      <c r="Y1" s="9" t="s">
        <v>2879</v>
      </c>
      <c r="Z1" s="9" t="s">
        <v>2880</v>
      </c>
      <c r="AA1" s="9" t="s">
        <v>2881</v>
      </c>
      <c r="AB1" s="9" t="s">
        <v>2882</v>
      </c>
      <c r="AC1" s="9" t="s">
        <v>2883</v>
      </c>
      <c r="AD1" s="9" t="s">
        <v>2884</v>
      </c>
      <c r="AE1" s="9" t="s">
        <v>2885</v>
      </c>
      <c r="AF1" s="9" t="s">
        <v>2886</v>
      </c>
      <c r="AG1" s="9" t="s">
        <v>2887</v>
      </c>
      <c r="AH1" s="9" t="s">
        <v>2888</v>
      </c>
      <c r="AI1" s="12" t="s">
        <v>2889</v>
      </c>
      <c r="AJ1" s="12" t="s">
        <v>2890</v>
      </c>
      <c r="AK1" s="12" t="s">
        <v>2891</v>
      </c>
      <c r="AL1" s="13" t="s">
        <v>2892</v>
      </c>
      <c r="AM1" s="6" t="s">
        <v>5602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50</v>
      </c>
      <c r="E2" s="19" t="s">
        <v>2893</v>
      </c>
      <c r="F2" s="19" t="s">
        <v>3150</v>
      </c>
      <c r="G2" s="20" t="s">
        <v>5888</v>
      </c>
      <c r="H2" s="145" t="s">
        <v>5891</v>
      </c>
      <c r="I2" s="20" t="s">
        <v>5609</v>
      </c>
      <c r="J2" s="22">
        <v>204007.022</v>
      </c>
      <c r="K2" s="22">
        <v>2657264.3160000001</v>
      </c>
      <c r="L2" s="23" t="s">
        <v>40</v>
      </c>
      <c r="M2" s="24">
        <v>7</v>
      </c>
      <c r="N2" s="23">
        <v>100</v>
      </c>
      <c r="O2" s="23">
        <v>214</v>
      </c>
      <c r="P2" s="23" t="s">
        <v>41</v>
      </c>
      <c r="Q2" s="23">
        <v>42</v>
      </c>
      <c r="R2" s="23">
        <v>310</v>
      </c>
      <c r="S2" s="23">
        <v>137</v>
      </c>
      <c r="T2" s="20" t="s">
        <v>575</v>
      </c>
      <c r="U2" s="20" t="s">
        <v>8</v>
      </c>
      <c r="V2" s="18" t="s">
        <v>575</v>
      </c>
      <c r="W2" s="21">
        <v>114</v>
      </c>
      <c r="X2" s="19"/>
      <c r="Y2" s="19"/>
      <c r="Z2" s="19"/>
      <c r="AA2" s="19"/>
      <c r="AB2" s="19"/>
      <c r="AC2" s="19" t="s">
        <v>2894</v>
      </c>
      <c r="AD2" s="19"/>
      <c r="AE2" s="19"/>
      <c r="AF2" s="19" t="s">
        <v>2894</v>
      </c>
      <c r="AG2" s="19"/>
      <c r="AH2" s="19"/>
      <c r="AI2" s="19"/>
      <c r="AJ2" s="21"/>
      <c r="AK2" s="19" t="s">
        <v>2894</v>
      </c>
      <c r="AL2" s="25" t="s">
        <v>2895</v>
      </c>
      <c r="AM2" s="16">
        <v>114</v>
      </c>
    </row>
    <row r="3" spans="1:56" s="15" customFormat="1" x14ac:dyDescent="0.3">
      <c r="A3" s="15">
        <v>2</v>
      </c>
      <c r="B3" s="29" t="s">
        <v>58</v>
      </c>
      <c r="C3" s="29">
        <v>1919</v>
      </c>
      <c r="D3" s="27" t="s">
        <v>57</v>
      </c>
      <c r="E3" s="29" t="s">
        <v>2893</v>
      </c>
      <c r="F3" s="496" t="s">
        <v>5887</v>
      </c>
      <c r="G3" s="31" t="s">
        <v>5604</v>
      </c>
      <c r="H3" s="145" t="s">
        <v>5606</v>
      </c>
      <c r="I3" s="31" t="s">
        <v>5609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2897</v>
      </c>
      <c r="Q3" s="33">
        <v>35.700000000000003</v>
      </c>
      <c r="R3" s="33">
        <v>549</v>
      </c>
      <c r="S3" s="33">
        <v>125</v>
      </c>
      <c r="T3" s="30" t="s">
        <v>575</v>
      </c>
      <c r="U3" s="30" t="s">
        <v>303</v>
      </c>
      <c r="V3" s="28" t="s">
        <v>2896</v>
      </c>
      <c r="W3" s="31">
        <v>113</v>
      </c>
      <c r="X3" s="29"/>
      <c r="Y3" s="29"/>
      <c r="Z3" s="29"/>
      <c r="AA3" s="29"/>
      <c r="AB3" s="29" t="s">
        <v>2894</v>
      </c>
      <c r="AC3" s="29"/>
      <c r="AD3" s="29"/>
      <c r="AE3" s="29" t="s">
        <v>2894</v>
      </c>
      <c r="AF3" s="29"/>
      <c r="AG3" s="29"/>
      <c r="AH3" s="29" t="s">
        <v>2898</v>
      </c>
      <c r="AI3" s="29"/>
      <c r="AJ3" s="29" t="s">
        <v>2894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68</v>
      </c>
      <c r="C4" s="40">
        <v>1916</v>
      </c>
      <c r="D4" s="38" t="s">
        <v>57</v>
      </c>
      <c r="E4" s="40" t="s">
        <v>2893</v>
      </c>
      <c r="F4" s="40" t="s">
        <v>3152</v>
      </c>
      <c r="G4" s="41" t="s">
        <v>5604</v>
      </c>
      <c r="H4" s="150" t="s">
        <v>5892</v>
      </c>
      <c r="I4" s="41" t="s">
        <v>5609</v>
      </c>
      <c r="J4" s="42">
        <v>204148</v>
      </c>
      <c r="K4" s="42">
        <v>2657275</v>
      </c>
      <c r="L4" s="43" t="s">
        <v>40</v>
      </c>
      <c r="M4" s="44">
        <v>9</v>
      </c>
      <c r="N4" s="43">
        <v>167</v>
      </c>
      <c r="O4" s="43">
        <v>154</v>
      </c>
      <c r="P4" s="43" t="s">
        <v>41</v>
      </c>
      <c r="Q4" s="43">
        <v>36</v>
      </c>
      <c r="R4" s="43">
        <v>469</v>
      </c>
      <c r="S4" s="43">
        <v>151</v>
      </c>
      <c r="T4" s="2" t="s">
        <v>575</v>
      </c>
      <c r="U4" s="2" t="str">
        <f>U3</f>
        <v>監測</v>
      </c>
      <c r="V4" s="39" t="s">
        <v>2896</v>
      </c>
      <c r="W4" s="41">
        <v>113</v>
      </c>
      <c r="X4" s="40"/>
      <c r="Y4" s="40"/>
      <c r="Z4" s="40"/>
      <c r="AA4" s="40"/>
      <c r="AB4" s="40" t="s">
        <v>2894</v>
      </c>
      <c r="AC4" s="40"/>
      <c r="AD4" s="40"/>
      <c r="AE4" s="40" t="s">
        <v>2894</v>
      </c>
      <c r="AF4" s="40"/>
      <c r="AG4" s="40"/>
      <c r="AH4" s="40" t="s">
        <v>2898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69</v>
      </c>
      <c r="C5" s="40">
        <v>1917</v>
      </c>
      <c r="D5" s="38" t="s">
        <v>57</v>
      </c>
      <c r="E5" s="40" t="s">
        <v>2893</v>
      </c>
      <c r="F5" s="40" t="s">
        <v>3153</v>
      </c>
      <c r="G5" s="41" t="s">
        <v>5604</v>
      </c>
      <c r="H5" s="150" t="s">
        <v>5893</v>
      </c>
      <c r="I5" s="41" t="s">
        <v>5609</v>
      </c>
      <c r="J5" s="42">
        <v>204148</v>
      </c>
      <c r="K5" s="42">
        <v>2657275</v>
      </c>
      <c r="L5" s="43" t="s">
        <v>40</v>
      </c>
      <c r="M5" s="44">
        <v>9</v>
      </c>
      <c r="N5" s="43">
        <v>167</v>
      </c>
      <c r="O5" s="43">
        <v>154</v>
      </c>
      <c r="P5" s="43" t="s">
        <v>41</v>
      </c>
      <c r="Q5" s="43">
        <v>36</v>
      </c>
      <c r="R5" s="43">
        <v>469</v>
      </c>
      <c r="S5" s="43">
        <v>151</v>
      </c>
      <c r="T5" s="2" t="s">
        <v>575</v>
      </c>
      <c r="U5" s="2" t="str">
        <f>U3</f>
        <v>監測</v>
      </c>
      <c r="V5" s="39" t="s">
        <v>2896</v>
      </c>
      <c r="W5" s="41">
        <v>113</v>
      </c>
      <c r="X5" s="40"/>
      <c r="Y5" s="40"/>
      <c r="Z5" s="40"/>
      <c r="AA5" s="40"/>
      <c r="AB5" s="40" t="s">
        <v>2894</v>
      </c>
      <c r="AC5" s="40"/>
      <c r="AD5" s="40"/>
      <c r="AE5" s="40" t="s">
        <v>2894</v>
      </c>
      <c r="AF5" s="40"/>
      <c r="AG5" s="40"/>
      <c r="AH5" s="40" t="s">
        <v>2898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60</v>
      </c>
      <c r="C6" s="40">
        <v>1920</v>
      </c>
      <c r="D6" s="38" t="s">
        <v>57</v>
      </c>
      <c r="E6" s="40" t="s">
        <v>2893</v>
      </c>
      <c r="F6" s="40" t="s">
        <v>3154</v>
      </c>
      <c r="G6" s="50" t="s">
        <v>5604</v>
      </c>
      <c r="H6" s="150" t="s">
        <v>5606</v>
      </c>
      <c r="I6" s="50" t="s">
        <v>5609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575</v>
      </c>
      <c r="U6" s="2" t="s">
        <v>8</v>
      </c>
      <c r="V6" s="39" t="s">
        <v>2896</v>
      </c>
      <c r="W6" s="41">
        <v>113</v>
      </c>
      <c r="X6" s="40"/>
      <c r="Y6" s="40"/>
      <c r="Z6" s="40"/>
      <c r="AA6" s="40"/>
      <c r="AB6" s="40" t="s">
        <v>2894</v>
      </c>
      <c r="AC6" s="40" t="s">
        <v>2894</v>
      </c>
      <c r="AD6" s="40"/>
      <c r="AE6" s="40" t="s">
        <v>2894</v>
      </c>
      <c r="AF6" s="40" t="s">
        <v>2894</v>
      </c>
      <c r="AG6" s="40"/>
      <c r="AH6" s="40" t="s">
        <v>2894</v>
      </c>
      <c r="AI6" s="37"/>
      <c r="AJ6" s="40" t="s">
        <v>2894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2899</v>
      </c>
      <c r="E7" s="40" t="s">
        <v>2901</v>
      </c>
      <c r="F7" s="40" t="s">
        <v>3155</v>
      </c>
      <c r="G7" s="38"/>
      <c r="H7" s="150" t="s">
        <v>5606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575</v>
      </c>
      <c r="U7" s="2" t="s">
        <v>240</v>
      </c>
      <c r="V7" s="38" t="s">
        <v>2900</v>
      </c>
      <c r="W7" s="38">
        <v>113</v>
      </c>
      <c r="X7" s="38"/>
      <c r="Y7" s="38"/>
      <c r="Z7" s="40"/>
      <c r="AA7" s="40"/>
      <c r="AB7" s="38"/>
      <c r="AC7" s="38"/>
      <c r="AD7" s="40" t="s">
        <v>2894</v>
      </c>
      <c r="AE7" s="40" t="s">
        <v>2894</v>
      </c>
      <c r="AF7" s="40"/>
      <c r="AG7" s="40"/>
      <c r="AH7" s="40"/>
      <c r="AI7" s="40"/>
      <c r="AJ7" s="40" t="s">
        <v>2894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62</v>
      </c>
      <c r="C8" s="40">
        <v>1924</v>
      </c>
      <c r="D8" s="38" t="s">
        <v>57</v>
      </c>
      <c r="E8" s="40" t="s">
        <v>2893</v>
      </c>
      <c r="F8" s="40" t="s">
        <v>3156</v>
      </c>
      <c r="G8" s="41"/>
      <c r="H8" s="150" t="s">
        <v>5607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2896</v>
      </c>
      <c r="W8" s="41">
        <v>106</v>
      </c>
      <c r="X8" s="40"/>
      <c r="Y8" s="40"/>
      <c r="Z8" s="40"/>
      <c r="AA8" s="40"/>
      <c r="AB8" s="40"/>
      <c r="AC8" s="40" t="s">
        <v>2894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63</v>
      </c>
      <c r="C9" s="40">
        <v>1925</v>
      </c>
      <c r="D9" s="38" t="s">
        <v>57</v>
      </c>
      <c r="E9" s="40" t="s">
        <v>2893</v>
      </c>
      <c r="F9" s="40" t="s">
        <v>3157</v>
      </c>
      <c r="G9" s="41"/>
      <c r="H9" s="150" t="s">
        <v>5607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2896</v>
      </c>
      <c r="W9" s="41">
        <v>106</v>
      </c>
      <c r="X9" s="40"/>
      <c r="Y9" s="40"/>
      <c r="Z9" s="40"/>
      <c r="AA9" s="40"/>
      <c r="AB9" s="40"/>
      <c r="AC9" s="40" t="s">
        <v>2894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64</v>
      </c>
      <c r="C10" s="40">
        <v>1926</v>
      </c>
      <c r="D10" s="38" t="s">
        <v>57</v>
      </c>
      <c r="E10" s="40" t="s">
        <v>2893</v>
      </c>
      <c r="F10" s="40" t="s">
        <v>3158</v>
      </c>
      <c r="G10" s="41"/>
      <c r="H10" s="150" t="s">
        <v>5607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2896</v>
      </c>
      <c r="W10" s="41">
        <v>106</v>
      </c>
      <c r="X10" s="40"/>
      <c r="Y10" s="40"/>
      <c r="Z10" s="40"/>
      <c r="AA10" s="40"/>
      <c r="AB10" s="40"/>
      <c r="AC10" s="40" t="s">
        <v>2894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65</v>
      </c>
      <c r="C11" s="40">
        <v>1938</v>
      </c>
      <c r="D11" s="38" t="s">
        <v>57</v>
      </c>
      <c r="E11" s="40" t="s">
        <v>2893</v>
      </c>
      <c r="F11" s="40" t="s">
        <v>3159</v>
      </c>
      <c r="G11" s="41"/>
      <c r="H11" s="150" t="s">
        <v>5608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66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2896</v>
      </c>
      <c r="W11" s="41">
        <v>108</v>
      </c>
      <c r="X11" s="40"/>
      <c r="Y11" s="40"/>
      <c r="Z11" s="40"/>
      <c r="AA11" s="40"/>
      <c r="AB11" s="40"/>
      <c r="AC11" s="40" t="s">
        <v>2894</v>
      </c>
      <c r="AD11" s="40"/>
      <c r="AE11" s="40" t="s">
        <v>2894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67</v>
      </c>
      <c r="C12" s="40">
        <v>1939</v>
      </c>
      <c r="D12" s="38" t="s">
        <v>57</v>
      </c>
      <c r="E12" s="40" t="s">
        <v>2893</v>
      </c>
      <c r="F12" s="40" t="s">
        <v>3160</v>
      </c>
      <c r="G12" s="41"/>
      <c r="H12" s="150" t="s">
        <v>5608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2896</v>
      </c>
      <c r="W12" s="41">
        <v>108</v>
      </c>
      <c r="X12" s="40"/>
      <c r="Y12" s="40"/>
      <c r="Z12" s="40"/>
      <c r="AA12" s="40"/>
      <c r="AB12" s="40"/>
      <c r="AC12" s="40" t="s">
        <v>2894</v>
      </c>
      <c r="AD12" s="40"/>
      <c r="AE12" s="40" t="s">
        <v>2898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57</v>
      </c>
      <c r="E13" s="40" t="s">
        <v>2893</v>
      </c>
      <c r="F13" s="40" t="s">
        <v>3161</v>
      </c>
      <c r="G13" s="50" t="s">
        <v>5604</v>
      </c>
      <c r="H13" s="150" t="s">
        <v>5607</v>
      </c>
      <c r="I13" s="50" t="s">
        <v>5609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2896</v>
      </c>
      <c r="W13" s="41">
        <v>106</v>
      </c>
      <c r="X13" s="40"/>
      <c r="Y13" s="40"/>
      <c r="Z13" s="40"/>
      <c r="AA13" s="40"/>
      <c r="AB13" s="40"/>
      <c r="AC13" s="40" t="s">
        <v>2894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57</v>
      </c>
      <c r="E14" s="58" t="s">
        <v>2893</v>
      </c>
      <c r="F14" s="58" t="s">
        <v>3162</v>
      </c>
      <c r="G14" s="60"/>
      <c r="H14" s="226" t="s">
        <v>5607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2896</v>
      </c>
      <c r="W14" s="60">
        <v>108</v>
      </c>
      <c r="X14" s="58"/>
      <c r="Y14" s="58"/>
      <c r="Z14" s="58"/>
      <c r="AA14" s="58"/>
      <c r="AB14" s="58"/>
      <c r="AC14" s="58" t="s">
        <v>2894</v>
      </c>
      <c r="AD14" s="58"/>
      <c r="AE14" s="58" t="s">
        <v>2894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80</v>
      </c>
      <c r="C15" s="67">
        <v>1901</v>
      </c>
      <c r="D15" s="67" t="s">
        <v>2902</v>
      </c>
      <c r="E15" s="67" t="s">
        <v>2893</v>
      </c>
      <c r="F15" s="67" t="s">
        <v>3163</v>
      </c>
      <c r="G15" s="70"/>
      <c r="H15" s="414" t="s">
        <v>5607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5886</v>
      </c>
      <c r="S15" s="72">
        <v>107</v>
      </c>
      <c r="T15" s="68"/>
      <c r="U15" s="69" t="s">
        <v>8</v>
      </c>
      <c r="V15" s="68" t="s">
        <v>575</v>
      </c>
      <c r="W15" s="70">
        <v>106</v>
      </c>
      <c r="X15" s="74"/>
      <c r="Y15" s="74"/>
      <c r="Z15" s="74"/>
      <c r="AA15" s="74"/>
      <c r="AB15" s="74"/>
      <c r="AC15" s="75" t="s">
        <v>2894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81</v>
      </c>
      <c r="C16" s="38">
        <v>1910</v>
      </c>
      <c r="D16" s="38" t="s">
        <v>79</v>
      </c>
      <c r="E16" s="38" t="s">
        <v>2893</v>
      </c>
      <c r="F16" s="38" t="s">
        <v>3164</v>
      </c>
      <c r="G16" s="39"/>
      <c r="H16" s="150" t="s">
        <v>5607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575</v>
      </c>
      <c r="W16" s="39">
        <v>106</v>
      </c>
      <c r="X16" s="81"/>
      <c r="Y16" s="81"/>
      <c r="Z16" s="81"/>
      <c r="AA16" s="81"/>
      <c r="AB16" s="81"/>
      <c r="AC16" s="40" t="s">
        <v>2894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2903</v>
      </c>
      <c r="C17" s="40">
        <v>1912</v>
      </c>
      <c r="D17" s="40" t="s">
        <v>79</v>
      </c>
      <c r="E17" s="40" t="s">
        <v>2893</v>
      </c>
      <c r="F17" s="40" t="s">
        <v>3165</v>
      </c>
      <c r="G17" s="39" t="s">
        <v>5604</v>
      </c>
      <c r="H17" s="150" t="s">
        <v>5606</v>
      </c>
      <c r="I17" s="39" t="s">
        <v>5609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37</v>
      </c>
      <c r="Q17" s="43">
        <v>37.799999999999997</v>
      </c>
      <c r="R17" s="43">
        <v>569</v>
      </c>
      <c r="S17" s="43">
        <v>137</v>
      </c>
      <c r="T17" s="2" t="s">
        <v>575</v>
      </c>
      <c r="U17" s="2" t="s">
        <v>8</v>
      </c>
      <c r="V17" s="79" t="s">
        <v>575</v>
      </c>
      <c r="W17" s="41">
        <v>114</v>
      </c>
      <c r="X17" s="37"/>
      <c r="Y17" s="37"/>
      <c r="Z17" s="37"/>
      <c r="AA17" s="37"/>
      <c r="AB17" s="37"/>
      <c r="AC17" s="40" t="s">
        <v>2894</v>
      </c>
      <c r="AD17" s="37"/>
      <c r="AE17" s="37"/>
      <c r="AF17" s="40" t="s">
        <v>2894</v>
      </c>
      <c r="AG17" s="37"/>
      <c r="AH17" s="37"/>
      <c r="AI17" s="37"/>
      <c r="AJ17" s="41"/>
      <c r="AK17" s="40" t="s">
        <v>2894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82</v>
      </c>
      <c r="C18" s="40">
        <v>1914</v>
      </c>
      <c r="D18" s="40" t="s">
        <v>79</v>
      </c>
      <c r="E18" s="40" t="s">
        <v>2893</v>
      </c>
      <c r="F18" s="40" t="s">
        <v>3166</v>
      </c>
      <c r="G18" s="39" t="s">
        <v>5604</v>
      </c>
      <c r="H18" s="150" t="s">
        <v>5608</v>
      </c>
      <c r="I18" s="39" t="s">
        <v>5609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1697</v>
      </c>
      <c r="U18" s="2" t="s">
        <v>56</v>
      </c>
      <c r="V18" s="79" t="s">
        <v>575</v>
      </c>
      <c r="W18" s="41">
        <v>111</v>
      </c>
      <c r="X18" s="37"/>
      <c r="Y18" s="37"/>
      <c r="Z18" s="37"/>
      <c r="AA18" s="37"/>
      <c r="AB18" s="37"/>
      <c r="AC18" s="40" t="s">
        <v>2894</v>
      </c>
      <c r="AD18" s="37"/>
      <c r="AE18" s="37"/>
      <c r="AF18" s="40" t="s">
        <v>2894</v>
      </c>
      <c r="AG18" s="37"/>
      <c r="AH18" s="40" t="s">
        <v>2905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2906</v>
      </c>
      <c r="C19" s="40">
        <v>1915</v>
      </c>
      <c r="D19" s="40" t="s">
        <v>79</v>
      </c>
      <c r="E19" s="40" t="s">
        <v>2893</v>
      </c>
      <c r="F19" s="40" t="s">
        <v>3167</v>
      </c>
      <c r="G19" s="39" t="s">
        <v>5604</v>
      </c>
      <c r="H19" s="150" t="s">
        <v>5606</v>
      </c>
      <c r="I19" s="39" t="s">
        <v>5609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575</v>
      </c>
      <c r="U19" s="2" t="s">
        <v>8</v>
      </c>
      <c r="V19" s="79" t="s">
        <v>575</v>
      </c>
      <c r="W19" s="41">
        <v>114</v>
      </c>
      <c r="X19" s="37"/>
      <c r="Y19" s="37"/>
      <c r="Z19" s="37"/>
      <c r="AA19" s="37"/>
      <c r="AB19" s="37"/>
      <c r="AC19" s="40" t="s">
        <v>2894</v>
      </c>
      <c r="AD19" s="37"/>
      <c r="AE19" s="37"/>
      <c r="AF19" s="37"/>
      <c r="AG19" s="37"/>
      <c r="AH19" s="37"/>
      <c r="AI19" s="37"/>
      <c r="AJ19" s="41"/>
      <c r="AK19" s="40" t="s">
        <v>2894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83</v>
      </c>
      <c r="C20" s="40">
        <v>1927</v>
      </c>
      <c r="D20" s="40" t="s">
        <v>79</v>
      </c>
      <c r="E20" s="40" t="s">
        <v>2893</v>
      </c>
      <c r="F20" s="40" t="s">
        <v>3168</v>
      </c>
      <c r="G20" s="39" t="s">
        <v>5604</v>
      </c>
      <c r="H20" s="150" t="s">
        <v>5606</v>
      </c>
      <c r="I20" s="39" t="s">
        <v>5609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2907</v>
      </c>
      <c r="U20" s="2" t="s">
        <v>8</v>
      </c>
      <c r="V20" s="79" t="s">
        <v>575</v>
      </c>
      <c r="W20" s="41">
        <v>110</v>
      </c>
      <c r="X20" s="37"/>
      <c r="Y20" s="37"/>
      <c r="Z20" s="37"/>
      <c r="AA20" s="37"/>
      <c r="AB20" s="37"/>
      <c r="AC20" s="40" t="s">
        <v>2894</v>
      </c>
      <c r="AD20" s="37"/>
      <c r="AE20" s="37"/>
      <c r="AF20" s="40" t="s">
        <v>2894</v>
      </c>
      <c r="AG20" s="40" t="s">
        <v>2894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84</v>
      </c>
      <c r="C21" s="83">
        <v>1913</v>
      </c>
      <c r="D21" s="83" t="s">
        <v>79</v>
      </c>
      <c r="E21" s="83" t="s">
        <v>2893</v>
      </c>
      <c r="F21" s="83" t="s">
        <v>3169</v>
      </c>
      <c r="G21" s="86" t="s">
        <v>5604</v>
      </c>
      <c r="H21" s="340" t="s">
        <v>5608</v>
      </c>
      <c r="I21" s="86" t="s">
        <v>5609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1697</v>
      </c>
      <c r="U21" s="85" t="s">
        <v>56</v>
      </c>
      <c r="V21" s="84" t="s">
        <v>575</v>
      </c>
      <c r="W21" s="47">
        <v>109</v>
      </c>
      <c r="X21" s="82"/>
      <c r="Y21" s="82"/>
      <c r="Z21" s="82"/>
      <c r="AA21" s="82"/>
      <c r="AB21" s="82"/>
      <c r="AC21" s="83" t="s">
        <v>2894</v>
      </c>
      <c r="AD21" s="82"/>
      <c r="AE21" s="82"/>
      <c r="AF21" s="83" t="s">
        <v>2905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86</v>
      </c>
      <c r="C22" s="29">
        <v>1896</v>
      </c>
      <c r="D22" s="29" t="s">
        <v>85</v>
      </c>
      <c r="E22" s="29" t="s">
        <v>2893</v>
      </c>
      <c r="F22" s="29" t="s">
        <v>3170</v>
      </c>
      <c r="G22" s="28" t="s">
        <v>5604</v>
      </c>
      <c r="H22" s="145" t="s">
        <v>5606</v>
      </c>
      <c r="I22" s="28" t="s">
        <v>5609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575</v>
      </c>
      <c r="U22" s="30" t="s">
        <v>8</v>
      </c>
      <c r="V22" s="91" t="s">
        <v>2896</v>
      </c>
      <c r="W22" s="31">
        <v>113</v>
      </c>
      <c r="X22" s="29"/>
      <c r="Y22" s="29"/>
      <c r="Z22" s="29"/>
      <c r="AA22" s="29"/>
      <c r="AB22" s="29"/>
      <c r="AC22" s="29" t="s">
        <v>2894</v>
      </c>
      <c r="AD22" s="29"/>
      <c r="AE22" s="29"/>
      <c r="AF22" s="29" t="s">
        <v>2894</v>
      </c>
      <c r="AG22" s="29"/>
      <c r="AH22" s="29"/>
      <c r="AI22" s="29"/>
      <c r="AJ22" s="29" t="s">
        <v>2894</v>
      </c>
      <c r="AK22" s="92"/>
      <c r="AL22" s="54" t="s">
        <v>2908</v>
      </c>
      <c r="AM22" s="26">
        <v>113</v>
      </c>
    </row>
    <row r="23" spans="1:39" s="15" customFormat="1" x14ac:dyDescent="0.3">
      <c r="A23" s="15">
        <v>22</v>
      </c>
      <c r="B23" s="40" t="s">
        <v>87</v>
      </c>
      <c r="C23" s="40">
        <v>1899</v>
      </c>
      <c r="D23" s="40" t="s">
        <v>85</v>
      </c>
      <c r="E23" s="40" t="s">
        <v>2893</v>
      </c>
      <c r="F23" s="40" t="s">
        <v>3171</v>
      </c>
      <c r="G23" s="41"/>
      <c r="H23" s="340" t="s">
        <v>5608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88</v>
      </c>
      <c r="V23" s="93" t="s">
        <v>2896</v>
      </c>
      <c r="W23" s="41">
        <v>113</v>
      </c>
      <c r="X23" s="40"/>
      <c r="Y23" s="40"/>
      <c r="Z23" s="40"/>
      <c r="AA23" s="40"/>
      <c r="AB23" s="40"/>
      <c r="AC23" s="40" t="s">
        <v>2894</v>
      </c>
      <c r="AD23" s="40"/>
      <c r="AE23" s="40"/>
      <c r="AF23" s="40"/>
      <c r="AG23" s="40"/>
      <c r="AH23" s="40"/>
      <c r="AI23" s="40"/>
      <c r="AJ23" s="41" t="s">
        <v>2909</v>
      </c>
      <c r="AK23" s="45"/>
      <c r="AL23" s="54" t="s">
        <v>2908</v>
      </c>
      <c r="AM23" s="37">
        <v>113</v>
      </c>
    </row>
    <row r="24" spans="1:39" s="15" customFormat="1" x14ac:dyDescent="0.3">
      <c r="A24" s="15">
        <v>23</v>
      </c>
      <c r="B24" s="40" t="s">
        <v>89</v>
      </c>
      <c r="C24" s="40">
        <v>1900</v>
      </c>
      <c r="D24" s="40" t="s">
        <v>85</v>
      </c>
      <c r="E24" s="40" t="s">
        <v>2893</v>
      </c>
      <c r="F24" s="40" t="s">
        <v>3172</v>
      </c>
      <c r="G24" s="41"/>
      <c r="H24" s="340" t="s">
        <v>5608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88</v>
      </c>
      <c r="V24" s="93" t="s">
        <v>2896</v>
      </c>
      <c r="W24" s="41">
        <v>113</v>
      </c>
      <c r="X24" s="40"/>
      <c r="Y24" s="40"/>
      <c r="Z24" s="40"/>
      <c r="AA24" s="40"/>
      <c r="AB24" s="40"/>
      <c r="AC24" s="40" t="s">
        <v>2894</v>
      </c>
      <c r="AD24" s="40"/>
      <c r="AE24" s="40"/>
      <c r="AF24" s="40"/>
      <c r="AG24" s="40"/>
      <c r="AH24" s="40"/>
      <c r="AI24" s="40"/>
      <c r="AJ24" s="41" t="s">
        <v>2909</v>
      </c>
      <c r="AK24" s="45"/>
      <c r="AL24" s="54" t="s">
        <v>2908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90</v>
      </c>
      <c r="C25" s="83">
        <v>1898</v>
      </c>
      <c r="D25" s="83" t="s">
        <v>85</v>
      </c>
      <c r="E25" s="83" t="s">
        <v>2893</v>
      </c>
      <c r="F25" s="83" t="s">
        <v>3173</v>
      </c>
      <c r="G25" s="86" t="s">
        <v>5604</v>
      </c>
      <c r="H25" s="340" t="s">
        <v>5608</v>
      </c>
      <c r="I25" s="86" t="s">
        <v>5609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1697</v>
      </c>
      <c r="U25" s="85" t="s">
        <v>56</v>
      </c>
      <c r="V25" s="94" t="s">
        <v>2896</v>
      </c>
      <c r="W25" s="47">
        <v>109</v>
      </c>
      <c r="X25" s="83"/>
      <c r="Y25" s="83"/>
      <c r="Z25" s="83"/>
      <c r="AA25" s="83"/>
      <c r="AB25" s="83"/>
      <c r="AC25" s="83" t="s">
        <v>2894</v>
      </c>
      <c r="AD25" s="83"/>
      <c r="AE25" s="83"/>
      <c r="AF25" s="83" t="s">
        <v>2905</v>
      </c>
      <c r="AG25" s="83"/>
      <c r="AH25" s="83"/>
      <c r="AI25" s="83"/>
      <c r="AJ25" s="47"/>
      <c r="AK25" s="48"/>
      <c r="AL25" s="54" t="s">
        <v>2908</v>
      </c>
      <c r="AM25" s="82">
        <v>113</v>
      </c>
    </row>
    <row r="26" spans="1:39" s="15" customFormat="1" x14ac:dyDescent="0.3">
      <c r="A26" s="15">
        <v>25</v>
      </c>
      <c r="B26" s="29" t="s">
        <v>2910</v>
      </c>
      <c r="C26" s="29">
        <v>1085</v>
      </c>
      <c r="D26" s="29" t="s">
        <v>112</v>
      </c>
      <c r="E26" s="29" t="s">
        <v>2893</v>
      </c>
      <c r="F26" s="29" t="s">
        <v>3174</v>
      </c>
      <c r="G26" s="31" t="s">
        <v>5604</v>
      </c>
      <c r="H26" s="145" t="s">
        <v>5606</v>
      </c>
      <c r="I26" s="31" t="s">
        <v>5609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575</v>
      </c>
      <c r="U26" s="30" t="s">
        <v>8</v>
      </c>
      <c r="V26" s="95" t="s">
        <v>575</v>
      </c>
      <c r="W26" s="31">
        <v>114</v>
      </c>
      <c r="X26" s="29"/>
      <c r="Y26" s="29"/>
      <c r="Z26" s="29"/>
      <c r="AA26" s="29"/>
      <c r="AB26" s="29"/>
      <c r="AC26" s="29" t="s">
        <v>2894</v>
      </c>
      <c r="AD26" s="29"/>
      <c r="AE26" s="29"/>
      <c r="AF26" s="29" t="s">
        <v>2894</v>
      </c>
      <c r="AG26" s="29" t="s">
        <v>2894</v>
      </c>
      <c r="AH26" s="29"/>
      <c r="AI26" s="29"/>
      <c r="AJ26" s="31"/>
      <c r="AK26" s="29" t="s">
        <v>2894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113</v>
      </c>
      <c r="C27" s="40">
        <v>1088</v>
      </c>
      <c r="D27" s="40" t="s">
        <v>112</v>
      </c>
      <c r="E27" s="40" t="s">
        <v>2893</v>
      </c>
      <c r="F27" s="40" t="s">
        <v>3175</v>
      </c>
      <c r="G27" s="41" t="s">
        <v>5604</v>
      </c>
      <c r="H27" s="150" t="s">
        <v>5607</v>
      </c>
      <c r="I27" s="41" t="s">
        <v>5609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575</v>
      </c>
      <c r="W27" s="41">
        <v>106</v>
      </c>
      <c r="X27" s="40"/>
      <c r="Y27" s="40"/>
      <c r="Z27" s="40"/>
      <c r="AA27" s="40"/>
      <c r="AB27" s="40"/>
      <c r="AC27" s="40" t="s">
        <v>2894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114</v>
      </c>
      <c r="C28" s="40">
        <v>1093</v>
      </c>
      <c r="D28" s="40" t="s">
        <v>112</v>
      </c>
      <c r="E28" s="40" t="s">
        <v>2893</v>
      </c>
      <c r="F28" s="40" t="s">
        <v>3176</v>
      </c>
      <c r="G28" s="41" t="s">
        <v>5604</v>
      </c>
      <c r="H28" s="150" t="s">
        <v>5607</v>
      </c>
      <c r="I28" s="41" t="s">
        <v>5609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575</v>
      </c>
      <c r="W28" s="41">
        <v>106</v>
      </c>
      <c r="X28" s="40"/>
      <c r="Y28" s="40"/>
      <c r="Z28" s="40"/>
      <c r="AA28" s="40"/>
      <c r="AB28" s="40"/>
      <c r="AC28" s="40" t="s">
        <v>2894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115</v>
      </c>
      <c r="C29" s="40">
        <v>1094</v>
      </c>
      <c r="D29" s="40" t="s">
        <v>112</v>
      </c>
      <c r="E29" s="40" t="s">
        <v>2893</v>
      </c>
      <c r="F29" s="40" t="s">
        <v>3177</v>
      </c>
      <c r="G29" s="41" t="s">
        <v>5604</v>
      </c>
      <c r="H29" s="150" t="s">
        <v>5607</v>
      </c>
      <c r="I29" s="41" t="s">
        <v>5609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306</v>
      </c>
      <c r="U29" s="2" t="s">
        <v>306</v>
      </c>
      <c r="V29" s="97" t="s">
        <v>575</v>
      </c>
      <c r="W29" s="41">
        <v>111</v>
      </c>
      <c r="X29" s="40"/>
      <c r="Y29" s="40"/>
      <c r="Z29" s="40"/>
      <c r="AA29" s="40"/>
      <c r="AB29" s="40"/>
      <c r="AC29" s="40" t="s">
        <v>2894</v>
      </c>
      <c r="AD29" s="40"/>
      <c r="AE29" s="40"/>
      <c r="AF29" s="40" t="s">
        <v>2894</v>
      </c>
      <c r="AG29" s="40"/>
      <c r="AH29" s="40" t="s">
        <v>2898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2911</v>
      </c>
      <c r="C30" s="40">
        <v>1101</v>
      </c>
      <c r="D30" s="40" t="s">
        <v>112</v>
      </c>
      <c r="E30" s="40" t="s">
        <v>2893</v>
      </c>
      <c r="F30" s="40" t="s">
        <v>3178</v>
      </c>
      <c r="G30" s="41" t="s">
        <v>5604</v>
      </c>
      <c r="H30" s="150" t="s">
        <v>5606</v>
      </c>
      <c r="I30" s="41" t="s">
        <v>5609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575</v>
      </c>
      <c r="U30" s="2" t="s">
        <v>8</v>
      </c>
      <c r="V30" s="97" t="s">
        <v>575</v>
      </c>
      <c r="W30" s="41">
        <v>114</v>
      </c>
      <c r="X30" s="40"/>
      <c r="Y30" s="40"/>
      <c r="Z30" s="40"/>
      <c r="AA30" s="40"/>
      <c r="AB30" s="40"/>
      <c r="AC30" s="40" t="s">
        <v>2894</v>
      </c>
      <c r="AD30" s="40"/>
      <c r="AE30" s="40"/>
      <c r="AF30" s="40" t="s">
        <v>2894</v>
      </c>
      <c r="AG30" s="40"/>
      <c r="AH30" s="40"/>
      <c r="AI30" s="40"/>
      <c r="AJ30" s="41"/>
      <c r="AK30" s="40" t="s">
        <v>2894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116</v>
      </c>
      <c r="C31" s="40">
        <v>1103</v>
      </c>
      <c r="D31" s="40" t="s">
        <v>112</v>
      </c>
      <c r="E31" s="40" t="s">
        <v>2893</v>
      </c>
      <c r="F31" s="40" t="s">
        <v>3179</v>
      </c>
      <c r="G31" s="41"/>
      <c r="H31" s="150" t="s">
        <v>5607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575</v>
      </c>
      <c r="W31" s="41">
        <v>106</v>
      </c>
      <c r="X31" s="40"/>
      <c r="Y31" s="40"/>
      <c r="Z31" s="40"/>
      <c r="AA31" s="40"/>
      <c r="AB31" s="40"/>
      <c r="AC31" s="40" t="s">
        <v>2894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117</v>
      </c>
      <c r="C32" s="40">
        <v>1104</v>
      </c>
      <c r="D32" s="40" t="s">
        <v>112</v>
      </c>
      <c r="E32" s="40" t="s">
        <v>2893</v>
      </c>
      <c r="F32" s="40" t="s">
        <v>3180</v>
      </c>
      <c r="G32" s="41" t="s">
        <v>5604</v>
      </c>
      <c r="H32" s="150" t="s">
        <v>5607</v>
      </c>
      <c r="I32" s="41" t="s">
        <v>5609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575</v>
      </c>
      <c r="W32" s="41">
        <v>106</v>
      </c>
      <c r="X32" s="40"/>
      <c r="Y32" s="40"/>
      <c r="Z32" s="40"/>
      <c r="AA32" s="40"/>
      <c r="AB32" s="40"/>
      <c r="AC32" s="40" t="s">
        <v>2894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118</v>
      </c>
      <c r="C33" s="40">
        <v>1107</v>
      </c>
      <c r="D33" s="40" t="s">
        <v>112</v>
      </c>
      <c r="E33" s="40" t="s">
        <v>2893</v>
      </c>
      <c r="F33" s="40" t="s">
        <v>3181</v>
      </c>
      <c r="G33" s="41"/>
      <c r="H33" s="150" t="s">
        <v>5607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575</v>
      </c>
      <c r="W33" s="41">
        <v>106</v>
      </c>
      <c r="X33" s="40"/>
      <c r="Y33" s="40"/>
      <c r="Z33" s="40"/>
      <c r="AA33" s="40"/>
      <c r="AB33" s="40"/>
      <c r="AC33" s="40" t="s">
        <v>2894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119</v>
      </c>
      <c r="C34" s="40">
        <v>1108</v>
      </c>
      <c r="D34" s="40" t="s">
        <v>112</v>
      </c>
      <c r="E34" s="40" t="s">
        <v>2893</v>
      </c>
      <c r="F34" s="40" t="s">
        <v>3182</v>
      </c>
      <c r="G34" s="41" t="s">
        <v>5604</v>
      </c>
      <c r="H34" s="150" t="s">
        <v>5607</v>
      </c>
      <c r="I34" s="41" t="s">
        <v>5609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575</v>
      </c>
      <c r="W34" s="41">
        <v>106</v>
      </c>
      <c r="X34" s="40"/>
      <c r="Y34" s="40"/>
      <c r="Z34" s="40"/>
      <c r="AA34" s="40"/>
      <c r="AB34" s="40"/>
      <c r="AC34" s="40" t="s">
        <v>2894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120</v>
      </c>
      <c r="C35" s="40">
        <v>1109</v>
      </c>
      <c r="D35" s="40" t="s">
        <v>112</v>
      </c>
      <c r="E35" s="40" t="s">
        <v>2893</v>
      </c>
      <c r="F35" s="40" t="s">
        <v>3183</v>
      </c>
      <c r="G35" s="41" t="s">
        <v>5604</v>
      </c>
      <c r="H35" s="150" t="s">
        <v>5607</v>
      </c>
      <c r="I35" s="41" t="s">
        <v>5609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575</v>
      </c>
      <c r="W35" s="41">
        <v>106</v>
      </c>
      <c r="X35" s="40"/>
      <c r="Y35" s="40"/>
      <c r="Z35" s="40"/>
      <c r="AA35" s="40"/>
      <c r="AB35" s="40"/>
      <c r="AC35" s="40" t="s">
        <v>2894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121</v>
      </c>
      <c r="C36" s="40">
        <v>1112</v>
      </c>
      <c r="D36" s="40" t="s">
        <v>112</v>
      </c>
      <c r="E36" s="40" t="s">
        <v>2893</v>
      </c>
      <c r="F36" s="40" t="s">
        <v>3184</v>
      </c>
      <c r="G36" s="41" t="s">
        <v>5604</v>
      </c>
      <c r="H36" s="150" t="s">
        <v>5607</v>
      </c>
      <c r="I36" s="41" t="s">
        <v>5609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122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575</v>
      </c>
      <c r="W36" s="41">
        <v>106</v>
      </c>
      <c r="X36" s="40"/>
      <c r="Y36" s="40"/>
      <c r="Z36" s="40"/>
      <c r="AA36" s="40"/>
      <c r="AB36" s="40"/>
      <c r="AC36" s="40" t="s">
        <v>2894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112</v>
      </c>
      <c r="E37" s="40" t="s">
        <v>2893</v>
      </c>
      <c r="F37" s="40" t="s">
        <v>3185</v>
      </c>
      <c r="G37" s="41"/>
      <c r="H37" s="150" t="s">
        <v>5607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575</v>
      </c>
      <c r="W37" s="41">
        <v>106</v>
      </c>
      <c r="X37" s="40"/>
      <c r="Y37" s="40"/>
      <c r="Z37" s="40"/>
      <c r="AA37" s="40"/>
      <c r="AB37" s="40"/>
      <c r="AC37" s="40" t="s">
        <v>2894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112</v>
      </c>
      <c r="E38" s="40" t="s">
        <v>2893</v>
      </c>
      <c r="F38" s="40" t="s">
        <v>3186</v>
      </c>
      <c r="G38" s="41"/>
      <c r="H38" s="150" t="s">
        <v>5607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575</v>
      </c>
      <c r="W38" s="41">
        <v>106</v>
      </c>
      <c r="X38" s="40"/>
      <c r="Y38" s="40"/>
      <c r="Z38" s="40"/>
      <c r="AA38" s="40"/>
      <c r="AB38" s="40"/>
      <c r="AC38" s="40" t="s">
        <v>2894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112</v>
      </c>
      <c r="E39" s="40" t="s">
        <v>2893</v>
      </c>
      <c r="F39" s="40" t="s">
        <v>3187</v>
      </c>
      <c r="G39" s="41"/>
      <c r="H39" s="150" t="s">
        <v>5607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575</v>
      </c>
      <c r="W39" s="41">
        <v>106</v>
      </c>
      <c r="X39" s="40"/>
      <c r="Y39" s="40"/>
      <c r="Z39" s="40"/>
      <c r="AA39" s="40"/>
      <c r="AB39" s="40"/>
      <c r="AC39" s="40" t="s">
        <v>2894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112</v>
      </c>
      <c r="E40" s="40" t="s">
        <v>2893</v>
      </c>
      <c r="F40" s="40" t="s">
        <v>3188</v>
      </c>
      <c r="G40" s="41"/>
      <c r="H40" s="150" t="s">
        <v>5607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575</v>
      </c>
      <c r="W40" s="41">
        <v>106</v>
      </c>
      <c r="X40" s="40"/>
      <c r="Y40" s="40"/>
      <c r="Z40" s="40"/>
      <c r="AA40" s="40"/>
      <c r="AB40" s="40"/>
      <c r="AC40" s="40" t="s">
        <v>2894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2912</v>
      </c>
      <c r="C41" s="40">
        <v>1095</v>
      </c>
      <c r="D41" s="40" t="s">
        <v>112</v>
      </c>
      <c r="E41" s="40" t="s">
        <v>2893</v>
      </c>
      <c r="F41" s="40" t="s">
        <v>3189</v>
      </c>
      <c r="G41" s="41" t="s">
        <v>5604</v>
      </c>
      <c r="H41" s="150" t="s">
        <v>5606</v>
      </c>
      <c r="I41" s="41" t="s">
        <v>5609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306</v>
      </c>
      <c r="U41" s="2" t="s">
        <v>306</v>
      </c>
      <c r="V41" s="97" t="s">
        <v>575</v>
      </c>
      <c r="W41" s="41">
        <v>114</v>
      </c>
      <c r="X41" s="40"/>
      <c r="Y41" s="40"/>
      <c r="Z41" s="40"/>
      <c r="AA41" s="40"/>
      <c r="AB41" s="40"/>
      <c r="AC41" s="40" t="s">
        <v>2894</v>
      </c>
      <c r="AD41" s="40"/>
      <c r="AE41" s="40"/>
      <c r="AF41" s="40" t="s">
        <v>2894</v>
      </c>
      <c r="AG41" s="40" t="s">
        <v>2894</v>
      </c>
      <c r="AH41" s="40"/>
      <c r="AI41" s="40"/>
      <c r="AJ41" s="41"/>
      <c r="AK41" s="40" t="s">
        <v>2898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112</v>
      </c>
      <c r="E42" s="40" t="s">
        <v>2893</v>
      </c>
      <c r="F42" s="40" t="s">
        <v>3190</v>
      </c>
      <c r="G42" s="41" t="s">
        <v>5604</v>
      </c>
      <c r="H42" s="150" t="s">
        <v>5607</v>
      </c>
      <c r="I42" s="41" t="s">
        <v>5609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575</v>
      </c>
      <c r="W42" s="41">
        <v>114</v>
      </c>
      <c r="X42" s="40"/>
      <c r="Y42" s="40"/>
      <c r="Z42" s="40"/>
      <c r="AA42" s="40"/>
      <c r="AB42" s="40"/>
      <c r="AC42" s="40" t="s">
        <v>2894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112</v>
      </c>
      <c r="E43" s="40" t="s">
        <v>2893</v>
      </c>
      <c r="F43" s="40" t="s">
        <v>3191</v>
      </c>
      <c r="G43" s="41" t="s">
        <v>5604</v>
      </c>
      <c r="H43" s="150" t="s">
        <v>5607</v>
      </c>
      <c r="I43" s="41" t="s">
        <v>5609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575</v>
      </c>
      <c r="W43" s="41">
        <v>106</v>
      </c>
      <c r="X43" s="40"/>
      <c r="Y43" s="40"/>
      <c r="Z43" s="40"/>
      <c r="AA43" s="40"/>
      <c r="AB43" s="40"/>
      <c r="AC43" s="40" t="s">
        <v>2894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112</v>
      </c>
      <c r="E44" s="83" t="s">
        <v>2893</v>
      </c>
      <c r="F44" s="83" t="s">
        <v>3192</v>
      </c>
      <c r="G44" s="47" t="s">
        <v>5604</v>
      </c>
      <c r="H44" s="340" t="s">
        <v>5607</v>
      </c>
      <c r="I44" s="47" t="s">
        <v>5609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55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575</v>
      </c>
      <c r="W44" s="47">
        <v>106</v>
      </c>
      <c r="X44" s="83"/>
      <c r="Y44" s="83"/>
      <c r="Z44" s="83"/>
      <c r="AA44" s="83"/>
      <c r="AB44" s="83"/>
      <c r="AC44" s="83" t="s">
        <v>2894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2913</v>
      </c>
      <c r="C45" s="29">
        <v>66</v>
      </c>
      <c r="D45" s="29" t="s">
        <v>162</v>
      </c>
      <c r="E45" s="29" t="s">
        <v>2893</v>
      </c>
      <c r="F45" s="29" t="s">
        <v>3193</v>
      </c>
      <c r="G45" s="31" t="s">
        <v>5604</v>
      </c>
      <c r="H45" s="145" t="s">
        <v>5606</v>
      </c>
      <c r="I45" s="31" t="s">
        <v>5609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163</v>
      </c>
      <c r="Q45" s="33">
        <v>34.799999999999997</v>
      </c>
      <c r="R45" s="33">
        <v>286</v>
      </c>
      <c r="S45" s="33">
        <v>85.9</v>
      </c>
      <c r="T45" s="30" t="s">
        <v>306</v>
      </c>
      <c r="U45" s="30" t="s">
        <v>306</v>
      </c>
      <c r="V45" s="95" t="s">
        <v>575</v>
      </c>
      <c r="W45" s="31">
        <v>114</v>
      </c>
      <c r="X45" s="29"/>
      <c r="Y45" s="29"/>
      <c r="Z45" s="29"/>
      <c r="AA45" s="29"/>
      <c r="AB45" s="29"/>
      <c r="AC45" s="29" t="s">
        <v>2894</v>
      </c>
      <c r="AD45" s="29"/>
      <c r="AE45" s="29"/>
      <c r="AF45" s="29" t="s">
        <v>2894</v>
      </c>
      <c r="AG45" s="29" t="s">
        <v>2894</v>
      </c>
      <c r="AH45" s="29"/>
      <c r="AI45" s="29"/>
      <c r="AJ45" s="31"/>
      <c r="AK45" s="29" t="s">
        <v>2894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162</v>
      </c>
      <c r="E46" s="40" t="s">
        <v>2893</v>
      </c>
      <c r="F46" s="40" t="s">
        <v>3194</v>
      </c>
      <c r="G46" s="41" t="s">
        <v>5604</v>
      </c>
      <c r="H46" s="150" t="s">
        <v>5606</v>
      </c>
      <c r="I46" s="41" t="s">
        <v>5609</v>
      </c>
      <c r="J46" s="42">
        <v>201426.81599999999</v>
      </c>
      <c r="K46" s="42">
        <v>2660040.1830000002</v>
      </c>
      <c r="L46" s="43" t="s">
        <v>40</v>
      </c>
      <c r="M46" s="44">
        <v>8</v>
      </c>
      <c r="N46" s="43">
        <v>100</v>
      </c>
      <c r="O46" s="43">
        <v>115</v>
      </c>
      <c r="P46" s="43" t="s">
        <v>41</v>
      </c>
      <c r="Q46" s="43">
        <v>35</v>
      </c>
      <c r="R46" s="43">
        <v>286</v>
      </c>
      <c r="S46" s="43">
        <v>133</v>
      </c>
      <c r="T46" s="2" t="s">
        <v>575</v>
      </c>
      <c r="U46" s="2" t="s">
        <v>8</v>
      </c>
      <c r="V46" s="97" t="s">
        <v>575</v>
      </c>
      <c r="W46" s="41">
        <v>114</v>
      </c>
      <c r="X46" s="40"/>
      <c r="Y46" s="40"/>
      <c r="Z46" s="40"/>
      <c r="AA46" s="40"/>
      <c r="AB46" s="40"/>
      <c r="AC46" s="40" t="s">
        <v>2894</v>
      </c>
      <c r="AD46" s="40"/>
      <c r="AE46" s="40"/>
      <c r="AF46" s="40" t="s">
        <v>2894</v>
      </c>
      <c r="AG46" s="40"/>
      <c r="AH46" s="40"/>
      <c r="AI46" s="40"/>
      <c r="AJ46" s="41"/>
      <c r="AK46" s="40" t="s">
        <v>2894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162</v>
      </c>
      <c r="E47" s="83" t="s">
        <v>2893</v>
      </c>
      <c r="F47" s="83" t="s">
        <v>3195</v>
      </c>
      <c r="G47" s="47" t="s">
        <v>5604</v>
      </c>
      <c r="H47" s="340" t="s">
        <v>5608</v>
      </c>
      <c r="I47" s="47" t="s">
        <v>5609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575</v>
      </c>
      <c r="U47" s="85" t="str">
        <f>U45</f>
        <v>正常</v>
      </c>
      <c r="V47" s="84" t="s">
        <v>575</v>
      </c>
      <c r="W47" s="47">
        <v>110</v>
      </c>
      <c r="X47" s="83"/>
      <c r="Y47" s="83"/>
      <c r="Z47" s="83"/>
      <c r="AA47" s="83"/>
      <c r="AB47" s="83"/>
      <c r="AC47" s="83" t="s">
        <v>2894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165</v>
      </c>
      <c r="C48" s="29">
        <v>70</v>
      </c>
      <c r="D48" s="29" t="s">
        <v>164</v>
      </c>
      <c r="E48" s="29" t="s">
        <v>2893</v>
      </c>
      <c r="F48" s="29" t="s">
        <v>3196</v>
      </c>
      <c r="G48" s="31" t="s">
        <v>5604</v>
      </c>
      <c r="H48" s="145" t="s">
        <v>5607</v>
      </c>
      <c r="I48" s="31" t="s">
        <v>5609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77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2896</v>
      </c>
      <c r="W48" s="31">
        <v>106</v>
      </c>
      <c r="X48" s="29"/>
      <c r="Y48" s="29"/>
      <c r="Z48" s="29"/>
      <c r="AA48" s="29"/>
      <c r="AB48" s="29"/>
      <c r="AC48" s="29" t="s">
        <v>2894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166</v>
      </c>
      <c r="C49" s="40">
        <v>71</v>
      </c>
      <c r="D49" s="40" t="s">
        <v>164</v>
      </c>
      <c r="E49" s="40" t="s">
        <v>2893</v>
      </c>
      <c r="F49" s="40" t="s">
        <v>3197</v>
      </c>
      <c r="G49" s="41" t="s">
        <v>5604</v>
      </c>
      <c r="H49" s="150" t="s">
        <v>5607</v>
      </c>
      <c r="I49" s="41" t="s">
        <v>5609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37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2896</v>
      </c>
      <c r="W49" s="41">
        <v>106</v>
      </c>
      <c r="X49" s="40"/>
      <c r="Y49" s="40"/>
      <c r="Z49" s="40"/>
      <c r="AA49" s="40"/>
      <c r="AB49" s="40"/>
      <c r="AC49" s="40" t="s">
        <v>2894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167</v>
      </c>
      <c r="C50" s="40">
        <v>72</v>
      </c>
      <c r="D50" s="40" t="s">
        <v>164</v>
      </c>
      <c r="E50" s="40" t="s">
        <v>2893</v>
      </c>
      <c r="F50" s="40" t="s">
        <v>3198</v>
      </c>
      <c r="G50" s="41" t="s">
        <v>5604</v>
      </c>
      <c r="H50" s="150" t="s">
        <v>5607</v>
      </c>
      <c r="I50" s="41" t="s">
        <v>5609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2896</v>
      </c>
      <c r="W50" s="41">
        <v>106</v>
      </c>
      <c r="X50" s="40"/>
      <c r="Y50" s="40"/>
      <c r="Z50" s="40"/>
      <c r="AA50" s="40"/>
      <c r="AB50" s="40"/>
      <c r="AC50" s="40" t="s">
        <v>2894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168</v>
      </c>
      <c r="C51" s="40">
        <v>73</v>
      </c>
      <c r="D51" s="40" t="s">
        <v>164</v>
      </c>
      <c r="E51" s="40" t="s">
        <v>2893</v>
      </c>
      <c r="F51" s="40" t="s">
        <v>3199</v>
      </c>
      <c r="G51" s="41" t="s">
        <v>5604</v>
      </c>
      <c r="H51" s="150" t="s">
        <v>5607</v>
      </c>
      <c r="I51" s="41" t="s">
        <v>5609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77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2896</v>
      </c>
      <c r="W51" s="41">
        <v>106</v>
      </c>
      <c r="X51" s="40"/>
      <c r="Y51" s="40"/>
      <c r="Z51" s="40"/>
      <c r="AA51" s="40"/>
      <c r="AB51" s="40"/>
      <c r="AC51" s="40" t="s">
        <v>2894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169</v>
      </c>
      <c r="C52" s="40">
        <v>75</v>
      </c>
      <c r="D52" s="40" t="s">
        <v>164</v>
      </c>
      <c r="E52" s="40" t="s">
        <v>2893</v>
      </c>
      <c r="F52" s="40" t="s">
        <v>3200</v>
      </c>
      <c r="G52" s="41" t="s">
        <v>5604</v>
      </c>
      <c r="H52" s="150" t="s">
        <v>5607</v>
      </c>
      <c r="I52" s="41" t="s">
        <v>5609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59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2896</v>
      </c>
      <c r="W52" s="41">
        <v>106</v>
      </c>
      <c r="X52" s="40"/>
      <c r="Y52" s="40"/>
      <c r="Z52" s="40"/>
      <c r="AA52" s="40"/>
      <c r="AB52" s="40"/>
      <c r="AC52" s="40" t="s">
        <v>2894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170</v>
      </c>
      <c r="C53" s="40">
        <v>77</v>
      </c>
      <c r="D53" s="40" t="s">
        <v>164</v>
      </c>
      <c r="E53" s="40" t="s">
        <v>2893</v>
      </c>
      <c r="F53" s="40" t="s">
        <v>3201</v>
      </c>
      <c r="G53" s="41" t="s">
        <v>5604</v>
      </c>
      <c r="H53" s="150" t="s">
        <v>5607</v>
      </c>
      <c r="I53" s="41" t="s">
        <v>5609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59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2896</v>
      </c>
      <c r="W53" s="41">
        <v>106</v>
      </c>
      <c r="X53" s="40"/>
      <c r="Y53" s="40"/>
      <c r="Z53" s="40"/>
      <c r="AA53" s="40"/>
      <c r="AB53" s="40"/>
      <c r="AC53" s="40" t="s">
        <v>2894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61</v>
      </c>
      <c r="C54" s="40">
        <v>1921</v>
      </c>
      <c r="D54" s="38" t="s">
        <v>57</v>
      </c>
      <c r="E54" s="40" t="s">
        <v>2893</v>
      </c>
      <c r="F54" s="40" t="s">
        <v>3202</v>
      </c>
      <c r="G54" s="50" t="s">
        <v>5604</v>
      </c>
      <c r="H54" s="150" t="s">
        <v>5606</v>
      </c>
      <c r="I54" s="50" t="s">
        <v>5609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575</v>
      </c>
      <c r="U54" s="2" t="s">
        <v>8</v>
      </c>
      <c r="V54" s="39" t="s">
        <v>2896</v>
      </c>
      <c r="W54" s="41">
        <v>113</v>
      </c>
      <c r="X54" s="40"/>
      <c r="Y54" s="40"/>
      <c r="Z54" s="40"/>
      <c r="AA54" s="40"/>
      <c r="AB54" s="40"/>
      <c r="AC54" s="40" t="s">
        <v>2894</v>
      </c>
      <c r="AD54" s="40"/>
      <c r="AE54" s="40"/>
      <c r="AF54" s="40"/>
      <c r="AG54" s="40"/>
      <c r="AH54" s="40"/>
      <c r="AI54" s="37"/>
      <c r="AJ54" s="40" t="s">
        <v>2894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173</v>
      </c>
      <c r="C55" s="40">
        <v>82</v>
      </c>
      <c r="D55" s="40" t="s">
        <v>164</v>
      </c>
      <c r="E55" s="40" t="s">
        <v>2893</v>
      </c>
      <c r="F55" s="40" t="s">
        <v>3203</v>
      </c>
      <c r="G55" s="41" t="s">
        <v>5604</v>
      </c>
      <c r="H55" s="150" t="s">
        <v>5606</v>
      </c>
      <c r="I55" s="41" t="s">
        <v>5609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236</v>
      </c>
      <c r="Q55" s="43">
        <v>33.700000000000003</v>
      </c>
      <c r="R55" s="43">
        <v>291</v>
      </c>
      <c r="S55" s="43">
        <v>83.6</v>
      </c>
      <c r="T55" s="2" t="s">
        <v>306</v>
      </c>
      <c r="U55" s="2" t="s">
        <v>3</v>
      </c>
      <c r="V55" s="93" t="s">
        <v>2896</v>
      </c>
      <c r="W55" s="41">
        <v>113</v>
      </c>
      <c r="X55" s="40"/>
      <c r="Y55" s="40"/>
      <c r="Z55" s="40"/>
      <c r="AA55" s="40"/>
      <c r="AB55" s="40"/>
      <c r="AC55" s="40" t="s">
        <v>2894</v>
      </c>
      <c r="AD55" s="40"/>
      <c r="AE55" s="40"/>
      <c r="AF55" s="40" t="s">
        <v>2894</v>
      </c>
      <c r="AG55" s="40"/>
      <c r="AH55" s="40"/>
      <c r="AI55" s="40"/>
      <c r="AJ55" s="40" t="s">
        <v>2898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174</v>
      </c>
      <c r="C56" s="40">
        <v>84</v>
      </c>
      <c r="D56" s="40" t="s">
        <v>164</v>
      </c>
      <c r="E56" s="40" t="s">
        <v>2893</v>
      </c>
      <c r="F56" s="40" t="s">
        <v>3204</v>
      </c>
      <c r="G56" s="41" t="s">
        <v>5604</v>
      </c>
      <c r="H56" s="150" t="s">
        <v>5606</v>
      </c>
      <c r="I56" s="41" t="s">
        <v>5609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306</v>
      </c>
      <c r="U56" s="2" t="s">
        <v>3</v>
      </c>
      <c r="V56" s="93" t="s">
        <v>2896</v>
      </c>
      <c r="W56" s="41">
        <v>113</v>
      </c>
      <c r="X56" s="40"/>
      <c r="Y56" s="40"/>
      <c r="Z56" s="40"/>
      <c r="AA56" s="40"/>
      <c r="AB56" s="40"/>
      <c r="AC56" s="40" t="s">
        <v>2894</v>
      </c>
      <c r="AD56" s="40"/>
      <c r="AE56" s="40"/>
      <c r="AF56" s="40" t="s">
        <v>2894</v>
      </c>
      <c r="AG56" s="40"/>
      <c r="AH56" s="40"/>
      <c r="AI56" s="40" t="s">
        <v>2898</v>
      </c>
      <c r="AJ56" s="40" t="s">
        <v>2898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164</v>
      </c>
      <c r="E57" s="40" t="s">
        <v>2893</v>
      </c>
      <c r="F57" s="40" t="s">
        <v>3205</v>
      </c>
      <c r="G57" s="41" t="s">
        <v>5604</v>
      </c>
      <c r="H57" s="150" t="s">
        <v>5608</v>
      </c>
      <c r="I57" s="41" t="s">
        <v>5609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2907</v>
      </c>
      <c r="U57" s="2" t="str">
        <f>U55</f>
        <v>正常</v>
      </c>
      <c r="V57" s="93" t="s">
        <v>2896</v>
      </c>
      <c r="W57" s="41">
        <v>113</v>
      </c>
      <c r="X57" s="40"/>
      <c r="Y57" s="40"/>
      <c r="Z57" s="40"/>
      <c r="AA57" s="40"/>
      <c r="AB57" s="40"/>
      <c r="AC57" s="40" t="s">
        <v>2894</v>
      </c>
      <c r="AD57" s="40"/>
      <c r="AE57" s="40"/>
      <c r="AF57" s="40" t="s">
        <v>2894</v>
      </c>
      <c r="AG57" s="40"/>
      <c r="AH57" s="40"/>
      <c r="AI57" s="40" t="s">
        <v>2894</v>
      </c>
      <c r="AJ57" s="40" t="s">
        <v>2898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164</v>
      </c>
      <c r="E58" s="40" t="s">
        <v>2893</v>
      </c>
      <c r="F58" s="40" t="s">
        <v>3206</v>
      </c>
      <c r="G58" s="41" t="s">
        <v>5604</v>
      </c>
      <c r="H58" s="150" t="s">
        <v>5608</v>
      </c>
      <c r="I58" s="41" t="s">
        <v>5609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2907</v>
      </c>
      <c r="U58" s="2" t="str">
        <f>U55</f>
        <v>正常</v>
      </c>
      <c r="V58" s="93" t="s">
        <v>2896</v>
      </c>
      <c r="W58" s="41">
        <v>113</v>
      </c>
      <c r="X58" s="40"/>
      <c r="Y58" s="40"/>
      <c r="Z58" s="40"/>
      <c r="AA58" s="40"/>
      <c r="AB58" s="40"/>
      <c r="AC58" s="40" t="s">
        <v>2894</v>
      </c>
      <c r="AD58" s="40"/>
      <c r="AE58" s="40"/>
      <c r="AF58" s="40" t="s">
        <v>2894</v>
      </c>
      <c r="AG58" s="40"/>
      <c r="AH58" s="40"/>
      <c r="AI58" s="40"/>
      <c r="AJ58" s="40" t="s">
        <v>2898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164</v>
      </c>
      <c r="E59" s="83" t="s">
        <v>2893</v>
      </c>
      <c r="F59" s="83" t="s">
        <v>3207</v>
      </c>
      <c r="G59" s="47" t="s">
        <v>5604</v>
      </c>
      <c r="H59" s="340" t="s">
        <v>5608</v>
      </c>
      <c r="I59" s="47" t="s">
        <v>5609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306</v>
      </c>
      <c r="U59" s="85" t="str">
        <f>U56</f>
        <v>正常</v>
      </c>
      <c r="V59" s="94" t="s">
        <v>2896</v>
      </c>
      <c r="W59" s="47">
        <v>113</v>
      </c>
      <c r="X59" s="83"/>
      <c r="Y59" s="83"/>
      <c r="Z59" s="83"/>
      <c r="AA59" s="83"/>
      <c r="AB59" s="83"/>
      <c r="AC59" s="83" t="s">
        <v>2894</v>
      </c>
      <c r="AD59" s="83"/>
      <c r="AE59" s="83"/>
      <c r="AF59" s="83" t="s">
        <v>2894</v>
      </c>
      <c r="AG59" s="83"/>
      <c r="AH59" s="83"/>
      <c r="AI59" s="83" t="s">
        <v>2898</v>
      </c>
      <c r="AJ59" s="83" t="s">
        <v>2898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423</v>
      </c>
      <c r="C60" s="29">
        <v>1167</v>
      </c>
      <c r="D60" s="27" t="s">
        <v>422</v>
      </c>
      <c r="E60" s="29" t="s">
        <v>2915</v>
      </c>
      <c r="F60" s="29" t="s">
        <v>3208</v>
      </c>
      <c r="G60" s="31"/>
      <c r="H60" s="145" t="s">
        <v>5606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2907</v>
      </c>
      <c r="U60" s="30" t="s">
        <v>8</v>
      </c>
      <c r="V60" s="91" t="s">
        <v>2914</v>
      </c>
      <c r="W60" s="31">
        <v>109</v>
      </c>
      <c r="X60" s="29"/>
      <c r="Y60" s="102"/>
      <c r="Z60" s="29"/>
      <c r="AA60" s="29" t="s">
        <v>2894</v>
      </c>
      <c r="AB60" s="29"/>
      <c r="AC60" s="29"/>
      <c r="AD60" s="29"/>
      <c r="AE60" s="29"/>
      <c r="AF60" s="29" t="s">
        <v>2894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431</v>
      </c>
      <c r="C61" s="40">
        <v>1168</v>
      </c>
      <c r="D61" s="38" t="s">
        <v>422</v>
      </c>
      <c r="E61" s="40" t="s">
        <v>2915</v>
      </c>
      <c r="F61" s="40" t="s">
        <v>3209</v>
      </c>
      <c r="G61" s="41" t="s">
        <v>5604</v>
      </c>
      <c r="H61" s="150" t="s">
        <v>5606</v>
      </c>
      <c r="I61" s="41" t="s">
        <v>5609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306</v>
      </c>
      <c r="U61" s="2" t="s">
        <v>3</v>
      </c>
      <c r="V61" s="93" t="s">
        <v>2914</v>
      </c>
      <c r="W61" s="41">
        <v>109</v>
      </c>
      <c r="X61" s="40"/>
      <c r="Y61" s="106"/>
      <c r="Z61" s="40"/>
      <c r="AA61" s="40"/>
      <c r="AB61" s="40"/>
      <c r="AC61" s="40" t="s">
        <v>2898</v>
      </c>
      <c r="AD61" s="40"/>
      <c r="AE61" s="40"/>
      <c r="AF61" s="40" t="s">
        <v>2898</v>
      </c>
      <c r="AG61" s="40"/>
      <c r="AH61" s="40"/>
      <c r="AI61" s="40"/>
      <c r="AJ61" s="41"/>
      <c r="AK61" s="45"/>
      <c r="AL61" s="54" t="s">
        <v>2908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432</v>
      </c>
      <c r="C62" s="58">
        <v>1169</v>
      </c>
      <c r="D62" s="56" t="s">
        <v>422</v>
      </c>
      <c r="E62" s="58" t="s">
        <v>2915</v>
      </c>
      <c r="F62" s="58" t="s">
        <v>3210</v>
      </c>
      <c r="G62" s="60"/>
      <c r="H62" s="226" t="s">
        <v>5608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2916</v>
      </c>
      <c r="U62" s="59" t="s">
        <v>2916</v>
      </c>
      <c r="V62" s="108" t="s">
        <v>2914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2908</v>
      </c>
      <c r="AM62" s="107">
        <v>115</v>
      </c>
    </row>
    <row r="63" spans="1:39" s="15" customFormat="1" x14ac:dyDescent="0.3">
      <c r="A63" s="15">
        <v>62</v>
      </c>
      <c r="B63" s="75" t="s">
        <v>171</v>
      </c>
      <c r="C63" s="75">
        <v>79</v>
      </c>
      <c r="D63" s="75" t="s">
        <v>164</v>
      </c>
      <c r="E63" s="75" t="s">
        <v>2893</v>
      </c>
      <c r="F63" s="75" t="s">
        <v>3211</v>
      </c>
      <c r="G63" s="76" t="s">
        <v>5604</v>
      </c>
      <c r="H63" s="414" t="s">
        <v>5606</v>
      </c>
      <c r="I63" s="76" t="s">
        <v>5609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172</v>
      </c>
      <c r="Q63" s="72">
        <v>34.1</v>
      </c>
      <c r="R63" s="72">
        <v>373</v>
      </c>
      <c r="S63" s="72">
        <v>112</v>
      </c>
      <c r="T63" s="69" t="s">
        <v>575</v>
      </c>
      <c r="U63" s="69" t="s">
        <v>8</v>
      </c>
      <c r="V63" s="93" t="s">
        <v>2896</v>
      </c>
      <c r="W63" s="76">
        <v>113</v>
      </c>
      <c r="X63" s="75"/>
      <c r="Y63" s="75"/>
      <c r="Z63" s="75"/>
      <c r="AA63" s="75"/>
      <c r="AB63" s="75"/>
      <c r="AC63" s="75" t="s">
        <v>2894</v>
      </c>
      <c r="AD63" s="75"/>
      <c r="AE63" s="75"/>
      <c r="AF63" s="75"/>
      <c r="AG63" s="75"/>
      <c r="AH63" s="75"/>
      <c r="AI63" s="75"/>
      <c r="AJ63" s="40" t="s">
        <v>2894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305</v>
      </c>
      <c r="C64" s="40">
        <v>1138</v>
      </c>
      <c r="D64" s="40" t="s">
        <v>301</v>
      </c>
      <c r="E64" s="40" t="s">
        <v>2915</v>
      </c>
      <c r="F64" s="40" t="s">
        <v>3212</v>
      </c>
      <c r="G64" s="41" t="s">
        <v>5604</v>
      </c>
      <c r="H64" s="150" t="s">
        <v>5606</v>
      </c>
      <c r="I64" s="41" t="s">
        <v>5609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306</v>
      </c>
      <c r="U64" s="2" t="s">
        <v>306</v>
      </c>
      <c r="V64" s="93" t="s">
        <v>2896</v>
      </c>
      <c r="W64" s="41">
        <v>113</v>
      </c>
      <c r="X64" s="40"/>
      <c r="Y64" s="40"/>
      <c r="Z64" s="40"/>
      <c r="AA64" s="40"/>
      <c r="AB64" s="40"/>
      <c r="AC64" s="40" t="s">
        <v>2894</v>
      </c>
      <c r="AD64" s="40"/>
      <c r="AE64" s="40" t="s">
        <v>2894</v>
      </c>
      <c r="AF64" s="40"/>
      <c r="AG64" s="40"/>
      <c r="AH64" s="40"/>
      <c r="AI64" s="40"/>
      <c r="AJ64" s="40" t="s">
        <v>2898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307</v>
      </c>
      <c r="C65" s="40">
        <v>1140</v>
      </c>
      <c r="D65" s="40" t="s">
        <v>301</v>
      </c>
      <c r="E65" s="40" t="s">
        <v>2915</v>
      </c>
      <c r="F65" s="40" t="s">
        <v>3213</v>
      </c>
      <c r="G65" s="41"/>
      <c r="H65" s="150" t="s">
        <v>5607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2896</v>
      </c>
      <c r="W65" s="41">
        <v>108</v>
      </c>
      <c r="X65" s="40"/>
      <c r="Y65" s="40"/>
      <c r="Z65" s="40"/>
      <c r="AA65" s="40"/>
      <c r="AB65" s="40"/>
      <c r="AC65" s="40" t="s">
        <v>2894</v>
      </c>
      <c r="AD65" s="40"/>
      <c r="AE65" s="40" t="s">
        <v>2894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308</v>
      </c>
      <c r="C66" s="40">
        <v>1142</v>
      </c>
      <c r="D66" s="40" t="s">
        <v>301</v>
      </c>
      <c r="E66" s="40" t="s">
        <v>2915</v>
      </c>
      <c r="F66" s="40" t="s">
        <v>3214</v>
      </c>
      <c r="G66" s="41"/>
      <c r="H66" s="150" t="s">
        <v>5607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2896</v>
      </c>
      <c r="W66" s="41">
        <v>108</v>
      </c>
      <c r="X66" s="40"/>
      <c r="Y66" s="40"/>
      <c r="Z66" s="40"/>
      <c r="AA66" s="40"/>
      <c r="AB66" s="40"/>
      <c r="AC66" s="40" t="s">
        <v>2894</v>
      </c>
      <c r="AD66" s="40"/>
      <c r="AE66" s="40" t="s">
        <v>2894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309</v>
      </c>
      <c r="C67" s="40">
        <v>1143</v>
      </c>
      <c r="D67" s="40" t="s">
        <v>301</v>
      </c>
      <c r="E67" s="40" t="s">
        <v>2915</v>
      </c>
      <c r="F67" s="40" t="s">
        <v>3215</v>
      </c>
      <c r="G67" s="41"/>
      <c r="H67" s="150" t="s">
        <v>5607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2896</v>
      </c>
      <c r="W67" s="41">
        <v>108</v>
      </c>
      <c r="X67" s="40"/>
      <c r="Y67" s="40"/>
      <c r="Z67" s="40"/>
      <c r="AA67" s="40"/>
      <c r="AB67" s="40"/>
      <c r="AC67" s="40" t="s">
        <v>2894</v>
      </c>
      <c r="AD67" s="40"/>
      <c r="AE67" s="40" t="s">
        <v>2894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310</v>
      </c>
      <c r="C68" s="40">
        <v>1146</v>
      </c>
      <c r="D68" s="40" t="s">
        <v>301</v>
      </c>
      <c r="E68" s="40" t="s">
        <v>2915</v>
      </c>
      <c r="F68" s="40" t="s">
        <v>3216</v>
      </c>
      <c r="G68" s="41" t="s">
        <v>5604</v>
      </c>
      <c r="H68" s="150" t="s">
        <v>5606</v>
      </c>
      <c r="I68" s="41" t="s">
        <v>5609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575</v>
      </c>
      <c r="U68" s="2" t="s">
        <v>8</v>
      </c>
      <c r="V68" s="93" t="s">
        <v>2896</v>
      </c>
      <c r="W68" s="41">
        <v>113</v>
      </c>
      <c r="X68" s="40"/>
      <c r="Y68" s="40"/>
      <c r="Z68" s="40"/>
      <c r="AA68" s="40"/>
      <c r="AB68" s="40"/>
      <c r="AC68" s="40" t="s">
        <v>2894</v>
      </c>
      <c r="AD68" s="40"/>
      <c r="AE68" s="40" t="s">
        <v>2894</v>
      </c>
      <c r="AF68" s="40" t="s">
        <v>2894</v>
      </c>
      <c r="AG68" s="40"/>
      <c r="AH68" s="40"/>
      <c r="AI68" s="40" t="s">
        <v>2894</v>
      </c>
      <c r="AJ68" s="40" t="s">
        <v>2894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311</v>
      </c>
      <c r="C69" s="40">
        <v>1149</v>
      </c>
      <c r="D69" s="40" t="s">
        <v>301</v>
      </c>
      <c r="E69" s="40" t="s">
        <v>2915</v>
      </c>
      <c r="F69" s="40" t="s">
        <v>3217</v>
      </c>
      <c r="G69" s="41"/>
      <c r="H69" s="150" t="s">
        <v>5607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2896</v>
      </c>
      <c r="W69" s="41">
        <v>108</v>
      </c>
      <c r="X69" s="40"/>
      <c r="Y69" s="40"/>
      <c r="Z69" s="40"/>
      <c r="AA69" s="40"/>
      <c r="AB69" s="40"/>
      <c r="AC69" s="40" t="s">
        <v>2894</v>
      </c>
      <c r="AD69" s="40"/>
      <c r="AE69" s="40" t="s">
        <v>2894</v>
      </c>
      <c r="AF69" s="40"/>
      <c r="AG69" s="40"/>
      <c r="AH69" s="40"/>
      <c r="AI69" s="40"/>
      <c r="AJ69" s="41" t="s">
        <v>2917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312</v>
      </c>
      <c r="C70" s="40">
        <v>1152</v>
      </c>
      <c r="D70" s="40" t="s">
        <v>301</v>
      </c>
      <c r="E70" s="40" t="s">
        <v>2915</v>
      </c>
      <c r="F70" s="40" t="s">
        <v>3218</v>
      </c>
      <c r="G70" s="41"/>
      <c r="H70" s="150" t="s">
        <v>5608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73</v>
      </c>
      <c r="V70" s="93" t="s">
        <v>2896</v>
      </c>
      <c r="W70" s="41">
        <v>108</v>
      </c>
      <c r="X70" s="40"/>
      <c r="Y70" s="40"/>
      <c r="Z70" s="40"/>
      <c r="AA70" s="40"/>
      <c r="AB70" s="40"/>
      <c r="AC70" s="40" t="s">
        <v>2894</v>
      </c>
      <c r="AD70" s="40"/>
      <c r="AE70" s="40" t="s">
        <v>2894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313</v>
      </c>
      <c r="C71" s="40">
        <v>1151</v>
      </c>
      <c r="D71" s="40" t="s">
        <v>301</v>
      </c>
      <c r="E71" s="40" t="s">
        <v>2915</v>
      </c>
      <c r="F71" s="40" t="s">
        <v>3219</v>
      </c>
      <c r="G71" s="41"/>
      <c r="H71" s="150" t="s">
        <v>5608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1697</v>
      </c>
      <c r="U71" s="2" t="s">
        <v>56</v>
      </c>
      <c r="V71" s="93" t="s">
        <v>2896</v>
      </c>
      <c r="W71" s="41">
        <v>108</v>
      </c>
      <c r="X71" s="40"/>
      <c r="Y71" s="40"/>
      <c r="Z71" s="40"/>
      <c r="AA71" s="40"/>
      <c r="AB71" s="40"/>
      <c r="AC71" s="40" t="s">
        <v>2894</v>
      </c>
      <c r="AD71" s="40"/>
      <c r="AE71" s="40" t="s">
        <v>2905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314</v>
      </c>
      <c r="C72" s="40">
        <v>1130</v>
      </c>
      <c r="D72" s="40" t="s">
        <v>301</v>
      </c>
      <c r="E72" s="40" t="s">
        <v>2915</v>
      </c>
      <c r="F72" s="40" t="s">
        <v>3220</v>
      </c>
      <c r="G72" s="41" t="s">
        <v>5604</v>
      </c>
      <c r="H72" s="150" t="s">
        <v>5608</v>
      </c>
      <c r="I72" s="41" t="s">
        <v>5609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575</v>
      </c>
      <c r="U72" s="2" t="s">
        <v>8</v>
      </c>
      <c r="V72" s="93" t="s">
        <v>2896</v>
      </c>
      <c r="W72" s="41">
        <v>113</v>
      </c>
      <c r="X72" s="40"/>
      <c r="Y72" s="40"/>
      <c r="Z72" s="40"/>
      <c r="AA72" s="40"/>
      <c r="AB72" s="40"/>
      <c r="AC72" s="40" t="s">
        <v>2894</v>
      </c>
      <c r="AD72" s="40"/>
      <c r="AE72" s="40" t="s">
        <v>2894</v>
      </c>
      <c r="AF72" s="40"/>
      <c r="AG72" s="40" t="s">
        <v>2894</v>
      </c>
      <c r="AH72" s="40"/>
      <c r="AI72" s="40"/>
      <c r="AJ72" s="40" t="s">
        <v>2894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301</v>
      </c>
      <c r="E73" s="40" t="s">
        <v>2915</v>
      </c>
      <c r="F73" s="40" t="s">
        <v>3221</v>
      </c>
      <c r="G73" s="41" t="s">
        <v>5604</v>
      </c>
      <c r="H73" s="150" t="s">
        <v>5608</v>
      </c>
      <c r="I73" s="41" t="s">
        <v>5609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306</v>
      </c>
      <c r="U73" s="2" t="str">
        <f>U64</f>
        <v>正常</v>
      </c>
      <c r="V73" s="93" t="s">
        <v>2896</v>
      </c>
      <c r="W73" s="41">
        <v>113</v>
      </c>
      <c r="X73" s="40"/>
      <c r="Y73" s="40"/>
      <c r="Z73" s="40"/>
      <c r="AA73" s="40"/>
      <c r="AB73" s="40"/>
      <c r="AC73" s="40" t="s">
        <v>2894</v>
      </c>
      <c r="AD73" s="40"/>
      <c r="AE73" s="40" t="s">
        <v>2894</v>
      </c>
      <c r="AF73" s="40"/>
      <c r="AG73" s="40"/>
      <c r="AH73" s="40"/>
      <c r="AI73" s="40"/>
      <c r="AJ73" s="40" t="s">
        <v>2898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301</v>
      </c>
      <c r="E74" s="40" t="s">
        <v>2915</v>
      </c>
      <c r="F74" s="40" t="s">
        <v>3222</v>
      </c>
      <c r="G74" s="41"/>
      <c r="H74" s="150" t="s">
        <v>5607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2896</v>
      </c>
      <c r="W74" s="41">
        <v>108</v>
      </c>
      <c r="X74" s="40"/>
      <c r="Y74" s="40"/>
      <c r="Z74" s="40"/>
      <c r="AA74" s="40"/>
      <c r="AB74" s="40"/>
      <c r="AC74" s="40" t="s">
        <v>2894</v>
      </c>
      <c r="AD74" s="40"/>
      <c r="AE74" s="40" t="s">
        <v>2894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301</v>
      </c>
      <c r="E75" s="83" t="s">
        <v>2915</v>
      </c>
      <c r="F75" s="83" t="s">
        <v>3223</v>
      </c>
      <c r="G75" s="47"/>
      <c r="H75" s="340" t="s">
        <v>5608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2896</v>
      </c>
      <c r="W75" s="47">
        <v>108</v>
      </c>
      <c r="X75" s="83"/>
      <c r="Y75" s="83"/>
      <c r="Z75" s="83"/>
      <c r="AA75" s="83"/>
      <c r="AB75" s="83"/>
      <c r="AC75" s="83" t="s">
        <v>2894</v>
      </c>
      <c r="AD75" s="83"/>
      <c r="AE75" s="83" t="s">
        <v>2894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333</v>
      </c>
      <c r="C76" s="29">
        <v>1190</v>
      </c>
      <c r="D76" s="29" t="s">
        <v>332</v>
      </c>
      <c r="E76" s="29" t="s">
        <v>2915</v>
      </c>
      <c r="F76" s="29" t="s">
        <v>3224</v>
      </c>
      <c r="G76" s="31" t="s">
        <v>5604</v>
      </c>
      <c r="H76" s="145" t="s">
        <v>5606</v>
      </c>
      <c r="I76" s="31" t="s">
        <v>5609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2907</v>
      </c>
      <c r="U76" s="30" t="s">
        <v>8</v>
      </c>
      <c r="V76" s="91" t="s">
        <v>2914</v>
      </c>
      <c r="W76" s="31">
        <v>109</v>
      </c>
      <c r="X76" s="29"/>
      <c r="Y76" s="102"/>
      <c r="Z76" s="29"/>
      <c r="AA76" s="29" t="s">
        <v>2894</v>
      </c>
      <c r="AB76" s="29"/>
      <c r="AC76" s="29"/>
      <c r="AD76" s="29"/>
      <c r="AE76" s="29"/>
      <c r="AF76" s="29" t="s">
        <v>2894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332</v>
      </c>
      <c r="E77" s="83" t="s">
        <v>2915</v>
      </c>
      <c r="F77" s="83" t="s">
        <v>3225</v>
      </c>
      <c r="G77" s="47" t="s">
        <v>5604</v>
      </c>
      <c r="H77" s="340" t="s">
        <v>5608</v>
      </c>
      <c r="I77" s="47" t="s">
        <v>5609</v>
      </c>
      <c r="J77" s="87">
        <v>201363.998945</v>
      </c>
      <c r="K77" s="87">
        <v>2661246.0359399999</v>
      </c>
      <c r="L77" s="88" t="s">
        <v>40</v>
      </c>
      <c r="M77" s="89">
        <v>8</v>
      </c>
      <c r="N77" s="88">
        <v>146</v>
      </c>
      <c r="O77" s="88">
        <v>90</v>
      </c>
      <c r="P77" s="88" t="s">
        <v>41</v>
      </c>
      <c r="Q77" s="88">
        <v>36</v>
      </c>
      <c r="R77" s="88">
        <v>191</v>
      </c>
      <c r="S77" s="88">
        <v>76</v>
      </c>
      <c r="T77" s="85" t="s">
        <v>2907</v>
      </c>
      <c r="U77" s="85" t="s">
        <v>8</v>
      </c>
      <c r="V77" s="94" t="s">
        <v>2914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2894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2918</v>
      </c>
      <c r="C78" s="114">
        <v>1111</v>
      </c>
      <c r="D78" s="29" t="s">
        <v>356</v>
      </c>
      <c r="E78" s="29" t="s">
        <v>2915</v>
      </c>
      <c r="F78" s="29" t="s">
        <v>3226</v>
      </c>
      <c r="G78" s="31" t="s">
        <v>5604</v>
      </c>
      <c r="H78" s="145" t="s">
        <v>5607</v>
      </c>
      <c r="I78" s="31" t="s">
        <v>5609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575</v>
      </c>
      <c r="U78" s="30" t="s">
        <v>303</v>
      </c>
      <c r="V78" s="95" t="s">
        <v>575</v>
      </c>
      <c r="W78" s="31">
        <v>114</v>
      </c>
      <c r="X78" s="29"/>
      <c r="Y78" s="29"/>
      <c r="Z78" s="29"/>
      <c r="AA78" s="29"/>
      <c r="AB78" s="29" t="s">
        <v>2905</v>
      </c>
      <c r="AC78" s="29" t="s">
        <v>2894</v>
      </c>
      <c r="AD78" s="29"/>
      <c r="AE78" s="29" t="s">
        <v>2894</v>
      </c>
      <c r="AF78" s="29"/>
      <c r="AG78" s="29"/>
      <c r="AH78" s="29" t="s">
        <v>2898</v>
      </c>
      <c r="AI78" s="29"/>
      <c r="AJ78" s="31"/>
      <c r="AK78" s="29" t="s">
        <v>2894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357</v>
      </c>
      <c r="C79" s="40">
        <v>1118</v>
      </c>
      <c r="D79" s="40" t="s">
        <v>356</v>
      </c>
      <c r="E79" s="40" t="s">
        <v>2915</v>
      </c>
      <c r="F79" s="40" t="s">
        <v>3227</v>
      </c>
      <c r="G79" s="41"/>
      <c r="H79" s="150" t="s">
        <v>5607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575</v>
      </c>
      <c r="W79" s="41">
        <v>108</v>
      </c>
      <c r="X79" s="40"/>
      <c r="Y79" s="40"/>
      <c r="Z79" s="40"/>
      <c r="AA79" s="40"/>
      <c r="AB79" s="40" t="s">
        <v>2894</v>
      </c>
      <c r="AC79" s="40" t="s">
        <v>2894</v>
      </c>
      <c r="AD79" s="40"/>
      <c r="AE79" s="40" t="s">
        <v>2894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2919</v>
      </c>
      <c r="C80" s="40">
        <v>1120</v>
      </c>
      <c r="D80" s="40" t="s">
        <v>356</v>
      </c>
      <c r="E80" s="40" t="s">
        <v>2915</v>
      </c>
      <c r="F80" s="40" t="s">
        <v>3228</v>
      </c>
      <c r="G80" s="41" t="s">
        <v>5604</v>
      </c>
      <c r="H80" s="150" t="s">
        <v>5606</v>
      </c>
      <c r="I80" s="41" t="s">
        <v>5609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306</v>
      </c>
      <c r="U80" s="2" t="s">
        <v>306</v>
      </c>
      <c r="V80" s="97" t="s">
        <v>575</v>
      </c>
      <c r="W80" s="41">
        <v>114</v>
      </c>
      <c r="X80" s="40"/>
      <c r="Y80" s="40"/>
      <c r="Z80" s="40"/>
      <c r="AA80" s="40"/>
      <c r="AB80" s="40"/>
      <c r="AC80" s="40" t="s">
        <v>2894</v>
      </c>
      <c r="AD80" s="40"/>
      <c r="AE80" s="40" t="s">
        <v>2894</v>
      </c>
      <c r="AF80" s="40" t="s">
        <v>2894</v>
      </c>
      <c r="AG80" s="40"/>
      <c r="AH80" s="40"/>
      <c r="AI80" s="40"/>
      <c r="AJ80" s="41"/>
      <c r="AK80" s="40" t="s">
        <v>2898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2920</v>
      </c>
      <c r="C81" s="40">
        <v>1121</v>
      </c>
      <c r="D81" s="40" t="s">
        <v>356</v>
      </c>
      <c r="E81" s="40" t="s">
        <v>2915</v>
      </c>
      <c r="F81" s="40" t="s">
        <v>3229</v>
      </c>
      <c r="G81" s="41" t="s">
        <v>5604</v>
      </c>
      <c r="H81" s="150" t="s">
        <v>5606</v>
      </c>
      <c r="I81" s="41" t="s">
        <v>5609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306</v>
      </c>
      <c r="U81" s="2" t="s">
        <v>306</v>
      </c>
      <c r="V81" s="97" t="s">
        <v>575</v>
      </c>
      <c r="W81" s="41">
        <v>114</v>
      </c>
      <c r="X81" s="40"/>
      <c r="Y81" s="106"/>
      <c r="Z81" s="40"/>
      <c r="AA81" s="40" t="s">
        <v>2894</v>
      </c>
      <c r="AB81" s="40"/>
      <c r="AC81" s="40" t="s">
        <v>2894</v>
      </c>
      <c r="AD81" s="40"/>
      <c r="AE81" s="40"/>
      <c r="AF81" s="40" t="s">
        <v>2894</v>
      </c>
      <c r="AG81" s="40"/>
      <c r="AH81" s="40" t="s">
        <v>2894</v>
      </c>
      <c r="AI81" s="40"/>
      <c r="AJ81" s="41"/>
      <c r="AK81" s="40" t="s">
        <v>2898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358</v>
      </c>
      <c r="C82" s="40">
        <v>1123</v>
      </c>
      <c r="D82" s="40" t="s">
        <v>356</v>
      </c>
      <c r="E82" s="40" t="s">
        <v>2915</v>
      </c>
      <c r="F82" s="40" t="s">
        <v>3230</v>
      </c>
      <c r="G82" s="41" t="s">
        <v>5604</v>
      </c>
      <c r="H82" s="150" t="s">
        <v>5606</v>
      </c>
      <c r="I82" s="41" t="s">
        <v>5609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306</v>
      </c>
      <c r="U82" s="2" t="s">
        <v>306</v>
      </c>
      <c r="V82" s="97" t="s">
        <v>575</v>
      </c>
      <c r="W82" s="41">
        <v>111</v>
      </c>
      <c r="X82" s="40"/>
      <c r="Y82" s="40"/>
      <c r="Z82" s="40"/>
      <c r="AA82" s="40"/>
      <c r="AB82" s="40"/>
      <c r="AC82" s="40" t="s">
        <v>2894</v>
      </c>
      <c r="AD82" s="40"/>
      <c r="AE82" s="40" t="s">
        <v>2894</v>
      </c>
      <c r="AF82" s="40" t="s">
        <v>2894</v>
      </c>
      <c r="AG82" s="40"/>
      <c r="AH82" s="40" t="s">
        <v>2898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359</v>
      </c>
      <c r="C83" s="40">
        <v>1128</v>
      </c>
      <c r="D83" s="40" t="s">
        <v>356</v>
      </c>
      <c r="E83" s="40" t="s">
        <v>2915</v>
      </c>
      <c r="F83" s="40" t="s">
        <v>3231</v>
      </c>
      <c r="G83" s="41" t="s">
        <v>5604</v>
      </c>
      <c r="H83" s="150" t="s">
        <v>5607</v>
      </c>
      <c r="I83" s="41" t="s">
        <v>5609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575</v>
      </c>
      <c r="W83" s="41">
        <v>108</v>
      </c>
      <c r="X83" s="40"/>
      <c r="Y83" s="40"/>
      <c r="Z83" s="40"/>
      <c r="AA83" s="40"/>
      <c r="AB83" s="40"/>
      <c r="AC83" s="40" t="s">
        <v>2894</v>
      </c>
      <c r="AD83" s="40"/>
      <c r="AE83" s="40" t="s">
        <v>2894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356</v>
      </c>
      <c r="E84" s="40" t="s">
        <v>2915</v>
      </c>
      <c r="F84" s="40" t="s">
        <v>3232</v>
      </c>
      <c r="G84" s="41"/>
      <c r="H84" s="150" t="s">
        <v>5608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575</v>
      </c>
      <c r="U84" s="2" t="str">
        <f>U82</f>
        <v>正常</v>
      </c>
      <c r="V84" s="97" t="s">
        <v>575</v>
      </c>
      <c r="W84" s="40">
        <v>109</v>
      </c>
      <c r="X84" s="40"/>
      <c r="Y84" s="40"/>
      <c r="Z84" s="40"/>
      <c r="AA84" s="40"/>
      <c r="AB84" s="40"/>
      <c r="AC84" s="40" t="s">
        <v>2894</v>
      </c>
      <c r="AD84" s="40"/>
      <c r="AE84" s="40" t="s">
        <v>2894</v>
      </c>
      <c r="AF84" s="40" t="s">
        <v>2894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356</v>
      </c>
      <c r="E85" s="83" t="s">
        <v>2915</v>
      </c>
      <c r="F85" s="83" t="s">
        <v>3233</v>
      </c>
      <c r="G85" s="47" t="s">
        <v>5604</v>
      </c>
      <c r="H85" s="150" t="s">
        <v>5607</v>
      </c>
      <c r="I85" s="47" t="s">
        <v>5609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575</v>
      </c>
      <c r="W85" s="47">
        <v>108</v>
      </c>
      <c r="X85" s="83"/>
      <c r="Y85" s="83"/>
      <c r="Z85" s="83"/>
      <c r="AA85" s="83"/>
      <c r="AB85" s="83"/>
      <c r="AC85" s="83" t="s">
        <v>2894</v>
      </c>
      <c r="AD85" s="83"/>
      <c r="AE85" s="83" t="s">
        <v>2894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361</v>
      </c>
      <c r="C86" s="29">
        <v>692</v>
      </c>
      <c r="D86" s="29" t="s">
        <v>360</v>
      </c>
      <c r="E86" s="29" t="s">
        <v>2893</v>
      </c>
      <c r="F86" s="29" t="s">
        <v>3234</v>
      </c>
      <c r="G86" s="31"/>
      <c r="H86" s="145" t="s">
        <v>5607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2914</v>
      </c>
      <c r="W86" s="31">
        <v>108</v>
      </c>
      <c r="X86" s="29"/>
      <c r="Y86" s="29"/>
      <c r="Z86" s="29"/>
      <c r="AA86" s="29"/>
      <c r="AB86" s="29"/>
      <c r="AC86" s="29" t="s">
        <v>2894</v>
      </c>
      <c r="AD86" s="29"/>
      <c r="AE86" s="29" t="s">
        <v>2894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302</v>
      </c>
      <c r="C87" s="40">
        <v>1131</v>
      </c>
      <c r="D87" s="40" t="s">
        <v>2921</v>
      </c>
      <c r="E87" s="40" t="s">
        <v>2915</v>
      </c>
      <c r="F87" s="40" t="s">
        <v>3235</v>
      </c>
      <c r="G87" s="41" t="s">
        <v>5604</v>
      </c>
      <c r="H87" s="150" t="s">
        <v>5606</v>
      </c>
      <c r="I87" s="41" t="s">
        <v>5609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575</v>
      </c>
      <c r="U87" s="2" t="s">
        <v>8</v>
      </c>
      <c r="V87" s="93" t="s">
        <v>2896</v>
      </c>
      <c r="W87" s="41">
        <v>113</v>
      </c>
      <c r="X87" s="40"/>
      <c r="Y87" s="40"/>
      <c r="Z87" s="40"/>
      <c r="AA87" s="40"/>
      <c r="AB87" s="40" t="s">
        <v>2894</v>
      </c>
      <c r="AC87" s="40" t="s">
        <v>2894</v>
      </c>
      <c r="AD87" s="40"/>
      <c r="AE87" s="40" t="s">
        <v>2894</v>
      </c>
      <c r="AF87" s="40"/>
      <c r="AG87" s="40"/>
      <c r="AH87" s="40"/>
      <c r="AI87" s="40"/>
      <c r="AJ87" s="40" t="s">
        <v>2894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363</v>
      </c>
      <c r="C88" s="40">
        <v>1078</v>
      </c>
      <c r="D88" s="40" t="s">
        <v>360</v>
      </c>
      <c r="E88" s="40" t="s">
        <v>2915</v>
      </c>
      <c r="F88" s="40" t="s">
        <v>3236</v>
      </c>
      <c r="G88" s="41" t="s">
        <v>5604</v>
      </c>
      <c r="H88" s="150" t="s">
        <v>5606</v>
      </c>
      <c r="I88" s="41" t="s">
        <v>5609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2907</v>
      </c>
      <c r="U88" s="2" t="s">
        <v>8</v>
      </c>
      <c r="V88" s="93" t="s">
        <v>2914</v>
      </c>
      <c r="W88" s="41">
        <v>113</v>
      </c>
      <c r="X88" s="40"/>
      <c r="Y88" s="40"/>
      <c r="Z88" s="40"/>
      <c r="AA88" s="40"/>
      <c r="AB88" s="40"/>
      <c r="AC88" s="40" t="s">
        <v>2894</v>
      </c>
      <c r="AD88" s="40"/>
      <c r="AE88" s="40"/>
      <c r="AF88" s="40" t="s">
        <v>2894</v>
      </c>
      <c r="AG88" s="40"/>
      <c r="AH88" s="40"/>
      <c r="AI88" s="40"/>
      <c r="AJ88" s="40" t="s">
        <v>2894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360</v>
      </c>
      <c r="E89" s="83" t="s">
        <v>2915</v>
      </c>
      <c r="F89" s="83" t="s">
        <v>3237</v>
      </c>
      <c r="G89" s="47" t="s">
        <v>5604</v>
      </c>
      <c r="H89" s="340" t="s">
        <v>5606</v>
      </c>
      <c r="I89" s="47" t="s">
        <v>5609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575</v>
      </c>
      <c r="U89" s="85" t="s">
        <v>8</v>
      </c>
      <c r="V89" s="94" t="s">
        <v>2914</v>
      </c>
      <c r="W89" s="47">
        <v>113</v>
      </c>
      <c r="X89" s="83"/>
      <c r="Y89" s="83"/>
      <c r="Z89" s="83"/>
      <c r="AA89" s="83"/>
      <c r="AB89" s="83" t="s">
        <v>2898</v>
      </c>
      <c r="AC89" s="83" t="s">
        <v>2894</v>
      </c>
      <c r="AD89" s="83"/>
      <c r="AE89" s="83"/>
      <c r="AF89" s="83" t="s">
        <v>2894</v>
      </c>
      <c r="AG89" s="83"/>
      <c r="AH89" s="83"/>
      <c r="AI89" s="83"/>
      <c r="AJ89" s="40" t="s">
        <v>2894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2922</v>
      </c>
      <c r="C90" s="19">
        <v>1076</v>
      </c>
      <c r="D90" s="17" t="s">
        <v>364</v>
      </c>
      <c r="E90" s="19" t="s">
        <v>2915</v>
      </c>
      <c r="F90" s="19" t="s">
        <v>3238</v>
      </c>
      <c r="G90" s="21" t="s">
        <v>5604</v>
      </c>
      <c r="H90" s="434" t="s">
        <v>5606</v>
      </c>
      <c r="I90" s="21" t="s">
        <v>5609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575</v>
      </c>
      <c r="U90" s="20" t="s">
        <v>8</v>
      </c>
      <c r="V90" s="115" t="s">
        <v>575</v>
      </c>
      <c r="W90" s="21">
        <v>114</v>
      </c>
      <c r="X90" s="19"/>
      <c r="Y90" s="19"/>
      <c r="Z90" s="19"/>
      <c r="AA90" s="19"/>
      <c r="AB90" s="19" t="s">
        <v>2894</v>
      </c>
      <c r="AC90" s="19" t="s">
        <v>2894</v>
      </c>
      <c r="AD90" s="19"/>
      <c r="AE90" s="19"/>
      <c r="AF90" s="19" t="s">
        <v>2894</v>
      </c>
      <c r="AG90" s="19"/>
      <c r="AH90" s="19"/>
      <c r="AI90" s="19"/>
      <c r="AJ90" s="21"/>
      <c r="AK90" s="19" t="s">
        <v>2894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2923</v>
      </c>
      <c r="C91" s="29">
        <v>1068</v>
      </c>
      <c r="D91" s="27" t="s">
        <v>408</v>
      </c>
      <c r="E91" s="29" t="s">
        <v>2915</v>
      </c>
      <c r="F91" s="29" t="s">
        <v>3239</v>
      </c>
      <c r="G91" s="31" t="s">
        <v>5604</v>
      </c>
      <c r="H91" s="145" t="s">
        <v>5606</v>
      </c>
      <c r="I91" s="31" t="s">
        <v>5609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331</v>
      </c>
      <c r="Q91" s="33">
        <v>21.5</v>
      </c>
      <c r="R91" s="33">
        <v>440</v>
      </c>
      <c r="S91" s="33">
        <v>83.1</v>
      </c>
      <c r="T91" s="30" t="s">
        <v>575</v>
      </c>
      <c r="U91" s="30" t="s">
        <v>8</v>
      </c>
      <c r="V91" s="95" t="s">
        <v>575</v>
      </c>
      <c r="W91" s="31">
        <v>114</v>
      </c>
      <c r="X91" s="29"/>
      <c r="Y91" s="102"/>
      <c r="Z91" s="29"/>
      <c r="AA91" s="29"/>
      <c r="AB91" s="29" t="s">
        <v>2894</v>
      </c>
      <c r="AC91" s="29"/>
      <c r="AD91" s="29"/>
      <c r="AE91" s="29"/>
      <c r="AF91" s="29" t="s">
        <v>2894</v>
      </c>
      <c r="AG91" s="29"/>
      <c r="AH91" s="29"/>
      <c r="AI91" s="29"/>
      <c r="AJ91" s="31"/>
      <c r="AK91" s="29" t="s">
        <v>2894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2924</v>
      </c>
      <c r="C92" s="58">
        <v>1073</v>
      </c>
      <c r="D92" s="56" t="s">
        <v>408</v>
      </c>
      <c r="E92" s="58" t="s">
        <v>2915</v>
      </c>
      <c r="F92" s="58" t="s">
        <v>3240</v>
      </c>
      <c r="G92" s="60" t="s">
        <v>5604</v>
      </c>
      <c r="H92" s="226" t="s">
        <v>5606</v>
      </c>
      <c r="I92" s="60" t="s">
        <v>5609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306</v>
      </c>
      <c r="U92" s="59" t="s">
        <v>306</v>
      </c>
      <c r="V92" s="117" t="s">
        <v>575</v>
      </c>
      <c r="W92" s="60">
        <v>114</v>
      </c>
      <c r="X92" s="58"/>
      <c r="Y92" s="58"/>
      <c r="Z92" s="58"/>
      <c r="AA92" s="58"/>
      <c r="AB92" s="58"/>
      <c r="AC92" s="58" t="s">
        <v>2894</v>
      </c>
      <c r="AD92" s="58"/>
      <c r="AE92" s="58"/>
      <c r="AF92" s="58" t="s">
        <v>2894</v>
      </c>
      <c r="AG92" s="58"/>
      <c r="AH92" s="58"/>
      <c r="AI92" s="58"/>
      <c r="AJ92" s="60"/>
      <c r="AK92" s="118" t="s">
        <v>306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417</v>
      </c>
      <c r="C93" s="29">
        <v>1847</v>
      </c>
      <c r="D93" s="27" t="s">
        <v>416</v>
      </c>
      <c r="E93" s="29" t="s">
        <v>2915</v>
      </c>
      <c r="F93" s="29" t="s">
        <v>3241</v>
      </c>
      <c r="G93" s="31" t="s">
        <v>5604</v>
      </c>
      <c r="H93" s="145" t="s">
        <v>5606</v>
      </c>
      <c r="I93" s="31" t="s">
        <v>5609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331</v>
      </c>
      <c r="Q93" s="33">
        <v>35.200000000000003</v>
      </c>
      <c r="R93" s="33">
        <v>409</v>
      </c>
      <c r="S93" s="33">
        <v>75</v>
      </c>
      <c r="T93" s="30" t="s">
        <v>2907</v>
      </c>
      <c r="U93" s="30" t="s">
        <v>8</v>
      </c>
      <c r="V93" s="91" t="s">
        <v>2914</v>
      </c>
      <c r="W93" s="31">
        <v>109</v>
      </c>
      <c r="X93" s="29"/>
      <c r="Y93" s="102"/>
      <c r="Z93" s="29" t="s">
        <v>2894</v>
      </c>
      <c r="AA93" s="29"/>
      <c r="AB93" s="29"/>
      <c r="AC93" s="29"/>
      <c r="AD93" s="29"/>
      <c r="AE93" s="29" t="s">
        <v>2894</v>
      </c>
      <c r="AF93" s="29" t="s">
        <v>2894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418</v>
      </c>
      <c r="C94" s="40">
        <v>1874</v>
      </c>
      <c r="D94" s="38" t="s">
        <v>416</v>
      </c>
      <c r="E94" s="40" t="s">
        <v>2915</v>
      </c>
      <c r="F94" s="40" t="s">
        <v>3242</v>
      </c>
      <c r="G94" s="41" t="s">
        <v>5604</v>
      </c>
      <c r="H94" s="150" t="s">
        <v>5606</v>
      </c>
      <c r="I94" s="41" t="s">
        <v>5609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2907</v>
      </c>
      <c r="U94" s="2" t="s">
        <v>8</v>
      </c>
      <c r="V94" s="93" t="s">
        <v>2914</v>
      </c>
      <c r="W94" s="41">
        <v>109</v>
      </c>
      <c r="X94" s="40"/>
      <c r="Y94" s="106"/>
      <c r="Z94" s="40"/>
      <c r="AA94" s="40" t="s">
        <v>2894</v>
      </c>
      <c r="AB94" s="40"/>
      <c r="AC94" s="40"/>
      <c r="AD94" s="40"/>
      <c r="AE94" s="40"/>
      <c r="AF94" s="40" t="s">
        <v>2894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419</v>
      </c>
      <c r="C95" s="40">
        <v>1875</v>
      </c>
      <c r="D95" s="38" t="s">
        <v>416</v>
      </c>
      <c r="E95" s="40" t="s">
        <v>2915</v>
      </c>
      <c r="F95" s="40" t="s">
        <v>3243</v>
      </c>
      <c r="G95" s="41" t="s">
        <v>5604</v>
      </c>
      <c r="H95" s="150" t="s">
        <v>5608</v>
      </c>
      <c r="I95" s="41" t="s">
        <v>5609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306</v>
      </c>
      <c r="U95" s="2" t="str">
        <f>U96</f>
        <v>正常</v>
      </c>
      <c r="V95" s="93" t="s">
        <v>2914</v>
      </c>
      <c r="W95" s="41">
        <v>109</v>
      </c>
      <c r="X95" s="40"/>
      <c r="Y95" s="106"/>
      <c r="Z95" s="40"/>
      <c r="AA95" s="40"/>
      <c r="AB95" s="40"/>
      <c r="AC95" s="40" t="s">
        <v>2898</v>
      </c>
      <c r="AD95" s="40"/>
      <c r="AE95" s="40"/>
      <c r="AF95" s="40" t="s">
        <v>2898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420</v>
      </c>
      <c r="C96" s="40">
        <v>1876</v>
      </c>
      <c r="D96" s="38" t="s">
        <v>416</v>
      </c>
      <c r="E96" s="40" t="s">
        <v>2915</v>
      </c>
      <c r="F96" s="40" t="s">
        <v>3244</v>
      </c>
      <c r="G96" s="41" t="s">
        <v>5604</v>
      </c>
      <c r="H96" s="150" t="s">
        <v>5606</v>
      </c>
      <c r="I96" s="41" t="s">
        <v>5609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306</v>
      </c>
      <c r="U96" s="2" t="s">
        <v>3</v>
      </c>
      <c r="V96" s="93" t="s">
        <v>2914</v>
      </c>
      <c r="W96" s="41">
        <v>109</v>
      </c>
      <c r="X96" s="40"/>
      <c r="Y96" s="106"/>
      <c r="Z96" s="40"/>
      <c r="AA96" s="40"/>
      <c r="AB96" s="40"/>
      <c r="AC96" s="40" t="s">
        <v>2898</v>
      </c>
      <c r="AD96" s="40"/>
      <c r="AE96" s="40"/>
      <c r="AF96" s="40" t="s">
        <v>2898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421</v>
      </c>
      <c r="C97" s="40">
        <v>1877</v>
      </c>
      <c r="D97" s="38" t="s">
        <v>416</v>
      </c>
      <c r="E97" s="40" t="s">
        <v>2915</v>
      </c>
      <c r="F97" s="40" t="s">
        <v>3245</v>
      </c>
      <c r="G97" s="41"/>
      <c r="H97" s="150" t="s">
        <v>5607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2914</v>
      </c>
      <c r="W97" s="41">
        <v>106</v>
      </c>
      <c r="X97" s="40"/>
      <c r="Y97" s="106"/>
      <c r="Z97" s="40"/>
      <c r="AA97" s="40"/>
      <c r="AB97" s="40"/>
      <c r="AC97" s="40" t="s">
        <v>2898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416</v>
      </c>
      <c r="E98" s="58" t="s">
        <v>2915</v>
      </c>
      <c r="F98" s="58" t="s">
        <v>3246</v>
      </c>
      <c r="G98" s="60" t="s">
        <v>5604</v>
      </c>
      <c r="H98" s="226" t="s">
        <v>5608</v>
      </c>
      <c r="I98" s="60" t="s">
        <v>5609</v>
      </c>
      <c r="J98" s="61">
        <v>199944.03</v>
      </c>
      <c r="K98" s="61">
        <v>2661760.6800000002</v>
      </c>
      <c r="L98" s="62" t="s">
        <v>40</v>
      </c>
      <c r="M98" s="63">
        <v>10</v>
      </c>
      <c r="N98" s="62">
        <v>97</v>
      </c>
      <c r="O98" s="62">
        <v>160</v>
      </c>
      <c r="P98" s="62" t="s">
        <v>41</v>
      </c>
      <c r="Q98" s="62">
        <v>34</v>
      </c>
      <c r="R98" s="62">
        <v>433</v>
      </c>
      <c r="S98" s="62">
        <v>107</v>
      </c>
      <c r="T98" s="59" t="s">
        <v>2907</v>
      </c>
      <c r="U98" s="59" t="str">
        <f>U94</f>
        <v>監測</v>
      </c>
      <c r="V98" s="108" t="s">
        <v>2914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2894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425</v>
      </c>
      <c r="C99" s="29">
        <v>1183</v>
      </c>
      <c r="D99" s="27" t="s">
        <v>424</v>
      </c>
      <c r="E99" s="29" t="s">
        <v>2915</v>
      </c>
      <c r="F99" s="29" t="s">
        <v>3247</v>
      </c>
      <c r="G99" s="31" t="s">
        <v>5604</v>
      </c>
      <c r="H99" s="145" t="s">
        <v>5608</v>
      </c>
      <c r="I99" s="31" t="s">
        <v>5609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575</v>
      </c>
      <c r="U99" s="30" t="str">
        <f>U102</f>
        <v>監測</v>
      </c>
      <c r="V99" s="91" t="s">
        <v>2914</v>
      </c>
      <c r="W99" s="31">
        <v>112</v>
      </c>
      <c r="X99" s="29"/>
      <c r="Y99" s="29"/>
      <c r="Z99" s="29"/>
      <c r="AA99" s="29" t="s">
        <v>2894</v>
      </c>
      <c r="AB99" s="29"/>
      <c r="AC99" s="29"/>
      <c r="AD99" s="29"/>
      <c r="AE99" s="29"/>
      <c r="AF99" s="29" t="s">
        <v>2894</v>
      </c>
      <c r="AG99" s="29" t="s">
        <v>2894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426</v>
      </c>
      <c r="C100" s="40">
        <v>1186</v>
      </c>
      <c r="D100" s="38" t="s">
        <v>424</v>
      </c>
      <c r="E100" s="40" t="s">
        <v>2915</v>
      </c>
      <c r="F100" s="40" t="s">
        <v>3248</v>
      </c>
      <c r="G100" s="41" t="s">
        <v>5604</v>
      </c>
      <c r="H100" s="150" t="s">
        <v>5606</v>
      </c>
      <c r="I100" s="41" t="s">
        <v>5609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331</v>
      </c>
      <c r="Q100" s="43">
        <v>36.299999999999997</v>
      </c>
      <c r="R100" s="43">
        <v>322</v>
      </c>
      <c r="S100" s="43">
        <v>195</v>
      </c>
      <c r="T100" s="2" t="s">
        <v>575</v>
      </c>
      <c r="U100" s="2" t="s">
        <v>8</v>
      </c>
      <c r="V100" s="93" t="s">
        <v>2914</v>
      </c>
      <c r="W100" s="41">
        <v>109</v>
      </c>
      <c r="X100" s="40"/>
      <c r="Y100" s="106"/>
      <c r="Z100" s="40"/>
      <c r="AA100" s="40" t="s">
        <v>2894</v>
      </c>
      <c r="AB100" s="40"/>
      <c r="AC100" s="40"/>
      <c r="AD100" s="40"/>
      <c r="AE100" s="40"/>
      <c r="AF100" s="40" t="s">
        <v>2894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427</v>
      </c>
      <c r="C101" s="40">
        <v>1187</v>
      </c>
      <c r="D101" s="38" t="s">
        <v>424</v>
      </c>
      <c r="E101" s="40" t="s">
        <v>2915</v>
      </c>
      <c r="F101" s="40" t="s">
        <v>3249</v>
      </c>
      <c r="G101" s="41" t="s">
        <v>5604</v>
      </c>
      <c r="H101" s="150" t="s">
        <v>5608</v>
      </c>
      <c r="I101" s="41" t="s">
        <v>5609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575</v>
      </c>
      <c r="U101" s="2" t="str">
        <f>U102</f>
        <v>監測</v>
      </c>
      <c r="V101" s="93" t="s">
        <v>2914</v>
      </c>
      <c r="W101" s="41">
        <v>109</v>
      </c>
      <c r="X101" s="40"/>
      <c r="Y101" s="40"/>
      <c r="Z101" s="40"/>
      <c r="AA101" s="40" t="s">
        <v>2894</v>
      </c>
      <c r="AB101" s="40"/>
      <c r="AC101" s="40"/>
      <c r="AD101" s="40"/>
      <c r="AE101" s="40"/>
      <c r="AF101" s="40" t="s">
        <v>2894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428</v>
      </c>
      <c r="C102" s="40">
        <v>1188</v>
      </c>
      <c r="D102" s="38" t="s">
        <v>424</v>
      </c>
      <c r="E102" s="40" t="s">
        <v>2915</v>
      </c>
      <c r="F102" s="40" t="s">
        <v>3250</v>
      </c>
      <c r="G102" s="41" t="s">
        <v>5604</v>
      </c>
      <c r="H102" s="150" t="s">
        <v>5606</v>
      </c>
      <c r="I102" s="41" t="s">
        <v>5609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575</v>
      </c>
      <c r="U102" s="2" t="s">
        <v>8</v>
      </c>
      <c r="V102" s="93" t="s">
        <v>2914</v>
      </c>
      <c r="W102" s="41">
        <v>112</v>
      </c>
      <c r="X102" s="40"/>
      <c r="Y102" s="40"/>
      <c r="Z102" s="40"/>
      <c r="AA102" s="40" t="s">
        <v>2894</v>
      </c>
      <c r="AB102" s="40"/>
      <c r="AC102" s="40"/>
      <c r="AD102" s="40"/>
      <c r="AE102" s="40"/>
      <c r="AF102" s="40" t="s">
        <v>2894</v>
      </c>
      <c r="AG102" s="40" t="s">
        <v>2894</v>
      </c>
      <c r="AH102" s="40"/>
      <c r="AI102" s="40" t="s">
        <v>2894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429</v>
      </c>
      <c r="C103" s="40">
        <v>1189</v>
      </c>
      <c r="D103" s="38" t="s">
        <v>424</v>
      </c>
      <c r="E103" s="40" t="s">
        <v>2915</v>
      </c>
      <c r="F103" s="40" t="s">
        <v>3251</v>
      </c>
      <c r="G103" s="41" t="s">
        <v>5604</v>
      </c>
      <c r="H103" s="150" t="s">
        <v>5608</v>
      </c>
      <c r="I103" s="41" t="s">
        <v>5609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575</v>
      </c>
      <c r="U103" s="2" t="str">
        <f>U102</f>
        <v>監測</v>
      </c>
      <c r="V103" s="93" t="s">
        <v>2914</v>
      </c>
      <c r="W103" s="41">
        <v>112</v>
      </c>
      <c r="X103" s="40"/>
      <c r="Y103" s="40"/>
      <c r="Z103" s="40"/>
      <c r="AA103" s="40" t="s">
        <v>2894</v>
      </c>
      <c r="AB103" s="40"/>
      <c r="AC103" s="40"/>
      <c r="AD103" s="40"/>
      <c r="AE103" s="40"/>
      <c r="AF103" s="40" t="s">
        <v>2894</v>
      </c>
      <c r="AG103" s="40" t="s">
        <v>2894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2925</v>
      </c>
      <c r="C104" s="58">
        <v>1193</v>
      </c>
      <c r="D104" s="56" t="s">
        <v>424</v>
      </c>
      <c r="E104" s="58" t="s">
        <v>2915</v>
      </c>
      <c r="F104" s="58" t="s">
        <v>3252</v>
      </c>
      <c r="G104" s="60" t="s">
        <v>5604</v>
      </c>
      <c r="H104" s="226" t="s">
        <v>5606</v>
      </c>
      <c r="I104" s="60" t="s">
        <v>5609</v>
      </c>
      <c r="J104" s="61">
        <v>201302.52100000001</v>
      </c>
      <c r="K104" s="61">
        <v>2661684.6979999999</v>
      </c>
      <c r="L104" s="62" t="s">
        <v>40</v>
      </c>
      <c r="M104" s="63">
        <v>9</v>
      </c>
      <c r="N104" s="62">
        <v>119</v>
      </c>
      <c r="O104" s="62">
        <v>128</v>
      </c>
      <c r="P104" s="62" t="s">
        <v>41</v>
      </c>
      <c r="Q104" s="62">
        <v>34</v>
      </c>
      <c r="R104" s="62">
        <v>240</v>
      </c>
      <c r="S104" s="62">
        <v>156</v>
      </c>
      <c r="T104" s="59" t="s">
        <v>2907</v>
      </c>
      <c r="U104" s="59" t="s">
        <v>8</v>
      </c>
      <c r="V104" s="108" t="s">
        <v>2914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2894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436</v>
      </c>
      <c r="C105" s="67">
        <v>986</v>
      </c>
      <c r="D105" s="67" t="s">
        <v>435</v>
      </c>
      <c r="E105" s="67" t="s">
        <v>2915</v>
      </c>
      <c r="F105" s="67" t="s">
        <v>3253</v>
      </c>
      <c r="G105" s="76" t="s">
        <v>5604</v>
      </c>
      <c r="H105" s="414" t="s">
        <v>5606</v>
      </c>
      <c r="I105" s="76" t="s">
        <v>5609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306</v>
      </c>
      <c r="U105" s="69" t="s">
        <v>306</v>
      </c>
      <c r="V105" s="122" t="s">
        <v>575</v>
      </c>
      <c r="W105" s="67">
        <v>109</v>
      </c>
      <c r="X105" s="75"/>
      <c r="Y105" s="75"/>
      <c r="Z105" s="75" t="s">
        <v>2894</v>
      </c>
      <c r="AA105" s="75"/>
      <c r="AB105" s="75"/>
      <c r="AC105" s="75"/>
      <c r="AD105" s="75" t="s">
        <v>2894</v>
      </c>
      <c r="AE105" s="75"/>
      <c r="AF105" s="75" t="s">
        <v>2898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437</v>
      </c>
      <c r="C106" s="38">
        <v>987</v>
      </c>
      <c r="D106" s="38" t="s">
        <v>435</v>
      </c>
      <c r="E106" s="38" t="s">
        <v>2915</v>
      </c>
      <c r="F106" s="38" t="s">
        <v>3254</v>
      </c>
      <c r="G106" s="41" t="s">
        <v>5604</v>
      </c>
      <c r="H106" s="150" t="s">
        <v>5607</v>
      </c>
      <c r="I106" s="41" t="s">
        <v>5609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306</v>
      </c>
      <c r="U106" s="2" t="s">
        <v>306</v>
      </c>
      <c r="V106" s="97" t="s">
        <v>575</v>
      </c>
      <c r="W106" s="39">
        <v>109</v>
      </c>
      <c r="X106" s="40"/>
      <c r="Y106" s="40"/>
      <c r="Z106" s="40" t="s">
        <v>2894</v>
      </c>
      <c r="AA106" s="40"/>
      <c r="AB106" s="40"/>
      <c r="AC106" s="40"/>
      <c r="AD106" s="40"/>
      <c r="AE106" s="40"/>
      <c r="AF106" s="40" t="s">
        <v>2898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438</v>
      </c>
      <c r="C107" s="38">
        <v>968</v>
      </c>
      <c r="D107" s="38" t="s">
        <v>435</v>
      </c>
      <c r="E107" s="38" t="s">
        <v>2915</v>
      </c>
      <c r="F107" s="38" t="s">
        <v>3255</v>
      </c>
      <c r="G107" s="50"/>
      <c r="H107" s="150" t="s">
        <v>5607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575</v>
      </c>
      <c r="W107" s="39">
        <v>108</v>
      </c>
      <c r="X107" s="40"/>
      <c r="Y107" s="106"/>
      <c r="Z107" s="40" t="s">
        <v>2894</v>
      </c>
      <c r="AA107" s="40"/>
      <c r="AB107" s="40"/>
      <c r="AC107" s="40"/>
      <c r="AD107" s="40"/>
      <c r="AE107" s="40" t="s">
        <v>2894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2926</v>
      </c>
      <c r="C108" s="38">
        <v>990</v>
      </c>
      <c r="D108" s="38" t="s">
        <v>435</v>
      </c>
      <c r="E108" s="38" t="s">
        <v>2915</v>
      </c>
      <c r="F108" s="38" t="s">
        <v>3256</v>
      </c>
      <c r="G108" s="50"/>
      <c r="H108" s="150" t="s">
        <v>5607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575</v>
      </c>
      <c r="U108" s="2" t="s">
        <v>8</v>
      </c>
      <c r="V108" s="97" t="s">
        <v>575</v>
      </c>
      <c r="W108" s="39">
        <v>114</v>
      </c>
      <c r="X108" s="40"/>
      <c r="Y108" s="40"/>
      <c r="Z108" s="40" t="s">
        <v>2894</v>
      </c>
      <c r="AA108" s="40"/>
      <c r="AB108" s="40"/>
      <c r="AC108" s="40"/>
      <c r="AD108" s="40" t="s">
        <v>2898</v>
      </c>
      <c r="AE108" s="40"/>
      <c r="AF108" s="40"/>
      <c r="AG108" s="40"/>
      <c r="AH108" s="40"/>
      <c r="AI108" s="40"/>
      <c r="AJ108" s="39"/>
      <c r="AK108" s="40" t="s">
        <v>2894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2927</v>
      </c>
      <c r="C109" s="38">
        <v>991</v>
      </c>
      <c r="D109" s="38" t="s">
        <v>435</v>
      </c>
      <c r="E109" s="38" t="s">
        <v>2915</v>
      </c>
      <c r="F109" s="38" t="s">
        <v>3257</v>
      </c>
      <c r="G109" s="41" t="s">
        <v>5604</v>
      </c>
      <c r="H109" s="150" t="s">
        <v>5606</v>
      </c>
      <c r="I109" s="41" t="s">
        <v>5609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575</v>
      </c>
      <c r="U109" s="2" t="s">
        <v>8</v>
      </c>
      <c r="V109" s="97" t="s">
        <v>575</v>
      </c>
      <c r="W109" s="39">
        <v>114</v>
      </c>
      <c r="X109" s="40"/>
      <c r="Y109" s="40"/>
      <c r="Z109" s="40" t="s">
        <v>2894</v>
      </c>
      <c r="AA109" s="40"/>
      <c r="AB109" s="40"/>
      <c r="AC109" s="40"/>
      <c r="AD109" s="40" t="s">
        <v>2898</v>
      </c>
      <c r="AE109" s="40"/>
      <c r="AF109" s="40" t="s">
        <v>2894</v>
      </c>
      <c r="AG109" s="40" t="s">
        <v>2894</v>
      </c>
      <c r="AH109" s="40"/>
      <c r="AI109" s="40"/>
      <c r="AJ109" s="39"/>
      <c r="AK109" s="40" t="s">
        <v>2894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439</v>
      </c>
      <c r="C110" s="38">
        <v>997</v>
      </c>
      <c r="D110" s="38" t="s">
        <v>435</v>
      </c>
      <c r="E110" s="38" t="s">
        <v>2915</v>
      </c>
      <c r="F110" s="38" t="s">
        <v>3255</v>
      </c>
      <c r="G110" s="50"/>
      <c r="H110" s="150" t="s">
        <v>5607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575</v>
      </c>
      <c r="W110" s="39">
        <v>110</v>
      </c>
      <c r="X110" s="40"/>
      <c r="Y110" s="40"/>
      <c r="Z110" s="40" t="s">
        <v>2894</v>
      </c>
      <c r="AA110" s="40"/>
      <c r="AB110" s="40"/>
      <c r="AC110" s="40"/>
      <c r="AD110" s="40"/>
      <c r="AE110" s="40" t="s">
        <v>2898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435</v>
      </c>
      <c r="E111" s="38" t="s">
        <v>2915</v>
      </c>
      <c r="F111" s="38" t="s">
        <v>3258</v>
      </c>
      <c r="G111" s="50"/>
      <c r="H111" s="150" t="s">
        <v>5607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575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2894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440</v>
      </c>
      <c r="C112" s="38">
        <v>1001</v>
      </c>
      <c r="D112" s="38" t="s">
        <v>435</v>
      </c>
      <c r="E112" s="38" t="s">
        <v>2915</v>
      </c>
      <c r="F112" s="38" t="s">
        <v>3259</v>
      </c>
      <c r="G112" s="41" t="s">
        <v>5604</v>
      </c>
      <c r="H112" s="150" t="s">
        <v>5608</v>
      </c>
      <c r="I112" s="41" t="s">
        <v>5609</v>
      </c>
      <c r="J112" s="80">
        <v>201637.096976</v>
      </c>
      <c r="K112" s="80">
        <v>2661618.0639900002</v>
      </c>
      <c r="L112" s="43" t="s">
        <v>40</v>
      </c>
      <c r="M112" s="44">
        <v>54</v>
      </c>
      <c r="N112" s="43">
        <v>74</v>
      </c>
      <c r="O112" s="43">
        <v>119</v>
      </c>
      <c r="P112" s="43" t="s">
        <v>41</v>
      </c>
      <c r="Q112" s="43">
        <v>25</v>
      </c>
      <c r="R112" s="43">
        <v>190</v>
      </c>
      <c r="S112" s="43">
        <v>150</v>
      </c>
      <c r="T112" s="2" t="s">
        <v>575</v>
      </c>
      <c r="U112" s="2" t="str">
        <f>U109</f>
        <v>監測</v>
      </c>
      <c r="V112" s="97" t="s">
        <v>575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2894</v>
      </c>
      <c r="AG112" s="40" t="s">
        <v>2894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441</v>
      </c>
      <c r="C113" s="38">
        <v>1002</v>
      </c>
      <c r="D113" s="38" t="s">
        <v>435</v>
      </c>
      <c r="E113" s="38" t="s">
        <v>2915</v>
      </c>
      <c r="F113" s="38" t="s">
        <v>3260</v>
      </c>
      <c r="G113" s="41" t="s">
        <v>5604</v>
      </c>
      <c r="H113" s="150" t="s">
        <v>5608</v>
      </c>
      <c r="I113" s="41" t="s">
        <v>5609</v>
      </c>
      <c r="J113" s="80">
        <v>201637.096976</v>
      </c>
      <c r="K113" s="80">
        <v>2661618.0639900002</v>
      </c>
      <c r="L113" s="43" t="s">
        <v>40</v>
      </c>
      <c r="M113" s="44">
        <v>54</v>
      </c>
      <c r="N113" s="43">
        <v>74</v>
      </c>
      <c r="O113" s="43">
        <v>119</v>
      </c>
      <c r="P113" s="43" t="s">
        <v>41</v>
      </c>
      <c r="Q113" s="43">
        <v>25</v>
      </c>
      <c r="R113" s="43">
        <v>190</v>
      </c>
      <c r="S113" s="43">
        <v>150</v>
      </c>
      <c r="T113" s="2" t="s">
        <v>575</v>
      </c>
      <c r="U113" s="2" t="str">
        <f>U109</f>
        <v>監測</v>
      </c>
      <c r="V113" s="97" t="s">
        <v>575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2894</v>
      </c>
      <c r="AG113" s="40" t="s">
        <v>2894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442</v>
      </c>
      <c r="C114" s="38">
        <v>1003</v>
      </c>
      <c r="D114" s="38" t="s">
        <v>435</v>
      </c>
      <c r="E114" s="38" t="s">
        <v>2915</v>
      </c>
      <c r="F114" s="38" t="s">
        <v>3261</v>
      </c>
      <c r="G114" s="41" t="s">
        <v>5604</v>
      </c>
      <c r="H114" s="150" t="s">
        <v>5608</v>
      </c>
      <c r="I114" s="41" t="s">
        <v>5609</v>
      </c>
      <c r="J114" s="80">
        <v>201637.096976</v>
      </c>
      <c r="K114" s="80">
        <v>2661618.0639900002</v>
      </c>
      <c r="L114" s="43" t="s">
        <v>40</v>
      </c>
      <c r="M114" s="44">
        <v>54</v>
      </c>
      <c r="N114" s="43">
        <v>74</v>
      </c>
      <c r="O114" s="43">
        <v>119</v>
      </c>
      <c r="P114" s="43" t="s">
        <v>41</v>
      </c>
      <c r="Q114" s="43">
        <v>25</v>
      </c>
      <c r="R114" s="43">
        <v>190</v>
      </c>
      <c r="S114" s="43">
        <v>150</v>
      </c>
      <c r="T114" s="2" t="s">
        <v>575</v>
      </c>
      <c r="U114" s="2" t="str">
        <f>U109</f>
        <v>監測</v>
      </c>
      <c r="V114" s="97" t="s">
        <v>575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2894</v>
      </c>
      <c r="AG114" s="40" t="s">
        <v>2894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443</v>
      </c>
      <c r="C115" s="38">
        <v>1004</v>
      </c>
      <c r="D115" s="38" t="s">
        <v>435</v>
      </c>
      <c r="E115" s="38" t="s">
        <v>2915</v>
      </c>
      <c r="F115" s="38" t="s">
        <v>3262</v>
      </c>
      <c r="G115" s="41" t="s">
        <v>5604</v>
      </c>
      <c r="H115" s="150" t="s">
        <v>5608</v>
      </c>
      <c r="I115" s="41" t="s">
        <v>5609</v>
      </c>
      <c r="J115" s="80">
        <v>201637.096976</v>
      </c>
      <c r="K115" s="80">
        <v>2661618.0639900002</v>
      </c>
      <c r="L115" s="43" t="s">
        <v>40</v>
      </c>
      <c r="M115" s="44">
        <v>54</v>
      </c>
      <c r="N115" s="43">
        <v>74</v>
      </c>
      <c r="O115" s="43">
        <v>119</v>
      </c>
      <c r="P115" s="43" t="s">
        <v>41</v>
      </c>
      <c r="Q115" s="43">
        <v>25</v>
      </c>
      <c r="R115" s="43">
        <v>190</v>
      </c>
      <c r="S115" s="43">
        <v>150</v>
      </c>
      <c r="T115" s="2" t="s">
        <v>575</v>
      </c>
      <c r="U115" s="2" t="str">
        <f>U109</f>
        <v>監測</v>
      </c>
      <c r="V115" s="97" t="s">
        <v>575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2894</v>
      </c>
      <c r="AG115" s="40" t="s">
        <v>2894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2928</v>
      </c>
      <c r="C116" s="38">
        <v>1005</v>
      </c>
      <c r="D116" s="38" t="s">
        <v>435</v>
      </c>
      <c r="E116" s="38" t="s">
        <v>2915</v>
      </c>
      <c r="F116" s="38" t="s">
        <v>3263</v>
      </c>
      <c r="G116" s="41" t="s">
        <v>5604</v>
      </c>
      <c r="H116" s="150" t="s">
        <v>5608</v>
      </c>
      <c r="I116" s="41" t="s">
        <v>5609</v>
      </c>
      <c r="J116" s="80">
        <v>201637.096976</v>
      </c>
      <c r="K116" s="80">
        <v>2661618.0639900002</v>
      </c>
      <c r="L116" s="43" t="s">
        <v>40</v>
      </c>
      <c r="M116" s="44">
        <v>54</v>
      </c>
      <c r="N116" s="43">
        <v>74</v>
      </c>
      <c r="O116" s="43">
        <v>119</v>
      </c>
      <c r="P116" s="43" t="s">
        <v>41</v>
      </c>
      <c r="Q116" s="43">
        <v>25</v>
      </c>
      <c r="R116" s="43">
        <v>190</v>
      </c>
      <c r="S116" s="43">
        <v>150</v>
      </c>
      <c r="T116" s="2" t="s">
        <v>575</v>
      </c>
      <c r="U116" s="2" t="str">
        <f>U109</f>
        <v>監測</v>
      </c>
      <c r="V116" s="97" t="s">
        <v>575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2894</v>
      </c>
      <c r="AG116" s="40" t="s">
        <v>2894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445</v>
      </c>
      <c r="C117" s="40">
        <v>2496</v>
      </c>
      <c r="D117" s="38" t="s">
        <v>435</v>
      </c>
      <c r="E117" s="40" t="s">
        <v>2915</v>
      </c>
      <c r="F117" s="40" t="s">
        <v>3264</v>
      </c>
      <c r="G117" s="50"/>
      <c r="H117" s="150" t="s">
        <v>5606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2907</v>
      </c>
      <c r="U117" s="2" t="s">
        <v>8</v>
      </c>
      <c r="V117" s="97" t="s">
        <v>575</v>
      </c>
      <c r="W117" s="39">
        <v>109</v>
      </c>
      <c r="X117" s="40"/>
      <c r="Y117" s="40"/>
      <c r="Z117" s="40" t="s">
        <v>2898</v>
      </c>
      <c r="AA117" s="40"/>
      <c r="AB117" s="40" t="s">
        <v>2898</v>
      </c>
      <c r="AC117" s="40"/>
      <c r="AD117" s="40"/>
      <c r="AE117" s="40"/>
      <c r="AF117" s="40" t="s">
        <v>2894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446</v>
      </c>
      <c r="C118" s="58">
        <v>2497</v>
      </c>
      <c r="D118" s="56" t="s">
        <v>435</v>
      </c>
      <c r="E118" s="58" t="s">
        <v>2915</v>
      </c>
      <c r="F118" s="58" t="s">
        <v>3265</v>
      </c>
      <c r="G118" s="127"/>
      <c r="H118" s="226" t="s">
        <v>5608</v>
      </c>
      <c r="I118" s="127"/>
      <c r="J118" s="61">
        <v>201688</v>
      </c>
      <c r="K118" s="61">
        <v>2661688</v>
      </c>
      <c r="L118" s="62" t="s">
        <v>40</v>
      </c>
      <c r="M118" s="63">
        <v>47</v>
      </c>
      <c r="N118" s="62">
        <v>73</v>
      </c>
      <c r="O118" s="62">
        <v>107</v>
      </c>
      <c r="P118" s="62" t="s">
        <v>41</v>
      </c>
      <c r="Q118" s="62">
        <v>33</v>
      </c>
      <c r="R118" s="62">
        <v>165</v>
      </c>
      <c r="S118" s="62">
        <v>126</v>
      </c>
      <c r="T118" s="59" t="s">
        <v>575</v>
      </c>
      <c r="U118" s="59" t="s">
        <v>303</v>
      </c>
      <c r="V118" s="117" t="s">
        <v>575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2894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456</v>
      </c>
      <c r="C119" s="29">
        <v>1380</v>
      </c>
      <c r="D119" s="27" t="s">
        <v>455</v>
      </c>
      <c r="E119" s="29" t="s">
        <v>2929</v>
      </c>
      <c r="F119" s="29" t="s">
        <v>3266</v>
      </c>
      <c r="G119" s="31" t="s">
        <v>5604</v>
      </c>
      <c r="H119" s="145" t="s">
        <v>5606</v>
      </c>
      <c r="I119" s="31" t="s">
        <v>5609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214</v>
      </c>
      <c r="Q119" s="33">
        <v>34.6</v>
      </c>
      <c r="R119" s="33">
        <v>233</v>
      </c>
      <c r="S119" s="33">
        <v>48.7</v>
      </c>
      <c r="T119" s="30" t="s">
        <v>2907</v>
      </c>
      <c r="U119" s="30" t="s">
        <v>8</v>
      </c>
      <c r="V119" s="91" t="s">
        <v>2914</v>
      </c>
      <c r="W119" s="31">
        <v>110</v>
      </c>
      <c r="X119" s="29"/>
      <c r="Y119" s="29"/>
      <c r="Z119" s="29"/>
      <c r="AA119" s="29"/>
      <c r="AB119" s="29"/>
      <c r="AC119" s="29" t="s">
        <v>2894</v>
      </c>
      <c r="AD119" s="29"/>
      <c r="AE119" s="29"/>
      <c r="AF119" s="29" t="s">
        <v>2894</v>
      </c>
      <c r="AG119" s="29" t="s">
        <v>2894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458</v>
      </c>
      <c r="C120" s="40">
        <v>1381</v>
      </c>
      <c r="D120" s="38" t="s">
        <v>455</v>
      </c>
      <c r="E120" s="40" t="s">
        <v>2929</v>
      </c>
      <c r="F120" s="40" t="s">
        <v>3267</v>
      </c>
      <c r="G120" s="41" t="s">
        <v>5604</v>
      </c>
      <c r="H120" s="150" t="s">
        <v>5608</v>
      </c>
      <c r="I120" s="41" t="s">
        <v>5609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2907</v>
      </c>
      <c r="U120" s="2" t="str">
        <f>U119</f>
        <v>監測</v>
      </c>
      <c r="V120" s="93" t="s">
        <v>2914</v>
      </c>
      <c r="W120" s="41">
        <v>110</v>
      </c>
      <c r="X120" s="40"/>
      <c r="Y120" s="40"/>
      <c r="Z120" s="40"/>
      <c r="AA120" s="40"/>
      <c r="AB120" s="40"/>
      <c r="AC120" s="40" t="s">
        <v>2894</v>
      </c>
      <c r="AD120" s="40"/>
      <c r="AE120" s="40"/>
      <c r="AF120" s="40" t="s">
        <v>2894</v>
      </c>
      <c r="AG120" s="40" t="s">
        <v>2894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459</v>
      </c>
      <c r="C121" s="40">
        <v>1382</v>
      </c>
      <c r="D121" s="38" t="s">
        <v>455</v>
      </c>
      <c r="E121" s="40" t="s">
        <v>2929</v>
      </c>
      <c r="F121" s="40" t="s">
        <v>3268</v>
      </c>
      <c r="G121" s="41" t="s">
        <v>5604</v>
      </c>
      <c r="H121" s="150" t="s">
        <v>5608</v>
      </c>
      <c r="I121" s="41" t="s">
        <v>5609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2907</v>
      </c>
      <c r="U121" s="2" t="str">
        <f>U119</f>
        <v>監測</v>
      </c>
      <c r="V121" s="93" t="s">
        <v>2914</v>
      </c>
      <c r="W121" s="41">
        <v>110</v>
      </c>
      <c r="X121" s="40"/>
      <c r="Y121" s="40"/>
      <c r="Z121" s="40"/>
      <c r="AA121" s="40"/>
      <c r="AB121" s="40"/>
      <c r="AC121" s="40" t="s">
        <v>2894</v>
      </c>
      <c r="AD121" s="40"/>
      <c r="AE121" s="40"/>
      <c r="AF121" s="40" t="s">
        <v>2894</v>
      </c>
      <c r="AG121" s="40" t="s">
        <v>2894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460</v>
      </c>
      <c r="C122" s="58">
        <v>1383</v>
      </c>
      <c r="D122" s="56" t="s">
        <v>455</v>
      </c>
      <c r="E122" s="58" t="s">
        <v>2929</v>
      </c>
      <c r="F122" s="58" t="s">
        <v>3269</v>
      </c>
      <c r="G122" s="60" t="s">
        <v>5604</v>
      </c>
      <c r="H122" s="226" t="s">
        <v>5608</v>
      </c>
      <c r="I122" s="60" t="s">
        <v>5609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2907</v>
      </c>
      <c r="U122" s="59" t="str">
        <f>U119</f>
        <v>監測</v>
      </c>
      <c r="V122" s="108" t="s">
        <v>2914</v>
      </c>
      <c r="W122" s="60">
        <v>110</v>
      </c>
      <c r="X122" s="58"/>
      <c r="Y122" s="58"/>
      <c r="Z122" s="58"/>
      <c r="AA122" s="58"/>
      <c r="AB122" s="58"/>
      <c r="AC122" s="58" t="s">
        <v>2894</v>
      </c>
      <c r="AD122" s="58"/>
      <c r="AE122" s="58"/>
      <c r="AF122" s="58" t="s">
        <v>2894</v>
      </c>
      <c r="AG122" s="58" t="s">
        <v>2894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2930</v>
      </c>
      <c r="C123" s="19">
        <v>1873</v>
      </c>
      <c r="D123" s="17" t="s">
        <v>464</v>
      </c>
      <c r="E123" s="19" t="s">
        <v>2915</v>
      </c>
      <c r="F123" s="129" t="s">
        <v>3270</v>
      </c>
      <c r="G123" s="21" t="s">
        <v>5604</v>
      </c>
      <c r="H123" s="434" t="s">
        <v>5606</v>
      </c>
      <c r="I123" s="21" t="s">
        <v>5609</v>
      </c>
      <c r="J123" s="22">
        <v>199958</v>
      </c>
      <c r="K123" s="22">
        <v>2661772</v>
      </c>
      <c r="L123" s="23" t="s">
        <v>2931</v>
      </c>
      <c r="M123" s="24">
        <v>13</v>
      </c>
      <c r="N123" s="23">
        <v>70</v>
      </c>
      <c r="O123" s="23">
        <v>170</v>
      </c>
      <c r="P123" s="23" t="s">
        <v>2932</v>
      </c>
      <c r="Q123" s="23">
        <v>32</v>
      </c>
      <c r="R123" s="23">
        <v>426</v>
      </c>
      <c r="S123" s="23">
        <v>98</v>
      </c>
      <c r="T123" s="20" t="s">
        <v>575</v>
      </c>
      <c r="U123" s="20" t="s">
        <v>8</v>
      </c>
      <c r="V123" s="115" t="s">
        <v>575</v>
      </c>
      <c r="W123" s="21">
        <v>114</v>
      </c>
      <c r="X123" s="19"/>
      <c r="Y123" s="130"/>
      <c r="Z123" s="19"/>
      <c r="AA123" s="19" t="s">
        <v>2894</v>
      </c>
      <c r="AB123" s="19"/>
      <c r="AC123" s="19"/>
      <c r="AD123" s="19"/>
      <c r="AE123" s="19"/>
      <c r="AF123" s="19" t="s">
        <v>2894</v>
      </c>
      <c r="AG123" s="19"/>
      <c r="AH123" s="19"/>
      <c r="AI123" s="19"/>
      <c r="AJ123" s="21"/>
      <c r="AK123" s="19" t="s">
        <v>2894</v>
      </c>
      <c r="AL123" s="116"/>
      <c r="AM123" s="16">
        <v>114</v>
      </c>
    </row>
    <row r="124" spans="1:39" x14ac:dyDescent="0.3">
      <c r="A124" s="15">
        <v>123</v>
      </c>
      <c r="B124" s="29" t="s">
        <v>466</v>
      </c>
      <c r="C124" s="29">
        <v>1858</v>
      </c>
      <c r="D124" s="27" t="s">
        <v>465</v>
      </c>
      <c r="E124" s="29" t="s">
        <v>2915</v>
      </c>
      <c r="F124" s="29" t="s">
        <v>3271</v>
      </c>
      <c r="G124" s="31"/>
      <c r="H124" s="145" t="s">
        <v>5608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2916</v>
      </c>
      <c r="U124" s="30" t="s">
        <v>2916</v>
      </c>
      <c r="V124" s="95" t="s">
        <v>1193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2933</v>
      </c>
      <c r="C125" s="83">
        <v>1893</v>
      </c>
      <c r="D125" s="113" t="s">
        <v>465</v>
      </c>
      <c r="E125" s="83" t="s">
        <v>2915</v>
      </c>
      <c r="F125" s="131" t="s">
        <v>3272</v>
      </c>
      <c r="G125" s="85" t="s">
        <v>5605</v>
      </c>
      <c r="H125" s="340" t="s">
        <v>5606</v>
      </c>
      <c r="I125" s="85" t="s">
        <v>475</v>
      </c>
      <c r="J125" s="87">
        <v>200311.24924599999</v>
      </c>
      <c r="K125" s="87">
        <v>2661980.8986599999</v>
      </c>
      <c r="L125" s="88" t="s">
        <v>40</v>
      </c>
      <c r="M125" s="89">
        <v>13</v>
      </c>
      <c r="N125" s="88">
        <v>80</v>
      </c>
      <c r="O125" s="88">
        <v>191</v>
      </c>
      <c r="P125" s="88" t="s">
        <v>41</v>
      </c>
      <c r="Q125" s="88">
        <v>52</v>
      </c>
      <c r="R125" s="88">
        <v>242</v>
      </c>
      <c r="S125" s="88">
        <v>137</v>
      </c>
      <c r="T125" s="85" t="s">
        <v>306</v>
      </c>
      <c r="U125" s="85" t="s">
        <v>306</v>
      </c>
      <c r="V125" s="84" t="s">
        <v>1193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2894</v>
      </c>
      <c r="AG125" s="83" t="s">
        <v>2894</v>
      </c>
      <c r="AH125" s="83"/>
      <c r="AI125" s="83"/>
      <c r="AJ125" s="47"/>
      <c r="AK125" s="132" t="s">
        <v>306</v>
      </c>
      <c r="AL125" s="90"/>
      <c r="AM125" s="82">
        <v>114</v>
      </c>
    </row>
    <row r="126" spans="1:39" x14ac:dyDescent="0.3">
      <c r="A126" s="15">
        <v>125</v>
      </c>
      <c r="B126" s="29" t="s">
        <v>492</v>
      </c>
      <c r="C126" s="29">
        <v>1156</v>
      </c>
      <c r="D126" s="27" t="s">
        <v>491</v>
      </c>
      <c r="E126" s="29" t="s">
        <v>2915</v>
      </c>
      <c r="F126" s="29" t="s">
        <v>3273</v>
      </c>
      <c r="G126" s="31" t="s">
        <v>5604</v>
      </c>
      <c r="H126" s="145" t="s">
        <v>5606</v>
      </c>
      <c r="I126" s="31" t="s">
        <v>5609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2907</v>
      </c>
      <c r="U126" s="30" t="s">
        <v>8</v>
      </c>
      <c r="V126" s="91" t="s">
        <v>2914</v>
      </c>
      <c r="W126" s="31">
        <v>109</v>
      </c>
      <c r="X126" s="29" t="s">
        <v>2894</v>
      </c>
      <c r="Y126" s="29" t="s">
        <v>2894</v>
      </c>
      <c r="Z126" s="29"/>
      <c r="AA126" s="29"/>
      <c r="AB126" s="29" t="s">
        <v>2894</v>
      </c>
      <c r="AC126" s="29"/>
      <c r="AD126" s="29"/>
      <c r="AE126" s="29"/>
      <c r="AF126" s="29" t="s">
        <v>2894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493</v>
      </c>
      <c r="C127" s="40">
        <v>1157</v>
      </c>
      <c r="D127" s="38" t="s">
        <v>491</v>
      </c>
      <c r="E127" s="40" t="s">
        <v>2915</v>
      </c>
      <c r="F127" s="40" t="s">
        <v>3274</v>
      </c>
      <c r="G127" s="41" t="s">
        <v>5604</v>
      </c>
      <c r="H127" s="150" t="s">
        <v>5608</v>
      </c>
      <c r="I127" s="41" t="s">
        <v>5609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2907</v>
      </c>
      <c r="U127" s="2" t="str">
        <f>U126</f>
        <v>監測</v>
      </c>
      <c r="V127" s="93" t="s">
        <v>2914</v>
      </c>
      <c r="W127" s="41">
        <v>109</v>
      </c>
      <c r="X127" s="40" t="s">
        <v>2894</v>
      </c>
      <c r="Y127" s="40" t="s">
        <v>2894</v>
      </c>
      <c r="Z127" s="40"/>
      <c r="AA127" s="40"/>
      <c r="AB127" s="40" t="s">
        <v>2894</v>
      </c>
      <c r="AC127" s="40"/>
      <c r="AD127" s="40"/>
      <c r="AE127" s="40"/>
      <c r="AF127" s="40" t="s">
        <v>2894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494</v>
      </c>
      <c r="C128" s="133">
        <v>1158</v>
      </c>
      <c r="D128" s="38" t="s">
        <v>491</v>
      </c>
      <c r="E128" s="40" t="s">
        <v>2915</v>
      </c>
      <c r="F128" s="40" t="s">
        <v>3275</v>
      </c>
      <c r="G128" s="41" t="s">
        <v>5604</v>
      </c>
      <c r="H128" s="150" t="s">
        <v>5608</v>
      </c>
      <c r="I128" s="41" t="s">
        <v>5609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2907</v>
      </c>
      <c r="U128" s="2" t="str">
        <f>U126</f>
        <v>監測</v>
      </c>
      <c r="V128" s="93" t="s">
        <v>2914</v>
      </c>
      <c r="W128" s="41">
        <v>109</v>
      </c>
      <c r="X128" s="40" t="s">
        <v>2894</v>
      </c>
      <c r="Y128" s="40" t="s">
        <v>2894</v>
      </c>
      <c r="Z128" s="40"/>
      <c r="AA128" s="40"/>
      <c r="AB128" s="40" t="s">
        <v>2894</v>
      </c>
      <c r="AC128" s="40"/>
      <c r="AD128" s="40"/>
      <c r="AE128" s="40"/>
      <c r="AF128" s="40" t="s">
        <v>2894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496</v>
      </c>
      <c r="C129" s="133">
        <v>2515</v>
      </c>
      <c r="D129" s="38" t="s">
        <v>491</v>
      </c>
      <c r="E129" s="40" t="s">
        <v>2915</v>
      </c>
      <c r="F129" s="40" t="s">
        <v>3276</v>
      </c>
      <c r="G129" s="41" t="s">
        <v>5604</v>
      </c>
      <c r="H129" s="150" t="s">
        <v>5606</v>
      </c>
      <c r="I129" s="41" t="s">
        <v>5609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41</v>
      </c>
      <c r="Q129" s="43">
        <v>41</v>
      </c>
      <c r="R129" s="43">
        <v>231</v>
      </c>
      <c r="S129" s="43">
        <v>112</v>
      </c>
      <c r="T129" s="2" t="s">
        <v>306</v>
      </c>
      <c r="U129" s="2" t="s">
        <v>306</v>
      </c>
      <c r="V129" s="93" t="s">
        <v>2914</v>
      </c>
      <c r="W129" s="41">
        <v>109</v>
      </c>
      <c r="X129" s="40"/>
      <c r="Y129" s="40"/>
      <c r="Z129" s="40"/>
      <c r="AA129" s="40"/>
      <c r="AB129" s="40" t="s">
        <v>2898</v>
      </c>
      <c r="AC129" s="40"/>
      <c r="AD129" s="40"/>
      <c r="AE129" s="40"/>
      <c r="AF129" s="40" t="s">
        <v>2898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497</v>
      </c>
      <c r="C130" s="133">
        <v>2516</v>
      </c>
      <c r="D130" s="38" t="s">
        <v>491</v>
      </c>
      <c r="E130" s="40" t="s">
        <v>2915</v>
      </c>
      <c r="F130" s="40" t="s">
        <v>3277</v>
      </c>
      <c r="G130" s="41" t="s">
        <v>5604</v>
      </c>
      <c r="H130" s="150" t="s">
        <v>5608</v>
      </c>
      <c r="I130" s="41" t="s">
        <v>5609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41</v>
      </c>
      <c r="Q130" s="43">
        <v>41</v>
      </c>
      <c r="R130" s="43">
        <v>231</v>
      </c>
      <c r="S130" s="43">
        <v>112</v>
      </c>
      <c r="T130" s="2" t="s">
        <v>306</v>
      </c>
      <c r="U130" s="2" t="str">
        <f>U129</f>
        <v>正常</v>
      </c>
      <c r="V130" s="93" t="s">
        <v>2914</v>
      </c>
      <c r="W130" s="41">
        <v>109</v>
      </c>
      <c r="X130" s="40"/>
      <c r="Y130" s="40"/>
      <c r="Z130" s="40"/>
      <c r="AA130" s="40"/>
      <c r="AB130" s="40" t="s">
        <v>2898</v>
      </c>
      <c r="AC130" s="40"/>
      <c r="AD130" s="40"/>
      <c r="AE130" s="40"/>
      <c r="AF130" s="40" t="s">
        <v>2898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498</v>
      </c>
      <c r="C131" s="134">
        <v>2517</v>
      </c>
      <c r="D131" s="113" t="s">
        <v>491</v>
      </c>
      <c r="E131" s="83" t="s">
        <v>2915</v>
      </c>
      <c r="F131" s="83" t="s">
        <v>3278</v>
      </c>
      <c r="G131" s="47" t="s">
        <v>5604</v>
      </c>
      <c r="H131" s="340" t="s">
        <v>5606</v>
      </c>
      <c r="I131" s="47" t="s">
        <v>5609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41</v>
      </c>
      <c r="Q131" s="88">
        <v>36</v>
      </c>
      <c r="R131" s="88">
        <v>200</v>
      </c>
      <c r="S131" s="88">
        <v>116</v>
      </c>
      <c r="T131" s="85" t="s">
        <v>306</v>
      </c>
      <c r="U131" s="85" t="s">
        <v>3</v>
      </c>
      <c r="V131" s="94" t="s">
        <v>2914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2898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504</v>
      </c>
      <c r="C132" s="135">
        <v>1384</v>
      </c>
      <c r="D132" s="27" t="s">
        <v>503</v>
      </c>
      <c r="E132" s="29" t="s">
        <v>2929</v>
      </c>
      <c r="F132" s="29" t="s">
        <v>3279</v>
      </c>
      <c r="G132" s="31" t="s">
        <v>5604</v>
      </c>
      <c r="H132" s="145" t="s">
        <v>5607</v>
      </c>
      <c r="I132" s="31" t="s">
        <v>5609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214</v>
      </c>
      <c r="Q132" s="33">
        <v>41.1</v>
      </c>
      <c r="R132" s="33">
        <v>286</v>
      </c>
      <c r="S132" s="33">
        <v>69.7</v>
      </c>
      <c r="T132" s="30" t="s">
        <v>306</v>
      </c>
      <c r="U132" s="30" t="s">
        <v>3</v>
      </c>
      <c r="V132" s="95" t="s">
        <v>1193</v>
      </c>
      <c r="W132" s="31">
        <v>111</v>
      </c>
      <c r="X132" s="29"/>
      <c r="Y132" s="29"/>
      <c r="Z132" s="29"/>
      <c r="AA132" s="29"/>
      <c r="AB132" s="29"/>
      <c r="AC132" s="29" t="s">
        <v>2894</v>
      </c>
      <c r="AD132" s="29"/>
      <c r="AE132" s="29"/>
      <c r="AF132" s="29" t="s">
        <v>2894</v>
      </c>
      <c r="AG132" s="29"/>
      <c r="AH132" s="29" t="s">
        <v>2898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2934</v>
      </c>
      <c r="C133" s="133">
        <v>1396</v>
      </c>
      <c r="D133" s="38" t="s">
        <v>503</v>
      </c>
      <c r="E133" s="40" t="s">
        <v>2929</v>
      </c>
      <c r="F133" s="40" t="s">
        <v>3280</v>
      </c>
      <c r="G133" s="41" t="s">
        <v>5604</v>
      </c>
      <c r="H133" s="150" t="s">
        <v>5606</v>
      </c>
      <c r="I133" s="41" t="s">
        <v>5609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306</v>
      </c>
      <c r="U133" s="2" t="s">
        <v>3</v>
      </c>
      <c r="V133" s="97" t="s">
        <v>1193</v>
      </c>
      <c r="W133" s="41">
        <v>114</v>
      </c>
      <c r="X133" s="40"/>
      <c r="Y133" s="40"/>
      <c r="Z133" s="40"/>
      <c r="AA133" s="40"/>
      <c r="AB133" s="40"/>
      <c r="AC133" s="40" t="s">
        <v>2894</v>
      </c>
      <c r="AD133" s="40"/>
      <c r="AE133" s="40"/>
      <c r="AF133" s="40" t="s">
        <v>2894</v>
      </c>
      <c r="AG133" s="40"/>
      <c r="AH133" s="40" t="s">
        <v>2894</v>
      </c>
      <c r="AI133" s="40"/>
      <c r="AJ133" s="41"/>
      <c r="AK133" s="136" t="s">
        <v>306</v>
      </c>
      <c r="AL133" s="49"/>
      <c r="AM133" s="37">
        <v>114</v>
      </c>
    </row>
    <row r="134" spans="1:39" x14ac:dyDescent="0.3">
      <c r="A134" s="15">
        <v>133</v>
      </c>
      <c r="B134" s="40" t="s">
        <v>505</v>
      </c>
      <c r="C134" s="133">
        <v>1397</v>
      </c>
      <c r="D134" s="38" t="s">
        <v>503</v>
      </c>
      <c r="E134" s="40" t="s">
        <v>2929</v>
      </c>
      <c r="F134" s="40" t="s">
        <v>3281</v>
      </c>
      <c r="G134" s="41" t="s">
        <v>5604</v>
      </c>
      <c r="H134" s="150" t="s">
        <v>5607</v>
      </c>
      <c r="I134" s="41" t="s">
        <v>5609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214</v>
      </c>
      <c r="Q134" s="43">
        <v>37.200000000000003</v>
      </c>
      <c r="R134" s="43">
        <v>245</v>
      </c>
      <c r="S134" s="43">
        <v>54.1</v>
      </c>
      <c r="T134" s="2" t="s">
        <v>306</v>
      </c>
      <c r="U134" s="2" t="s">
        <v>3</v>
      </c>
      <c r="V134" s="97" t="s">
        <v>1193</v>
      </c>
      <c r="W134" s="41">
        <v>111</v>
      </c>
      <c r="X134" s="40"/>
      <c r="Y134" s="40"/>
      <c r="Z134" s="40"/>
      <c r="AA134" s="40"/>
      <c r="AB134" s="40"/>
      <c r="AC134" s="40" t="s">
        <v>2894</v>
      </c>
      <c r="AD134" s="40"/>
      <c r="AE134" s="40"/>
      <c r="AF134" s="40"/>
      <c r="AG134" s="40"/>
      <c r="AH134" s="40" t="s">
        <v>2898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506</v>
      </c>
      <c r="C135" s="133">
        <v>1399</v>
      </c>
      <c r="D135" s="38" t="s">
        <v>503</v>
      </c>
      <c r="E135" s="40" t="s">
        <v>2929</v>
      </c>
      <c r="F135" s="40" t="s">
        <v>3282</v>
      </c>
      <c r="G135" s="41" t="s">
        <v>5604</v>
      </c>
      <c r="H135" s="150" t="s">
        <v>5606</v>
      </c>
      <c r="I135" s="41" t="s">
        <v>5609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55</v>
      </c>
      <c r="Q135" s="43">
        <v>40.9</v>
      </c>
      <c r="R135" s="43">
        <v>293</v>
      </c>
      <c r="S135" s="43">
        <v>76.8</v>
      </c>
      <c r="T135" s="2" t="s">
        <v>306</v>
      </c>
      <c r="U135" s="2" t="s">
        <v>3</v>
      </c>
      <c r="V135" s="97" t="s">
        <v>1193</v>
      </c>
      <c r="W135" s="41">
        <v>114</v>
      </c>
      <c r="X135" s="40"/>
      <c r="Y135" s="40"/>
      <c r="Z135" s="40"/>
      <c r="AA135" s="40"/>
      <c r="AB135" s="40"/>
      <c r="AC135" s="40" t="s">
        <v>2894</v>
      </c>
      <c r="AD135" s="40"/>
      <c r="AE135" s="40"/>
      <c r="AF135" s="40" t="s">
        <v>2894</v>
      </c>
      <c r="AG135" s="40"/>
      <c r="AH135" s="40" t="s">
        <v>2894</v>
      </c>
      <c r="AI135" s="40"/>
      <c r="AJ135" s="41"/>
      <c r="AK135" s="136" t="s">
        <v>306</v>
      </c>
      <c r="AL135" s="49"/>
      <c r="AM135" s="37">
        <v>114</v>
      </c>
    </row>
    <row r="136" spans="1:39" x14ac:dyDescent="0.3">
      <c r="A136" s="15">
        <v>135</v>
      </c>
      <c r="B136" s="40" t="s">
        <v>507</v>
      </c>
      <c r="C136" s="133">
        <v>1385</v>
      </c>
      <c r="D136" s="38" t="s">
        <v>503</v>
      </c>
      <c r="E136" s="40" t="s">
        <v>2929</v>
      </c>
      <c r="F136" s="40" t="s">
        <v>3283</v>
      </c>
      <c r="G136" s="41" t="s">
        <v>5604</v>
      </c>
      <c r="H136" s="150" t="s">
        <v>5606</v>
      </c>
      <c r="I136" s="41" t="s">
        <v>5609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306</v>
      </c>
      <c r="U136" s="2" t="s">
        <v>3</v>
      </c>
      <c r="V136" s="97" t="s">
        <v>1193</v>
      </c>
      <c r="W136" s="41">
        <v>114</v>
      </c>
      <c r="X136" s="40"/>
      <c r="Y136" s="40"/>
      <c r="Z136" s="40"/>
      <c r="AA136" s="40"/>
      <c r="AB136" s="40"/>
      <c r="AC136" s="40" t="s">
        <v>2894</v>
      </c>
      <c r="AD136" s="40"/>
      <c r="AE136" s="40"/>
      <c r="AF136" s="40" t="s">
        <v>2894</v>
      </c>
      <c r="AG136" s="40"/>
      <c r="AH136" s="40" t="s">
        <v>2898</v>
      </c>
      <c r="AI136" s="40"/>
      <c r="AJ136" s="41"/>
      <c r="AK136" s="136" t="s">
        <v>306</v>
      </c>
      <c r="AL136" s="49"/>
      <c r="AM136" s="37">
        <v>114</v>
      </c>
    </row>
    <row r="137" spans="1:39" x14ac:dyDescent="0.3">
      <c r="A137" s="15">
        <v>136</v>
      </c>
      <c r="B137" s="40" t="s">
        <v>508</v>
      </c>
      <c r="C137" s="133">
        <v>1398</v>
      </c>
      <c r="D137" s="38" t="s">
        <v>503</v>
      </c>
      <c r="E137" s="40" t="s">
        <v>2929</v>
      </c>
      <c r="F137" s="40" t="s">
        <v>3284</v>
      </c>
      <c r="G137" s="41" t="s">
        <v>5604</v>
      </c>
      <c r="H137" s="150" t="s">
        <v>5607</v>
      </c>
      <c r="I137" s="41" t="s">
        <v>5609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2907</v>
      </c>
      <c r="U137" s="2" t="s">
        <v>303</v>
      </c>
      <c r="V137" s="97" t="s">
        <v>1193</v>
      </c>
      <c r="W137" s="41">
        <v>111</v>
      </c>
      <c r="X137" s="40"/>
      <c r="Y137" s="40"/>
      <c r="Z137" s="40"/>
      <c r="AA137" s="40"/>
      <c r="AB137" s="40"/>
      <c r="AC137" s="40" t="s">
        <v>2894</v>
      </c>
      <c r="AD137" s="40"/>
      <c r="AE137" s="40"/>
      <c r="AF137" s="40" t="s">
        <v>2898</v>
      </c>
      <c r="AG137" s="40"/>
      <c r="AH137" s="40" t="s">
        <v>2894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508</v>
      </c>
      <c r="C138" s="134">
        <v>2459</v>
      </c>
      <c r="D138" s="113" t="s">
        <v>503</v>
      </c>
      <c r="E138" s="83" t="s">
        <v>2929</v>
      </c>
      <c r="F138" s="83" t="s">
        <v>3285</v>
      </c>
      <c r="G138" s="47" t="s">
        <v>5604</v>
      </c>
      <c r="H138" s="340" t="s">
        <v>5607</v>
      </c>
      <c r="I138" s="47" t="s">
        <v>5609</v>
      </c>
      <c r="J138" s="87">
        <v>196952</v>
      </c>
      <c r="K138" s="87">
        <v>2662049</v>
      </c>
      <c r="L138" s="88" t="s">
        <v>40</v>
      </c>
      <c r="M138" s="89">
        <v>11</v>
      </c>
      <c r="N138" s="88">
        <v>120</v>
      </c>
      <c r="O138" s="88">
        <v>84</v>
      </c>
      <c r="P138" s="88" t="s">
        <v>41</v>
      </c>
      <c r="Q138" s="88">
        <v>33</v>
      </c>
      <c r="R138" s="88">
        <v>205</v>
      </c>
      <c r="S138" s="88">
        <v>79</v>
      </c>
      <c r="T138" s="85" t="s">
        <v>306</v>
      </c>
      <c r="U138" s="85" t="s">
        <v>3</v>
      </c>
      <c r="V138" s="84" t="s">
        <v>1193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2898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558</v>
      </c>
      <c r="C139" s="29">
        <v>1400</v>
      </c>
      <c r="D139" s="27" t="s">
        <v>557</v>
      </c>
      <c r="E139" s="29" t="s">
        <v>2929</v>
      </c>
      <c r="F139" s="29" t="s">
        <v>3286</v>
      </c>
      <c r="G139" s="31" t="s">
        <v>5604</v>
      </c>
      <c r="H139" s="145" t="s">
        <v>5606</v>
      </c>
      <c r="I139" s="31" t="s">
        <v>5609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306</v>
      </c>
      <c r="U139" s="30" t="s">
        <v>3</v>
      </c>
      <c r="V139" s="91" t="s">
        <v>2914</v>
      </c>
      <c r="W139" s="31">
        <v>109</v>
      </c>
      <c r="X139" s="29"/>
      <c r="Y139" s="29"/>
      <c r="Z139" s="29"/>
      <c r="AA139" s="29"/>
      <c r="AB139" s="29"/>
      <c r="AC139" s="29" t="s">
        <v>2894</v>
      </c>
      <c r="AD139" s="29"/>
      <c r="AE139" s="29"/>
      <c r="AF139" s="29" t="s">
        <v>2898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559</v>
      </c>
      <c r="C140" s="40">
        <v>1402</v>
      </c>
      <c r="D140" s="38" t="s">
        <v>557</v>
      </c>
      <c r="E140" s="40" t="s">
        <v>2929</v>
      </c>
      <c r="F140" s="40" t="s">
        <v>3287</v>
      </c>
      <c r="G140" s="50"/>
      <c r="H140" s="150" t="s">
        <v>5607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240</v>
      </c>
      <c r="V140" s="93" t="s">
        <v>2914</v>
      </c>
      <c r="W140" s="41">
        <v>106</v>
      </c>
      <c r="X140" s="40"/>
      <c r="Y140" s="40"/>
      <c r="Z140" s="40"/>
      <c r="AA140" s="40"/>
      <c r="AB140" s="40"/>
      <c r="AC140" s="40" t="s">
        <v>2894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560</v>
      </c>
      <c r="C141" s="40">
        <v>1403</v>
      </c>
      <c r="D141" s="38" t="s">
        <v>557</v>
      </c>
      <c r="E141" s="40" t="s">
        <v>2929</v>
      </c>
      <c r="F141" s="40" t="s">
        <v>3288</v>
      </c>
      <c r="G141" s="50"/>
      <c r="H141" s="150" t="s">
        <v>5607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240</v>
      </c>
      <c r="V141" s="93" t="s">
        <v>2914</v>
      </c>
      <c r="W141" s="41">
        <v>106</v>
      </c>
      <c r="X141" s="40"/>
      <c r="Y141" s="40"/>
      <c r="Z141" s="40"/>
      <c r="AA141" s="40"/>
      <c r="AB141" s="40"/>
      <c r="AC141" s="40" t="s">
        <v>2894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561</v>
      </c>
      <c r="C142" s="40">
        <v>1404</v>
      </c>
      <c r="D142" s="38" t="s">
        <v>557</v>
      </c>
      <c r="E142" s="40" t="s">
        <v>2929</v>
      </c>
      <c r="F142" s="40" t="s">
        <v>3289</v>
      </c>
      <c r="G142" s="50"/>
      <c r="H142" s="150" t="s">
        <v>5607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240</v>
      </c>
      <c r="V142" s="93" t="s">
        <v>2914</v>
      </c>
      <c r="W142" s="41">
        <v>106</v>
      </c>
      <c r="X142" s="40"/>
      <c r="Y142" s="40"/>
      <c r="Z142" s="40"/>
      <c r="AA142" s="40"/>
      <c r="AB142" s="40"/>
      <c r="AC142" s="40" t="s">
        <v>2894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562</v>
      </c>
      <c r="C143" s="40">
        <v>1408</v>
      </c>
      <c r="D143" s="38" t="s">
        <v>557</v>
      </c>
      <c r="E143" s="40" t="s">
        <v>2929</v>
      </c>
      <c r="F143" s="40" t="s">
        <v>3290</v>
      </c>
      <c r="G143" s="41" t="s">
        <v>5604</v>
      </c>
      <c r="H143" s="150" t="s">
        <v>5606</v>
      </c>
      <c r="I143" s="41" t="s">
        <v>5609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575</v>
      </c>
      <c r="U143" s="2" t="s">
        <v>240</v>
      </c>
      <c r="V143" s="93" t="s">
        <v>2914</v>
      </c>
      <c r="W143" s="41">
        <v>109</v>
      </c>
      <c r="X143" s="40"/>
      <c r="Y143" s="40"/>
      <c r="Z143" s="40"/>
      <c r="AA143" s="40"/>
      <c r="AB143" s="40"/>
      <c r="AC143" s="40" t="s">
        <v>2894</v>
      </c>
      <c r="AD143" s="40"/>
      <c r="AE143" s="40"/>
      <c r="AF143" s="40" t="s">
        <v>2894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563</v>
      </c>
      <c r="C144" s="40">
        <v>1409</v>
      </c>
      <c r="D144" s="38" t="s">
        <v>557</v>
      </c>
      <c r="E144" s="40" t="s">
        <v>2929</v>
      </c>
      <c r="F144" s="40" t="s">
        <v>3291</v>
      </c>
      <c r="G144" s="41" t="s">
        <v>5604</v>
      </c>
      <c r="H144" s="150" t="s">
        <v>5606</v>
      </c>
      <c r="I144" s="41" t="s">
        <v>5609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2907</v>
      </c>
      <c r="U144" s="2" t="s">
        <v>240</v>
      </c>
      <c r="V144" s="93" t="s">
        <v>2914</v>
      </c>
      <c r="W144" s="41">
        <v>109</v>
      </c>
      <c r="X144" s="40"/>
      <c r="Y144" s="40"/>
      <c r="Z144" s="40"/>
      <c r="AA144" s="40"/>
      <c r="AB144" s="40"/>
      <c r="AC144" s="40" t="s">
        <v>2894</v>
      </c>
      <c r="AD144" s="40"/>
      <c r="AE144" s="40"/>
      <c r="AF144" s="40" t="s">
        <v>2894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557</v>
      </c>
      <c r="E145" s="40" t="s">
        <v>2929</v>
      </c>
      <c r="F145" s="40" t="s">
        <v>3292</v>
      </c>
      <c r="G145" s="41" t="s">
        <v>5604</v>
      </c>
      <c r="H145" s="150" t="s">
        <v>5607</v>
      </c>
      <c r="I145" s="41" t="s">
        <v>5609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306</v>
      </c>
      <c r="U145" s="2" t="s">
        <v>3</v>
      </c>
      <c r="V145" s="93" t="s">
        <v>2914</v>
      </c>
      <c r="W145" s="41">
        <v>109</v>
      </c>
      <c r="X145" s="40"/>
      <c r="Y145" s="40"/>
      <c r="Z145" s="40"/>
      <c r="AA145" s="40"/>
      <c r="AB145" s="40"/>
      <c r="AC145" s="40" t="s">
        <v>2894</v>
      </c>
      <c r="AD145" s="40"/>
      <c r="AE145" s="40"/>
      <c r="AF145" s="40" t="s">
        <v>2898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557</v>
      </c>
      <c r="E146" s="83" t="s">
        <v>2929</v>
      </c>
      <c r="F146" s="83" t="s">
        <v>3293</v>
      </c>
      <c r="G146" s="138"/>
      <c r="H146" s="226" t="s">
        <v>5608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240</v>
      </c>
      <c r="V146" s="94" t="s">
        <v>2914</v>
      </c>
      <c r="W146" s="47">
        <v>106</v>
      </c>
      <c r="X146" s="83"/>
      <c r="Y146" s="83"/>
      <c r="Z146" s="83"/>
      <c r="AA146" s="83"/>
      <c r="AB146" s="83"/>
      <c r="AC146" s="83" t="s">
        <v>2894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2935</v>
      </c>
      <c r="C147" s="29">
        <v>912</v>
      </c>
      <c r="D147" s="27" t="s">
        <v>597</v>
      </c>
      <c r="E147" s="29" t="s">
        <v>2929</v>
      </c>
      <c r="F147" s="29" t="s">
        <v>3294</v>
      </c>
      <c r="G147" s="31" t="s">
        <v>5604</v>
      </c>
      <c r="H147" s="145" t="s">
        <v>5606</v>
      </c>
      <c r="I147" s="31" t="s">
        <v>5609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306</v>
      </c>
      <c r="U147" s="30" t="s">
        <v>306</v>
      </c>
      <c r="V147" s="95" t="s">
        <v>575</v>
      </c>
      <c r="W147" s="31">
        <v>114</v>
      </c>
      <c r="X147" s="29"/>
      <c r="Y147" s="29"/>
      <c r="Z147" s="29"/>
      <c r="AA147" s="29"/>
      <c r="AB147" s="29"/>
      <c r="AC147" s="29" t="s">
        <v>2894</v>
      </c>
      <c r="AD147" s="29"/>
      <c r="AE147" s="29"/>
      <c r="AF147" s="29" t="s">
        <v>2898</v>
      </c>
      <c r="AG147" s="29"/>
      <c r="AH147" s="29"/>
      <c r="AI147" s="29"/>
      <c r="AJ147" s="31"/>
      <c r="AK147" s="139" t="s">
        <v>306</v>
      </c>
      <c r="AL147" s="96"/>
      <c r="AM147" s="26">
        <v>114</v>
      </c>
    </row>
    <row r="148" spans="1:39" x14ac:dyDescent="0.3">
      <c r="A148" s="15">
        <v>147</v>
      </c>
      <c r="B148" s="40" t="s">
        <v>2936</v>
      </c>
      <c r="C148" s="40">
        <v>913</v>
      </c>
      <c r="D148" s="38" t="s">
        <v>597</v>
      </c>
      <c r="E148" s="40" t="s">
        <v>2929</v>
      </c>
      <c r="F148" s="40" t="s">
        <v>3295</v>
      </c>
      <c r="G148" s="41" t="s">
        <v>5604</v>
      </c>
      <c r="H148" s="150" t="s">
        <v>5606</v>
      </c>
      <c r="I148" s="41" t="s">
        <v>5609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575</v>
      </c>
      <c r="U148" s="2" t="s">
        <v>240</v>
      </c>
      <c r="V148" s="97" t="s">
        <v>575</v>
      </c>
      <c r="W148" s="41">
        <v>114</v>
      </c>
      <c r="X148" s="40"/>
      <c r="Y148" s="40"/>
      <c r="Z148" s="40"/>
      <c r="AA148" s="40"/>
      <c r="AB148" s="40"/>
      <c r="AC148" s="40" t="s">
        <v>2894</v>
      </c>
      <c r="AD148" s="40"/>
      <c r="AE148" s="40"/>
      <c r="AF148" s="40" t="s">
        <v>2894</v>
      </c>
      <c r="AG148" s="40"/>
      <c r="AH148" s="40"/>
      <c r="AI148" s="40"/>
      <c r="AJ148" s="41"/>
      <c r="AK148" s="136" t="s">
        <v>303</v>
      </c>
      <c r="AL148" s="49"/>
      <c r="AM148" s="37">
        <v>114</v>
      </c>
    </row>
    <row r="149" spans="1:39" x14ac:dyDescent="0.3">
      <c r="A149" s="15">
        <v>148</v>
      </c>
      <c r="B149" s="40" t="s">
        <v>2937</v>
      </c>
      <c r="C149" s="40">
        <v>914</v>
      </c>
      <c r="D149" s="38" t="s">
        <v>597</v>
      </c>
      <c r="E149" s="40" t="s">
        <v>2929</v>
      </c>
      <c r="F149" s="40" t="s">
        <v>3296</v>
      </c>
      <c r="G149" s="41" t="s">
        <v>5604</v>
      </c>
      <c r="H149" s="150" t="s">
        <v>5607</v>
      </c>
      <c r="I149" s="41" t="s">
        <v>5609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306</v>
      </c>
      <c r="U149" s="2" t="s">
        <v>18</v>
      </c>
      <c r="V149" s="97" t="s">
        <v>575</v>
      </c>
      <c r="W149" s="41">
        <v>114</v>
      </c>
      <c r="X149" s="40"/>
      <c r="Y149" s="40"/>
      <c r="Z149" s="40"/>
      <c r="AA149" s="40"/>
      <c r="AB149" s="40"/>
      <c r="AC149" s="40" t="s">
        <v>2894</v>
      </c>
      <c r="AD149" s="40"/>
      <c r="AE149" s="40"/>
      <c r="AF149" s="40"/>
      <c r="AG149" s="40"/>
      <c r="AH149" s="40"/>
      <c r="AI149" s="40"/>
      <c r="AJ149" s="41"/>
      <c r="AK149" s="136" t="s">
        <v>306</v>
      </c>
      <c r="AL149" s="49"/>
      <c r="AM149" s="37">
        <v>114</v>
      </c>
    </row>
    <row r="150" spans="1:39" x14ac:dyDescent="0.3">
      <c r="A150" s="15">
        <v>149</v>
      </c>
      <c r="B150" s="40" t="s">
        <v>598</v>
      </c>
      <c r="C150" s="40">
        <v>915</v>
      </c>
      <c r="D150" s="38" t="s">
        <v>597</v>
      </c>
      <c r="E150" s="40" t="s">
        <v>2929</v>
      </c>
      <c r="F150" s="40" t="s">
        <v>3297</v>
      </c>
      <c r="G150" s="50"/>
      <c r="H150" s="150" t="s">
        <v>5607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240</v>
      </c>
      <c r="V150" s="97" t="s">
        <v>575</v>
      </c>
      <c r="W150" s="41">
        <v>106</v>
      </c>
      <c r="X150" s="40"/>
      <c r="Y150" s="40"/>
      <c r="Z150" s="40"/>
      <c r="AA150" s="40"/>
      <c r="AB150" s="40"/>
      <c r="AC150" s="40" t="s">
        <v>2894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599</v>
      </c>
      <c r="C151" s="40">
        <v>916</v>
      </c>
      <c r="D151" s="38" t="s">
        <v>597</v>
      </c>
      <c r="E151" s="40" t="s">
        <v>2929</v>
      </c>
      <c r="F151" s="40" t="s">
        <v>3298</v>
      </c>
      <c r="G151" s="50"/>
      <c r="H151" s="150" t="s">
        <v>5607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240</v>
      </c>
      <c r="V151" s="97" t="s">
        <v>575</v>
      </c>
      <c r="W151" s="41">
        <v>106</v>
      </c>
      <c r="X151" s="40"/>
      <c r="Y151" s="40"/>
      <c r="Z151" s="40"/>
      <c r="AA151" s="40"/>
      <c r="AB151" s="40"/>
      <c r="AC151" s="40" t="s">
        <v>2894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600</v>
      </c>
      <c r="C152" s="40">
        <v>919</v>
      </c>
      <c r="D152" s="38" t="s">
        <v>597</v>
      </c>
      <c r="E152" s="40" t="s">
        <v>2929</v>
      </c>
      <c r="F152" s="40" t="s">
        <v>3299</v>
      </c>
      <c r="G152" s="50"/>
      <c r="H152" s="150" t="s">
        <v>5607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240</v>
      </c>
      <c r="V152" s="97" t="s">
        <v>575</v>
      </c>
      <c r="W152" s="41">
        <v>106</v>
      </c>
      <c r="X152" s="40"/>
      <c r="Y152" s="40"/>
      <c r="Z152" s="40"/>
      <c r="AA152" s="40"/>
      <c r="AB152" s="40"/>
      <c r="AC152" s="40" t="s">
        <v>2894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601</v>
      </c>
      <c r="C153" s="40">
        <v>920</v>
      </c>
      <c r="D153" s="38" t="s">
        <v>597</v>
      </c>
      <c r="E153" s="40" t="s">
        <v>2929</v>
      </c>
      <c r="F153" s="40" t="s">
        <v>3300</v>
      </c>
      <c r="G153" s="50"/>
      <c r="H153" s="150" t="s">
        <v>5607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240</v>
      </c>
      <c r="V153" s="97" t="s">
        <v>575</v>
      </c>
      <c r="W153" s="41">
        <v>106</v>
      </c>
      <c r="X153" s="40"/>
      <c r="Y153" s="40"/>
      <c r="Z153" s="40"/>
      <c r="AA153" s="40"/>
      <c r="AB153" s="40"/>
      <c r="AC153" s="40" t="s">
        <v>2894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602</v>
      </c>
      <c r="C154" s="40">
        <v>921</v>
      </c>
      <c r="D154" s="38" t="s">
        <v>597</v>
      </c>
      <c r="E154" s="40" t="s">
        <v>2929</v>
      </c>
      <c r="F154" s="40" t="s">
        <v>3301</v>
      </c>
      <c r="G154" s="50"/>
      <c r="H154" s="150" t="s">
        <v>5607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240</v>
      </c>
      <c r="V154" s="97" t="s">
        <v>575</v>
      </c>
      <c r="W154" s="41">
        <v>106</v>
      </c>
      <c r="X154" s="40"/>
      <c r="Y154" s="40"/>
      <c r="Z154" s="40"/>
      <c r="AA154" s="40"/>
      <c r="AB154" s="40"/>
      <c r="AC154" s="40" t="s">
        <v>2894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603</v>
      </c>
      <c r="C155" s="40">
        <v>922</v>
      </c>
      <c r="D155" s="38" t="s">
        <v>597</v>
      </c>
      <c r="E155" s="40" t="s">
        <v>2929</v>
      </c>
      <c r="F155" s="40" t="s">
        <v>3302</v>
      </c>
      <c r="G155" s="41" t="s">
        <v>5604</v>
      </c>
      <c r="H155" s="150" t="s">
        <v>5606</v>
      </c>
      <c r="I155" s="41" t="s">
        <v>5609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306</v>
      </c>
      <c r="U155" s="2" t="s">
        <v>306</v>
      </c>
      <c r="V155" s="97" t="s">
        <v>575</v>
      </c>
      <c r="W155" s="41">
        <v>109</v>
      </c>
      <c r="X155" s="40"/>
      <c r="Y155" s="40"/>
      <c r="Z155" s="40"/>
      <c r="AA155" s="40"/>
      <c r="AB155" s="40"/>
      <c r="AC155" s="40" t="s">
        <v>2894</v>
      </c>
      <c r="AD155" s="40"/>
      <c r="AE155" s="40"/>
      <c r="AF155" s="40" t="s">
        <v>2898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597</v>
      </c>
      <c r="E156" s="58" t="s">
        <v>2929</v>
      </c>
      <c r="F156" s="58" t="s">
        <v>3303</v>
      </c>
      <c r="G156" s="60" t="s">
        <v>5604</v>
      </c>
      <c r="H156" s="226" t="s">
        <v>5608</v>
      </c>
      <c r="I156" s="60" t="s">
        <v>5609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306</v>
      </c>
      <c r="U156" s="59" t="str">
        <f>U155</f>
        <v>正常</v>
      </c>
      <c r="V156" s="117" t="s">
        <v>575</v>
      </c>
      <c r="W156" s="60">
        <v>109</v>
      </c>
      <c r="X156" s="58"/>
      <c r="Y156" s="58"/>
      <c r="Z156" s="58"/>
      <c r="AA156" s="58"/>
      <c r="AB156" s="58"/>
      <c r="AC156" s="58" t="s">
        <v>2894</v>
      </c>
      <c r="AD156" s="58"/>
      <c r="AE156" s="58"/>
      <c r="AF156" s="58" t="s">
        <v>2898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639</v>
      </c>
      <c r="C157" s="135">
        <v>931</v>
      </c>
      <c r="D157" s="27" t="s">
        <v>638</v>
      </c>
      <c r="E157" s="29" t="s">
        <v>2929</v>
      </c>
      <c r="F157" s="29" t="s">
        <v>3304</v>
      </c>
      <c r="G157" s="31" t="s">
        <v>5604</v>
      </c>
      <c r="H157" s="145" t="s">
        <v>5606</v>
      </c>
      <c r="I157" s="31" t="s">
        <v>5609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306</v>
      </c>
      <c r="U157" s="30" t="s">
        <v>3</v>
      </c>
      <c r="V157" s="91" t="s">
        <v>2914</v>
      </c>
      <c r="W157" s="31">
        <v>109</v>
      </c>
      <c r="X157" s="29"/>
      <c r="Y157" s="29"/>
      <c r="Z157" s="29"/>
      <c r="AA157" s="29"/>
      <c r="AB157" s="29"/>
      <c r="AC157" s="29" t="s">
        <v>2894</v>
      </c>
      <c r="AD157" s="29"/>
      <c r="AE157" s="29"/>
      <c r="AF157" s="29" t="s">
        <v>2898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638</v>
      </c>
      <c r="E158" s="58" t="s">
        <v>2929</v>
      </c>
      <c r="F158" s="58" t="s">
        <v>3305</v>
      </c>
      <c r="G158" s="60" t="s">
        <v>5604</v>
      </c>
      <c r="H158" s="226" t="s">
        <v>5606</v>
      </c>
      <c r="I158" s="60" t="s">
        <v>5609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236</v>
      </c>
      <c r="Q158" s="62">
        <v>34.200000000000003</v>
      </c>
      <c r="R158" s="62">
        <v>261</v>
      </c>
      <c r="S158" s="62">
        <v>61.1</v>
      </c>
      <c r="T158" s="59" t="s">
        <v>2907</v>
      </c>
      <c r="U158" s="59" t="s">
        <v>240</v>
      </c>
      <c r="V158" s="108" t="s">
        <v>2914</v>
      </c>
      <c r="W158" s="60">
        <v>109</v>
      </c>
      <c r="X158" s="58"/>
      <c r="Y158" s="58"/>
      <c r="Z158" s="58"/>
      <c r="AA158" s="58"/>
      <c r="AB158" s="58"/>
      <c r="AC158" s="58" t="s">
        <v>2894</v>
      </c>
      <c r="AD158" s="58"/>
      <c r="AE158" s="58"/>
      <c r="AF158" s="58" t="s">
        <v>2894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661</v>
      </c>
      <c r="C159" s="135">
        <v>1391</v>
      </c>
      <c r="D159" s="27" t="s">
        <v>660</v>
      </c>
      <c r="E159" s="29" t="s">
        <v>2929</v>
      </c>
      <c r="F159" s="29" t="s">
        <v>3306</v>
      </c>
      <c r="G159" s="31" t="s">
        <v>5604</v>
      </c>
      <c r="H159" s="145" t="s">
        <v>5606</v>
      </c>
      <c r="I159" s="31" t="s">
        <v>5609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138</v>
      </c>
      <c r="Q159" s="33">
        <v>39.4</v>
      </c>
      <c r="R159" s="33">
        <v>258</v>
      </c>
      <c r="S159" s="33">
        <v>56.2</v>
      </c>
      <c r="T159" s="30" t="s">
        <v>2907</v>
      </c>
      <c r="U159" s="30" t="s">
        <v>240</v>
      </c>
      <c r="V159" s="91" t="s">
        <v>2914</v>
      </c>
      <c r="W159" s="31">
        <v>109</v>
      </c>
      <c r="X159" s="29"/>
      <c r="Y159" s="29"/>
      <c r="Z159" s="29"/>
      <c r="AA159" s="29"/>
      <c r="AB159" s="29"/>
      <c r="AC159" s="29" t="s">
        <v>2894</v>
      </c>
      <c r="AD159" s="29"/>
      <c r="AE159" s="29"/>
      <c r="AF159" s="29" t="s">
        <v>2894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662</v>
      </c>
      <c r="C160" s="133">
        <v>1392</v>
      </c>
      <c r="D160" s="38" t="s">
        <v>660</v>
      </c>
      <c r="E160" s="40" t="s">
        <v>2929</v>
      </c>
      <c r="F160" s="40" t="s">
        <v>3307</v>
      </c>
      <c r="G160" s="41" t="s">
        <v>5604</v>
      </c>
      <c r="H160" s="150" t="s">
        <v>5606</v>
      </c>
      <c r="I160" s="41" t="s">
        <v>5609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575</v>
      </c>
      <c r="U160" s="2" t="s">
        <v>240</v>
      </c>
      <c r="V160" s="93" t="s">
        <v>2914</v>
      </c>
      <c r="W160" s="41">
        <v>109</v>
      </c>
      <c r="X160" s="40"/>
      <c r="Y160" s="40"/>
      <c r="Z160" s="40"/>
      <c r="AA160" s="40"/>
      <c r="AB160" s="40"/>
      <c r="AC160" s="40" t="s">
        <v>2894</v>
      </c>
      <c r="AD160" s="40"/>
      <c r="AE160" s="40"/>
      <c r="AF160" s="40" t="s">
        <v>2894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660</v>
      </c>
      <c r="E161" s="40" t="s">
        <v>2929</v>
      </c>
      <c r="F161" s="40" t="s">
        <v>3308</v>
      </c>
      <c r="G161" s="41" t="s">
        <v>5604</v>
      </c>
      <c r="H161" s="150" t="s">
        <v>5608</v>
      </c>
      <c r="I161" s="41" t="s">
        <v>5609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575</v>
      </c>
      <c r="U161" s="2" t="str">
        <f>U160</f>
        <v>監測</v>
      </c>
      <c r="V161" s="93" t="s">
        <v>2914</v>
      </c>
      <c r="W161" s="41">
        <v>109</v>
      </c>
      <c r="X161" s="40"/>
      <c r="Y161" s="40"/>
      <c r="Z161" s="40"/>
      <c r="AA161" s="40"/>
      <c r="AB161" s="40"/>
      <c r="AC161" s="40" t="s">
        <v>2894</v>
      </c>
      <c r="AD161" s="40"/>
      <c r="AE161" s="40"/>
      <c r="AF161" s="40" t="s">
        <v>2894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660</v>
      </c>
      <c r="E162" s="58" t="s">
        <v>2929</v>
      </c>
      <c r="F162" s="58" t="s">
        <v>3309</v>
      </c>
      <c r="G162" s="60" t="s">
        <v>5604</v>
      </c>
      <c r="H162" s="226" t="s">
        <v>5608</v>
      </c>
      <c r="I162" s="60" t="s">
        <v>5609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575</v>
      </c>
      <c r="U162" s="59" t="str">
        <f>U160</f>
        <v>監測</v>
      </c>
      <c r="V162" s="108" t="s">
        <v>2914</v>
      </c>
      <c r="W162" s="60">
        <v>109</v>
      </c>
      <c r="X162" s="58"/>
      <c r="Y162" s="58"/>
      <c r="Z162" s="58"/>
      <c r="AA162" s="58"/>
      <c r="AB162" s="58"/>
      <c r="AC162" s="58" t="s">
        <v>2894</v>
      </c>
      <c r="AD162" s="58"/>
      <c r="AE162" s="58"/>
      <c r="AF162" s="58" t="s">
        <v>2894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2938</v>
      </c>
      <c r="C163" s="29">
        <v>859</v>
      </c>
      <c r="D163" s="27" t="s">
        <v>689</v>
      </c>
      <c r="E163" s="29" t="s">
        <v>2929</v>
      </c>
      <c r="F163" s="29" t="s">
        <v>3310</v>
      </c>
      <c r="G163" s="31" t="s">
        <v>5604</v>
      </c>
      <c r="H163" s="145" t="s">
        <v>5606</v>
      </c>
      <c r="I163" s="31" t="s">
        <v>5609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575</v>
      </c>
      <c r="U163" s="30" t="s">
        <v>240</v>
      </c>
      <c r="V163" s="141" t="s">
        <v>575</v>
      </c>
      <c r="W163" s="28">
        <v>114</v>
      </c>
      <c r="X163" s="29"/>
      <c r="Y163" s="29"/>
      <c r="Z163" s="29"/>
      <c r="AA163" s="29"/>
      <c r="AB163" s="29"/>
      <c r="AC163" s="29" t="s">
        <v>2939</v>
      </c>
      <c r="AD163" s="29"/>
      <c r="AE163" s="29"/>
      <c r="AF163" s="29" t="s">
        <v>2939</v>
      </c>
      <c r="AG163" s="29"/>
      <c r="AH163" s="29"/>
      <c r="AI163" s="29"/>
      <c r="AJ163" s="31"/>
      <c r="AK163" s="139" t="s">
        <v>303</v>
      </c>
      <c r="AL163" s="96"/>
      <c r="AM163" s="26">
        <v>114</v>
      </c>
    </row>
    <row r="164" spans="1:39" x14ac:dyDescent="0.3">
      <c r="A164" s="15">
        <v>163</v>
      </c>
      <c r="B164" s="40" t="s">
        <v>2940</v>
      </c>
      <c r="C164" s="40">
        <v>925</v>
      </c>
      <c r="D164" s="38" t="s">
        <v>689</v>
      </c>
      <c r="E164" s="40" t="s">
        <v>2929</v>
      </c>
      <c r="F164" s="40" t="s">
        <v>3311</v>
      </c>
      <c r="G164" s="41" t="s">
        <v>5604</v>
      </c>
      <c r="H164" s="150" t="s">
        <v>5606</v>
      </c>
      <c r="I164" s="41" t="s">
        <v>5609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575</v>
      </c>
      <c r="U164" s="2" t="s">
        <v>240</v>
      </c>
      <c r="V164" s="79" t="s">
        <v>575</v>
      </c>
      <c r="W164" s="39">
        <v>114</v>
      </c>
      <c r="X164" s="40"/>
      <c r="Y164" s="40"/>
      <c r="Z164" s="40"/>
      <c r="AA164" s="40"/>
      <c r="AB164" s="40"/>
      <c r="AC164" s="40" t="s">
        <v>2939</v>
      </c>
      <c r="AD164" s="40"/>
      <c r="AE164" s="40"/>
      <c r="AF164" s="40" t="s">
        <v>2939</v>
      </c>
      <c r="AG164" s="40"/>
      <c r="AH164" s="40"/>
      <c r="AI164" s="40"/>
      <c r="AJ164" s="41"/>
      <c r="AK164" s="136" t="s">
        <v>303</v>
      </c>
      <c r="AL164" s="49"/>
      <c r="AM164" s="37">
        <v>114</v>
      </c>
    </row>
    <row r="165" spans="1:39" x14ac:dyDescent="0.3">
      <c r="A165" s="15">
        <v>164</v>
      </c>
      <c r="B165" s="40" t="s">
        <v>2941</v>
      </c>
      <c r="C165" s="40">
        <v>926</v>
      </c>
      <c r="D165" s="38" t="s">
        <v>689</v>
      </c>
      <c r="E165" s="40" t="s">
        <v>2929</v>
      </c>
      <c r="F165" s="40" t="s">
        <v>3312</v>
      </c>
      <c r="G165" s="41" t="s">
        <v>5604</v>
      </c>
      <c r="H165" s="150" t="s">
        <v>5606</v>
      </c>
      <c r="I165" s="41" t="s">
        <v>5609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97</v>
      </c>
      <c r="Q165" s="43">
        <v>39</v>
      </c>
      <c r="R165" s="43">
        <v>312</v>
      </c>
      <c r="S165" s="43">
        <v>107</v>
      </c>
      <c r="T165" s="2" t="s">
        <v>575</v>
      </c>
      <c r="U165" s="2" t="s">
        <v>240</v>
      </c>
      <c r="V165" s="79" t="s">
        <v>575</v>
      </c>
      <c r="W165" s="39">
        <v>114</v>
      </c>
      <c r="X165" s="40"/>
      <c r="Y165" s="40"/>
      <c r="Z165" s="40"/>
      <c r="AA165" s="40"/>
      <c r="AB165" s="40"/>
      <c r="AC165" s="40" t="s">
        <v>2939</v>
      </c>
      <c r="AD165" s="40"/>
      <c r="AE165" s="40"/>
      <c r="AF165" s="40" t="s">
        <v>2939</v>
      </c>
      <c r="AG165" s="40"/>
      <c r="AH165" s="40"/>
      <c r="AI165" s="40"/>
      <c r="AJ165" s="41"/>
      <c r="AK165" s="136" t="s">
        <v>303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689</v>
      </c>
      <c r="E166" s="83" t="s">
        <v>2929</v>
      </c>
      <c r="F166" s="83" t="s">
        <v>3313</v>
      </c>
      <c r="G166" s="47" t="s">
        <v>5604</v>
      </c>
      <c r="H166" s="340" t="s">
        <v>5608</v>
      </c>
      <c r="I166" s="47" t="s">
        <v>5609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2907</v>
      </c>
      <c r="U166" s="85" t="str">
        <f>U164</f>
        <v>監測</v>
      </c>
      <c r="V166" s="112" t="s">
        <v>575</v>
      </c>
      <c r="W166" s="86">
        <v>109</v>
      </c>
      <c r="X166" s="83"/>
      <c r="Y166" s="83"/>
      <c r="Z166" s="83"/>
      <c r="AA166" s="83"/>
      <c r="AB166" s="83"/>
      <c r="AC166" s="83" t="s">
        <v>2939</v>
      </c>
      <c r="AD166" s="83"/>
      <c r="AE166" s="83"/>
      <c r="AF166" s="83" t="s">
        <v>2939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730</v>
      </c>
      <c r="C167" s="29">
        <v>2142</v>
      </c>
      <c r="D167" s="27" t="s">
        <v>729</v>
      </c>
      <c r="E167" s="29" t="s">
        <v>2915</v>
      </c>
      <c r="F167" s="29" t="s">
        <v>3314</v>
      </c>
      <c r="G167" s="31" t="s">
        <v>5604</v>
      </c>
      <c r="H167" s="145" t="s">
        <v>5606</v>
      </c>
      <c r="I167" s="31" t="s">
        <v>5609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331</v>
      </c>
      <c r="Q167" s="33">
        <v>25.1</v>
      </c>
      <c r="R167" s="33">
        <v>283</v>
      </c>
      <c r="S167" s="33">
        <v>88.5</v>
      </c>
      <c r="T167" s="30" t="s">
        <v>2907</v>
      </c>
      <c r="U167" s="30" t="s">
        <v>8</v>
      </c>
      <c r="V167" s="28" t="s">
        <v>2942</v>
      </c>
      <c r="W167" s="28">
        <v>110</v>
      </c>
      <c r="X167" s="29"/>
      <c r="Y167" s="102"/>
      <c r="Z167" s="29"/>
      <c r="AA167" s="29" t="s">
        <v>2939</v>
      </c>
      <c r="AB167" s="29"/>
      <c r="AC167" s="29"/>
      <c r="AD167" s="29"/>
      <c r="AE167" s="29"/>
      <c r="AF167" s="29" t="s">
        <v>2939</v>
      </c>
      <c r="AG167" s="29" t="s">
        <v>2939</v>
      </c>
      <c r="AH167" s="29"/>
      <c r="AI167" s="29" t="s">
        <v>2939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733</v>
      </c>
      <c r="C168" s="40">
        <v>2169</v>
      </c>
      <c r="D168" s="38" t="s">
        <v>729</v>
      </c>
      <c r="E168" s="40" t="s">
        <v>2915</v>
      </c>
      <c r="F168" s="40" t="s">
        <v>3315</v>
      </c>
      <c r="G168" s="41" t="s">
        <v>5604</v>
      </c>
      <c r="H168" s="150" t="s">
        <v>5606</v>
      </c>
      <c r="I168" s="41" t="s">
        <v>5609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2907</v>
      </c>
      <c r="U168" s="2" t="s">
        <v>8</v>
      </c>
      <c r="V168" s="39" t="s">
        <v>2942</v>
      </c>
      <c r="W168" s="39">
        <v>190</v>
      </c>
      <c r="X168" s="40"/>
      <c r="Y168" s="40"/>
      <c r="Z168" s="40"/>
      <c r="AA168" s="40" t="s">
        <v>2939</v>
      </c>
      <c r="AB168" s="40"/>
      <c r="AC168" s="40"/>
      <c r="AD168" s="40"/>
      <c r="AE168" s="40"/>
      <c r="AF168" s="40" t="s">
        <v>2939</v>
      </c>
      <c r="AG168" s="40"/>
      <c r="AH168" s="40"/>
      <c r="AI168" s="40" t="s">
        <v>2939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734</v>
      </c>
      <c r="C169" s="142">
        <v>2322</v>
      </c>
      <c r="D169" s="38" t="s">
        <v>729</v>
      </c>
      <c r="E169" s="40" t="s">
        <v>2915</v>
      </c>
      <c r="F169" s="40" t="s">
        <v>3316</v>
      </c>
      <c r="G169" s="50"/>
      <c r="H169" s="150" t="s">
        <v>5607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331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2942</v>
      </c>
      <c r="W169" s="39">
        <v>106</v>
      </c>
      <c r="X169" s="40"/>
      <c r="Y169" s="106"/>
      <c r="Z169" s="40"/>
      <c r="AA169" s="40" t="s">
        <v>2943</v>
      </c>
      <c r="AB169" s="40"/>
      <c r="AC169" s="40" t="s">
        <v>2939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735</v>
      </c>
      <c r="C170" s="83">
        <v>2323</v>
      </c>
      <c r="D170" s="113" t="s">
        <v>729</v>
      </c>
      <c r="E170" s="83" t="s">
        <v>2915</v>
      </c>
      <c r="F170" s="83" t="s">
        <v>3317</v>
      </c>
      <c r="G170" s="47" t="s">
        <v>5604</v>
      </c>
      <c r="H170" s="340" t="s">
        <v>5606</v>
      </c>
      <c r="I170" s="47" t="s">
        <v>5609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331</v>
      </c>
      <c r="Q170" s="88">
        <v>29.4</v>
      </c>
      <c r="R170" s="88">
        <v>216</v>
      </c>
      <c r="S170" s="88">
        <v>141</v>
      </c>
      <c r="T170" s="85" t="s">
        <v>2907</v>
      </c>
      <c r="U170" s="85" t="s">
        <v>3</v>
      </c>
      <c r="V170" s="86" t="s">
        <v>2942</v>
      </c>
      <c r="W170" s="86">
        <v>109</v>
      </c>
      <c r="X170" s="83"/>
      <c r="Y170" s="137"/>
      <c r="Z170" s="83"/>
      <c r="AA170" s="83" t="s">
        <v>2939</v>
      </c>
      <c r="AB170" s="83"/>
      <c r="AC170" s="83"/>
      <c r="AD170" s="83"/>
      <c r="AE170" s="83"/>
      <c r="AF170" s="83" t="s">
        <v>2898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2944</v>
      </c>
      <c r="C171" s="29">
        <v>857</v>
      </c>
      <c r="D171" s="27" t="s">
        <v>780</v>
      </c>
      <c r="E171" s="29" t="s">
        <v>2929</v>
      </c>
      <c r="F171" s="29" t="s">
        <v>3318</v>
      </c>
      <c r="G171" s="31" t="s">
        <v>5604</v>
      </c>
      <c r="H171" s="145" t="s">
        <v>5606</v>
      </c>
      <c r="I171" s="31" t="s">
        <v>5609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306</v>
      </c>
      <c r="U171" s="30" t="s">
        <v>306</v>
      </c>
      <c r="V171" s="141" t="s">
        <v>575</v>
      </c>
      <c r="W171" s="28">
        <v>114</v>
      </c>
      <c r="X171" s="29"/>
      <c r="Y171" s="29"/>
      <c r="Z171" s="29"/>
      <c r="AA171" s="29"/>
      <c r="AB171" s="29"/>
      <c r="AC171" s="29" t="s">
        <v>2939</v>
      </c>
      <c r="AD171" s="29"/>
      <c r="AE171" s="29"/>
      <c r="AF171" s="29" t="s">
        <v>2939</v>
      </c>
      <c r="AG171" s="29"/>
      <c r="AH171" s="29"/>
      <c r="AI171" s="29"/>
      <c r="AJ171" s="31"/>
      <c r="AK171" s="139" t="s">
        <v>306</v>
      </c>
      <c r="AL171" s="96"/>
      <c r="AM171" s="26">
        <v>114</v>
      </c>
    </row>
    <row r="172" spans="1:39" x14ac:dyDescent="0.3">
      <c r="A172" s="15">
        <v>171</v>
      </c>
      <c r="B172" s="40" t="s">
        <v>781</v>
      </c>
      <c r="C172" s="40">
        <v>858</v>
      </c>
      <c r="D172" s="38" t="s">
        <v>780</v>
      </c>
      <c r="E172" s="40" t="s">
        <v>2929</v>
      </c>
      <c r="F172" s="40" t="s">
        <v>3319</v>
      </c>
      <c r="G172" s="41" t="s">
        <v>5604</v>
      </c>
      <c r="H172" s="150" t="s">
        <v>5606</v>
      </c>
      <c r="I172" s="41" t="s">
        <v>5609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306</v>
      </c>
      <c r="U172" s="2" t="s">
        <v>306</v>
      </c>
      <c r="V172" s="79" t="s">
        <v>575</v>
      </c>
      <c r="W172" s="39">
        <v>109</v>
      </c>
      <c r="X172" s="40"/>
      <c r="Y172" s="40"/>
      <c r="Z172" s="40"/>
      <c r="AA172" s="40"/>
      <c r="AB172" s="40"/>
      <c r="AC172" s="40" t="s">
        <v>2939</v>
      </c>
      <c r="AD172" s="40"/>
      <c r="AE172" s="40"/>
      <c r="AF172" s="40" t="s">
        <v>2898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2945</v>
      </c>
      <c r="C173" s="40">
        <v>860</v>
      </c>
      <c r="D173" s="38" t="s">
        <v>780</v>
      </c>
      <c r="E173" s="40" t="s">
        <v>2929</v>
      </c>
      <c r="F173" s="40" t="s">
        <v>3320</v>
      </c>
      <c r="G173" s="41" t="s">
        <v>5604</v>
      </c>
      <c r="H173" s="150" t="s">
        <v>5606</v>
      </c>
      <c r="I173" s="41" t="s">
        <v>5609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575</v>
      </c>
      <c r="U173" s="2" t="s">
        <v>8</v>
      </c>
      <c r="V173" s="79" t="s">
        <v>575</v>
      </c>
      <c r="W173" s="39">
        <v>114</v>
      </c>
      <c r="X173" s="40"/>
      <c r="Y173" s="40"/>
      <c r="Z173" s="40"/>
      <c r="AA173" s="40"/>
      <c r="AB173" s="40"/>
      <c r="AC173" s="40" t="s">
        <v>2939</v>
      </c>
      <c r="AD173" s="40"/>
      <c r="AE173" s="40"/>
      <c r="AF173" s="40" t="s">
        <v>2939</v>
      </c>
      <c r="AG173" s="40"/>
      <c r="AH173" s="40"/>
      <c r="AI173" s="40"/>
      <c r="AJ173" s="41"/>
      <c r="AK173" s="136" t="s">
        <v>303</v>
      </c>
      <c r="AL173" s="49"/>
      <c r="AM173" s="37">
        <v>114</v>
      </c>
    </row>
    <row r="174" spans="1:39" x14ac:dyDescent="0.3">
      <c r="A174" s="15">
        <v>173</v>
      </c>
      <c r="B174" s="40" t="s">
        <v>2946</v>
      </c>
      <c r="C174" s="40">
        <v>861</v>
      </c>
      <c r="D174" s="38" t="s">
        <v>780</v>
      </c>
      <c r="E174" s="40" t="s">
        <v>2929</v>
      </c>
      <c r="F174" s="40" t="s">
        <v>3321</v>
      </c>
      <c r="G174" s="50"/>
      <c r="H174" s="150" t="s">
        <v>5607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306</v>
      </c>
      <c r="U174" s="2" t="s">
        <v>306</v>
      </c>
      <c r="V174" s="79" t="s">
        <v>575</v>
      </c>
      <c r="W174" s="39">
        <v>114</v>
      </c>
      <c r="X174" s="40"/>
      <c r="Y174" s="40"/>
      <c r="Z174" s="40"/>
      <c r="AA174" s="40"/>
      <c r="AB174" s="40"/>
      <c r="AC174" s="40" t="s">
        <v>2939</v>
      </c>
      <c r="AD174" s="40"/>
      <c r="AE174" s="40"/>
      <c r="AF174" s="40"/>
      <c r="AG174" s="40"/>
      <c r="AH174" s="40"/>
      <c r="AI174" s="40"/>
      <c r="AJ174" s="41"/>
      <c r="AK174" s="136" t="s">
        <v>306</v>
      </c>
      <c r="AL174" s="49"/>
      <c r="AM174" s="37">
        <v>114</v>
      </c>
    </row>
    <row r="175" spans="1:39" x14ac:dyDescent="0.3">
      <c r="A175" s="15">
        <v>174</v>
      </c>
      <c r="B175" s="40" t="s">
        <v>782</v>
      </c>
      <c r="C175" s="40">
        <v>869</v>
      </c>
      <c r="D175" s="38" t="s">
        <v>780</v>
      </c>
      <c r="E175" s="40" t="s">
        <v>2929</v>
      </c>
      <c r="F175" s="40" t="s">
        <v>3322</v>
      </c>
      <c r="G175" s="50"/>
      <c r="H175" s="150" t="s">
        <v>5607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575</v>
      </c>
      <c r="W175" s="39">
        <v>106</v>
      </c>
      <c r="X175" s="40"/>
      <c r="Y175" s="40"/>
      <c r="Z175" s="40"/>
      <c r="AA175" s="40"/>
      <c r="AB175" s="40"/>
      <c r="AC175" s="40" t="s">
        <v>2939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783</v>
      </c>
      <c r="C176" s="40">
        <v>870</v>
      </c>
      <c r="D176" s="38" t="s">
        <v>780</v>
      </c>
      <c r="E176" s="40" t="s">
        <v>2929</v>
      </c>
      <c r="F176" s="40" t="s">
        <v>3323</v>
      </c>
      <c r="G176" s="50"/>
      <c r="H176" s="150" t="s">
        <v>5607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575</v>
      </c>
      <c r="W176" s="39">
        <v>106</v>
      </c>
      <c r="X176" s="40"/>
      <c r="Y176" s="40"/>
      <c r="Z176" s="40"/>
      <c r="AA176" s="40"/>
      <c r="AB176" s="40"/>
      <c r="AC176" s="40" t="s">
        <v>2939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780</v>
      </c>
      <c r="E177" s="83" t="s">
        <v>2929</v>
      </c>
      <c r="F177" s="83" t="s">
        <v>3324</v>
      </c>
      <c r="G177" s="138"/>
      <c r="H177" s="340" t="s">
        <v>5607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575</v>
      </c>
      <c r="W177" s="86">
        <v>106</v>
      </c>
      <c r="X177" s="83"/>
      <c r="Y177" s="83"/>
      <c r="Z177" s="83"/>
      <c r="AA177" s="83"/>
      <c r="AB177" s="83"/>
      <c r="AC177" s="83" t="s">
        <v>2939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2947</v>
      </c>
      <c r="C178" s="29">
        <v>874</v>
      </c>
      <c r="D178" s="27" t="s">
        <v>784</v>
      </c>
      <c r="E178" s="29" t="s">
        <v>2929</v>
      </c>
      <c r="F178" s="29" t="s">
        <v>3325</v>
      </c>
      <c r="G178" s="31" t="s">
        <v>5604</v>
      </c>
      <c r="H178" s="145" t="s">
        <v>5606</v>
      </c>
      <c r="I178" s="31" t="s">
        <v>5609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575</v>
      </c>
      <c r="U178" s="30" t="s">
        <v>8</v>
      </c>
      <c r="V178" s="141" t="s">
        <v>575</v>
      </c>
      <c r="W178" s="28">
        <v>114</v>
      </c>
      <c r="X178" s="29"/>
      <c r="Y178" s="29"/>
      <c r="Z178" s="29"/>
      <c r="AA178" s="29"/>
      <c r="AB178" s="29"/>
      <c r="AC178" s="29" t="s">
        <v>2939</v>
      </c>
      <c r="AD178" s="29"/>
      <c r="AE178" s="29"/>
      <c r="AF178" s="29" t="s">
        <v>2939</v>
      </c>
      <c r="AG178" s="29"/>
      <c r="AH178" s="29"/>
      <c r="AI178" s="29"/>
      <c r="AJ178" s="31"/>
      <c r="AK178" s="139" t="s">
        <v>303</v>
      </c>
      <c r="AL178" s="96"/>
      <c r="AM178" s="26">
        <v>114</v>
      </c>
    </row>
    <row r="179" spans="1:48" x14ac:dyDescent="0.3">
      <c r="A179" s="15">
        <v>178</v>
      </c>
      <c r="B179" s="40" t="s">
        <v>785</v>
      </c>
      <c r="C179" s="40">
        <v>875</v>
      </c>
      <c r="D179" s="38" t="s">
        <v>784</v>
      </c>
      <c r="E179" s="40" t="s">
        <v>2929</v>
      </c>
      <c r="F179" s="40" t="s">
        <v>3326</v>
      </c>
      <c r="G179" s="50"/>
      <c r="H179" s="150" t="s">
        <v>5607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575</v>
      </c>
      <c r="W179" s="39">
        <v>106</v>
      </c>
      <c r="X179" s="40"/>
      <c r="Y179" s="40"/>
      <c r="Z179" s="40"/>
      <c r="AA179" s="40"/>
      <c r="AB179" s="40"/>
      <c r="AC179" s="40" t="s">
        <v>2939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786</v>
      </c>
      <c r="C180" s="40">
        <v>887</v>
      </c>
      <c r="D180" s="38" t="s">
        <v>784</v>
      </c>
      <c r="E180" s="40" t="s">
        <v>2929</v>
      </c>
      <c r="F180" s="40" t="s">
        <v>3327</v>
      </c>
      <c r="G180" s="50"/>
      <c r="H180" s="150" t="s">
        <v>5608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575</v>
      </c>
      <c r="W180" s="39">
        <v>106</v>
      </c>
      <c r="X180" s="40"/>
      <c r="Y180" s="40"/>
      <c r="Z180" s="40"/>
      <c r="AA180" s="40"/>
      <c r="AB180" s="40"/>
      <c r="AC180" s="40" t="s">
        <v>2939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787</v>
      </c>
      <c r="C181" s="40">
        <v>890</v>
      </c>
      <c r="D181" s="38" t="s">
        <v>784</v>
      </c>
      <c r="E181" s="40" t="s">
        <v>2929</v>
      </c>
      <c r="F181" s="40" t="s">
        <v>3328</v>
      </c>
      <c r="G181" s="50"/>
      <c r="H181" s="150" t="s">
        <v>5607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575</v>
      </c>
      <c r="W181" s="39">
        <v>106</v>
      </c>
      <c r="X181" s="40"/>
      <c r="Y181" s="40"/>
      <c r="Z181" s="40"/>
      <c r="AA181" s="40"/>
      <c r="AB181" s="40"/>
      <c r="AC181" s="40" t="s">
        <v>2939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788</v>
      </c>
      <c r="C182" s="40">
        <v>891</v>
      </c>
      <c r="D182" s="38" t="s">
        <v>784</v>
      </c>
      <c r="E182" s="40" t="s">
        <v>2929</v>
      </c>
      <c r="F182" s="40" t="s">
        <v>3329</v>
      </c>
      <c r="G182" s="50"/>
      <c r="H182" s="150" t="s">
        <v>5607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575</v>
      </c>
      <c r="W182" s="39">
        <v>106</v>
      </c>
      <c r="X182" s="40"/>
      <c r="Y182" s="40"/>
      <c r="Z182" s="40"/>
      <c r="AA182" s="40"/>
      <c r="AB182" s="40"/>
      <c r="AC182" s="40" t="s">
        <v>2939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789</v>
      </c>
      <c r="C183" s="40">
        <v>893</v>
      </c>
      <c r="D183" s="38" t="s">
        <v>784</v>
      </c>
      <c r="E183" s="40" t="s">
        <v>2929</v>
      </c>
      <c r="F183" s="40" t="s">
        <v>3330</v>
      </c>
      <c r="G183" s="50"/>
      <c r="H183" s="150" t="s">
        <v>5607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575</v>
      </c>
      <c r="W183" s="39">
        <v>106</v>
      </c>
      <c r="X183" s="40"/>
      <c r="Y183" s="40"/>
      <c r="Z183" s="40"/>
      <c r="AA183" s="40"/>
      <c r="AB183" s="40"/>
      <c r="AC183" s="40" t="s">
        <v>2939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790</v>
      </c>
      <c r="C184" s="40">
        <v>894</v>
      </c>
      <c r="D184" s="38" t="s">
        <v>784</v>
      </c>
      <c r="E184" s="40" t="s">
        <v>2929</v>
      </c>
      <c r="F184" s="40" t="s">
        <v>3331</v>
      </c>
      <c r="G184" s="50"/>
      <c r="H184" s="150" t="s">
        <v>5607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575</v>
      </c>
      <c r="W184" s="39">
        <v>106</v>
      </c>
      <c r="X184" s="40"/>
      <c r="Y184" s="40"/>
      <c r="Z184" s="40"/>
      <c r="AA184" s="40"/>
      <c r="AB184" s="40"/>
      <c r="AC184" s="40" t="s">
        <v>2939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2948</v>
      </c>
      <c r="C185" s="40">
        <v>895</v>
      </c>
      <c r="D185" s="38" t="s">
        <v>784</v>
      </c>
      <c r="E185" s="40" t="s">
        <v>2929</v>
      </c>
      <c r="F185" s="40" t="s">
        <v>3332</v>
      </c>
      <c r="G185" s="41" t="s">
        <v>5604</v>
      </c>
      <c r="H185" s="150" t="s">
        <v>5606</v>
      </c>
      <c r="I185" s="41" t="s">
        <v>5609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306</v>
      </c>
      <c r="U185" s="2" t="s">
        <v>306</v>
      </c>
      <c r="V185" s="79" t="s">
        <v>575</v>
      </c>
      <c r="W185" s="39">
        <v>114</v>
      </c>
      <c r="X185" s="40"/>
      <c r="Y185" s="40"/>
      <c r="Z185" s="40"/>
      <c r="AA185" s="40"/>
      <c r="AB185" s="40"/>
      <c r="AC185" s="40" t="s">
        <v>2939</v>
      </c>
      <c r="AD185" s="40"/>
      <c r="AE185" s="40"/>
      <c r="AF185" s="40" t="s">
        <v>2898</v>
      </c>
      <c r="AG185" s="40"/>
      <c r="AH185" s="40"/>
      <c r="AI185" s="40"/>
      <c r="AJ185" s="41"/>
      <c r="AK185" s="136" t="s">
        <v>306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784</v>
      </c>
      <c r="E186" s="40" t="s">
        <v>2929</v>
      </c>
      <c r="F186" s="40" t="s">
        <v>3333</v>
      </c>
      <c r="G186" s="50"/>
      <c r="H186" s="150" t="s">
        <v>5607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575</v>
      </c>
      <c r="W186" s="39">
        <v>106</v>
      </c>
      <c r="X186" s="40"/>
      <c r="Y186" s="40"/>
      <c r="Z186" s="40"/>
      <c r="AA186" s="40"/>
      <c r="AB186" s="40"/>
      <c r="AC186" s="40" t="s">
        <v>2939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784</v>
      </c>
      <c r="E187" s="40" t="s">
        <v>2929</v>
      </c>
      <c r="F187" s="40" t="s">
        <v>3334</v>
      </c>
      <c r="G187" s="41" t="s">
        <v>5604</v>
      </c>
      <c r="H187" s="150" t="s">
        <v>5606</v>
      </c>
      <c r="I187" s="41" t="s">
        <v>5609</v>
      </c>
      <c r="J187" s="43">
        <v>195472</v>
      </c>
      <c r="K187" s="43">
        <v>2663299</v>
      </c>
      <c r="L187" s="43" t="s">
        <v>791</v>
      </c>
      <c r="M187" s="44">
        <v>10.9</v>
      </c>
      <c r="N187" s="43">
        <v>190</v>
      </c>
      <c r="O187" s="43">
        <v>90.9</v>
      </c>
      <c r="P187" s="43" t="s">
        <v>278</v>
      </c>
      <c r="Q187" s="43">
        <v>39.4</v>
      </c>
      <c r="R187" s="43">
        <v>402</v>
      </c>
      <c r="S187" s="43">
        <v>137</v>
      </c>
      <c r="T187" s="2" t="s">
        <v>306</v>
      </c>
      <c r="U187" s="2" t="s">
        <v>306</v>
      </c>
      <c r="V187" s="79" t="s">
        <v>575</v>
      </c>
      <c r="W187" s="39">
        <v>114</v>
      </c>
      <c r="X187" s="40"/>
      <c r="Y187" s="40"/>
      <c r="Z187" s="40"/>
      <c r="AA187" s="40"/>
      <c r="AB187" s="40"/>
      <c r="AC187" s="40" t="s">
        <v>2939</v>
      </c>
      <c r="AD187" s="40"/>
      <c r="AE187" s="40"/>
      <c r="AF187" s="40" t="s">
        <v>2939</v>
      </c>
      <c r="AG187" s="40"/>
      <c r="AH187" s="40"/>
      <c r="AI187" s="40"/>
      <c r="AJ187" s="41"/>
      <c r="AK187" s="136" t="s">
        <v>306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784</v>
      </c>
      <c r="E188" s="40" t="s">
        <v>2929</v>
      </c>
      <c r="F188" s="40" t="s">
        <v>3335</v>
      </c>
      <c r="G188" s="50"/>
      <c r="H188" s="150" t="s">
        <v>5608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575</v>
      </c>
      <c r="W188" s="39">
        <v>106</v>
      </c>
      <c r="X188" s="40"/>
      <c r="Y188" s="40"/>
      <c r="Z188" s="40"/>
      <c r="AA188" s="40"/>
      <c r="AB188" s="40"/>
      <c r="AC188" s="40" t="s">
        <v>2939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784</v>
      </c>
      <c r="E189" s="40" t="s">
        <v>2929</v>
      </c>
      <c r="F189" s="40" t="s">
        <v>3336</v>
      </c>
      <c r="G189" s="50"/>
      <c r="H189" s="150" t="s">
        <v>5608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575</v>
      </c>
      <c r="W189" s="39">
        <v>106</v>
      </c>
      <c r="X189" s="40"/>
      <c r="Y189" s="40"/>
      <c r="Z189" s="40"/>
      <c r="AA189" s="40"/>
      <c r="AB189" s="40"/>
      <c r="AC189" s="40" t="s">
        <v>2939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784</v>
      </c>
      <c r="E190" s="58" t="s">
        <v>2929</v>
      </c>
      <c r="F190" s="58" t="s">
        <v>3337</v>
      </c>
      <c r="G190" s="127"/>
      <c r="H190" s="226" t="s">
        <v>5608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575</v>
      </c>
      <c r="W190" s="57">
        <v>106</v>
      </c>
      <c r="X190" s="58"/>
      <c r="Y190" s="58"/>
      <c r="Z190" s="58"/>
      <c r="AA190" s="58"/>
      <c r="AB190" s="58"/>
      <c r="AC190" s="58" t="s">
        <v>2939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860</v>
      </c>
      <c r="C191" s="29">
        <v>2353</v>
      </c>
      <c r="D191" s="27" t="s">
        <v>2949</v>
      </c>
      <c r="E191" s="29" t="s">
        <v>2915</v>
      </c>
      <c r="F191" s="29" t="s">
        <v>3338</v>
      </c>
      <c r="G191" s="31" t="s">
        <v>5604</v>
      </c>
      <c r="H191" s="145" t="s">
        <v>5606</v>
      </c>
      <c r="I191" s="31" t="s">
        <v>5609</v>
      </c>
      <c r="J191" s="33">
        <v>200404.70499999999</v>
      </c>
      <c r="K191" s="33">
        <v>2663365.5260000001</v>
      </c>
      <c r="L191" s="146" t="s">
        <v>40</v>
      </c>
      <c r="M191" s="147">
        <v>6</v>
      </c>
      <c r="N191" s="147">
        <v>91</v>
      </c>
      <c r="O191" s="147">
        <v>100</v>
      </c>
      <c r="P191" s="148" t="s">
        <v>41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575</v>
      </c>
      <c r="W191" s="28">
        <v>113</v>
      </c>
      <c r="X191" s="29"/>
      <c r="Y191" s="29"/>
      <c r="Z191" s="29"/>
      <c r="AA191" s="29" t="s">
        <v>2939</v>
      </c>
      <c r="AB191" s="29"/>
      <c r="AC191" s="29"/>
      <c r="AD191" s="29" t="s">
        <v>2939</v>
      </c>
      <c r="AE191" s="29"/>
      <c r="AF191" s="29"/>
      <c r="AG191" s="29" t="s">
        <v>2939</v>
      </c>
      <c r="AH191" s="29"/>
      <c r="AI191" s="29"/>
      <c r="AJ191" s="29" t="s">
        <v>2939</v>
      </c>
      <c r="AK191" s="35"/>
      <c r="AL191" s="105" t="s">
        <v>2950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861</v>
      </c>
      <c r="C192" s="40">
        <v>2354</v>
      </c>
      <c r="D192" s="38" t="s">
        <v>859</v>
      </c>
      <c r="E192" s="40" t="s">
        <v>2915</v>
      </c>
      <c r="F192" s="40" t="s">
        <v>3339</v>
      </c>
      <c r="G192" s="41" t="s">
        <v>5604</v>
      </c>
      <c r="H192" s="150" t="s">
        <v>5608</v>
      </c>
      <c r="I192" s="41" t="s">
        <v>5609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708</v>
      </c>
      <c r="U192" s="2" t="s">
        <v>56</v>
      </c>
      <c r="V192" s="150" t="s">
        <v>575</v>
      </c>
      <c r="W192" s="39">
        <v>109</v>
      </c>
      <c r="X192" s="40"/>
      <c r="Y192" s="40"/>
      <c r="Z192" s="40"/>
      <c r="AA192" s="40" t="s">
        <v>2939</v>
      </c>
      <c r="AB192" s="40"/>
      <c r="AC192" s="40"/>
      <c r="AD192" s="40" t="s">
        <v>2939</v>
      </c>
      <c r="AE192" s="40"/>
      <c r="AF192" s="40" t="s">
        <v>2943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362</v>
      </c>
      <c r="C193" s="40">
        <v>693</v>
      </c>
      <c r="D193" s="40" t="s">
        <v>2951</v>
      </c>
      <c r="E193" s="40" t="s">
        <v>2893</v>
      </c>
      <c r="F193" s="40" t="s">
        <v>3340</v>
      </c>
      <c r="G193" s="41" t="s">
        <v>5604</v>
      </c>
      <c r="H193" s="150" t="s">
        <v>5606</v>
      </c>
      <c r="I193" s="41" t="s">
        <v>5609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575</v>
      </c>
      <c r="U193" s="2" t="s">
        <v>8</v>
      </c>
      <c r="V193" s="93" t="s">
        <v>2914</v>
      </c>
      <c r="W193" s="41">
        <v>113</v>
      </c>
      <c r="X193" s="40"/>
      <c r="Y193" s="40"/>
      <c r="Z193" s="40"/>
      <c r="AA193" s="40"/>
      <c r="AB193" s="40"/>
      <c r="AC193" s="40" t="s">
        <v>2894</v>
      </c>
      <c r="AD193" s="40"/>
      <c r="AE193" s="40" t="s">
        <v>2894</v>
      </c>
      <c r="AF193" s="40"/>
      <c r="AG193" s="40"/>
      <c r="AH193" s="40"/>
      <c r="AI193" s="40"/>
      <c r="AJ193" s="40" t="s">
        <v>2894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850</v>
      </c>
      <c r="C194" s="83">
        <v>2140</v>
      </c>
      <c r="D194" s="113" t="s">
        <v>844</v>
      </c>
      <c r="E194" s="83" t="s">
        <v>2915</v>
      </c>
      <c r="F194" s="83" t="s">
        <v>3341</v>
      </c>
      <c r="G194" s="47" t="s">
        <v>5604</v>
      </c>
      <c r="H194" s="340" t="s">
        <v>5606</v>
      </c>
      <c r="I194" s="47" t="s">
        <v>5609</v>
      </c>
      <c r="J194" s="88">
        <v>199896</v>
      </c>
      <c r="K194" s="88">
        <v>2663364</v>
      </c>
      <c r="L194" s="88" t="s">
        <v>40</v>
      </c>
      <c r="M194" s="89">
        <v>8</v>
      </c>
      <c r="N194" s="88">
        <v>69</v>
      </c>
      <c r="O194" s="88">
        <v>117</v>
      </c>
      <c r="P194" s="88" t="s">
        <v>41</v>
      </c>
      <c r="Q194" s="88">
        <v>35</v>
      </c>
      <c r="R194" s="88">
        <v>227</v>
      </c>
      <c r="S194" s="88">
        <v>155</v>
      </c>
      <c r="T194" s="69"/>
      <c r="U194" s="85" t="s">
        <v>303</v>
      </c>
      <c r="V194" s="451" t="s">
        <v>575</v>
      </c>
      <c r="W194" s="86">
        <v>113</v>
      </c>
      <c r="X194" s="155" t="s">
        <v>2939</v>
      </c>
      <c r="Y194" s="155" t="s">
        <v>2898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2894</v>
      </c>
      <c r="AK194" s="156"/>
      <c r="AL194" s="157" t="s">
        <v>2953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897</v>
      </c>
      <c r="C195" s="29">
        <v>704</v>
      </c>
      <c r="D195" s="27" t="s">
        <v>896</v>
      </c>
      <c r="E195" s="29" t="s">
        <v>2915</v>
      </c>
      <c r="F195" s="29" t="s">
        <v>3342</v>
      </c>
      <c r="G195" s="31" t="s">
        <v>5604</v>
      </c>
      <c r="H195" s="434" t="s">
        <v>5606</v>
      </c>
      <c r="I195" s="31" t="s">
        <v>5609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331</v>
      </c>
      <c r="Q195" s="33">
        <v>35.4</v>
      </c>
      <c r="R195" s="33">
        <v>280</v>
      </c>
      <c r="S195" s="33">
        <v>161</v>
      </c>
      <c r="T195" s="30" t="s">
        <v>2907</v>
      </c>
      <c r="U195" s="30" t="s">
        <v>8</v>
      </c>
      <c r="V195" s="17" t="s">
        <v>2954</v>
      </c>
      <c r="W195" s="28">
        <v>109</v>
      </c>
      <c r="X195" s="29"/>
      <c r="Y195" s="102"/>
      <c r="Z195" s="29"/>
      <c r="AA195" s="29" t="s">
        <v>2939</v>
      </c>
      <c r="AB195" s="29"/>
      <c r="AC195" s="29"/>
      <c r="AD195" s="29"/>
      <c r="AE195" s="29"/>
      <c r="AF195" s="29" t="s">
        <v>2939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898</v>
      </c>
      <c r="C196" s="40">
        <v>712</v>
      </c>
      <c r="D196" s="38" t="s">
        <v>896</v>
      </c>
      <c r="E196" s="40" t="s">
        <v>2915</v>
      </c>
      <c r="F196" s="40" t="s">
        <v>3343</v>
      </c>
      <c r="G196" s="50"/>
      <c r="H196" s="150" t="s">
        <v>5607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2954</v>
      </c>
      <c r="W196" s="39">
        <v>105</v>
      </c>
      <c r="X196" s="40"/>
      <c r="Y196" s="106"/>
      <c r="Z196" s="40"/>
      <c r="AA196" s="40"/>
      <c r="AB196" s="40" t="s">
        <v>2939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899</v>
      </c>
      <c r="C197" s="40">
        <v>741</v>
      </c>
      <c r="D197" s="38" t="s">
        <v>896</v>
      </c>
      <c r="E197" s="40" t="s">
        <v>2915</v>
      </c>
      <c r="F197" s="40" t="s">
        <v>3344</v>
      </c>
      <c r="G197" s="41" t="s">
        <v>5604</v>
      </c>
      <c r="H197" s="340" t="s">
        <v>5606</v>
      </c>
      <c r="I197" s="41" t="s">
        <v>5609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824</v>
      </c>
      <c r="Q197" s="43">
        <v>34.5</v>
      </c>
      <c r="R197" s="43">
        <v>106</v>
      </c>
      <c r="S197" s="43">
        <v>57.3</v>
      </c>
      <c r="T197" s="2" t="s">
        <v>2907</v>
      </c>
      <c r="U197" s="2" t="s">
        <v>8</v>
      </c>
      <c r="V197" s="113" t="s">
        <v>2954</v>
      </c>
      <c r="W197" s="39">
        <v>109</v>
      </c>
      <c r="X197" s="40"/>
      <c r="Y197" s="40"/>
      <c r="Z197" s="40"/>
      <c r="AA197" s="40" t="s">
        <v>2939</v>
      </c>
      <c r="AB197" s="40"/>
      <c r="AC197" s="40"/>
      <c r="AD197" s="40"/>
      <c r="AE197" s="40"/>
      <c r="AF197" s="40" t="s">
        <v>2939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900</v>
      </c>
      <c r="C198" s="40">
        <v>742</v>
      </c>
      <c r="D198" s="38" t="s">
        <v>896</v>
      </c>
      <c r="E198" s="40" t="s">
        <v>2915</v>
      </c>
      <c r="F198" s="40" t="s">
        <v>3345</v>
      </c>
      <c r="G198" s="41" t="s">
        <v>5604</v>
      </c>
      <c r="H198" s="340" t="s">
        <v>5606</v>
      </c>
      <c r="I198" s="41" t="s">
        <v>5609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824</v>
      </c>
      <c r="Q198" s="40">
        <v>19.600000000000001</v>
      </c>
      <c r="R198" s="40">
        <v>127</v>
      </c>
      <c r="S198" s="40">
        <v>49.3</v>
      </c>
      <c r="T198" s="2" t="s">
        <v>2907</v>
      </c>
      <c r="U198" s="2" t="s">
        <v>8</v>
      </c>
      <c r="V198" s="113" t="s">
        <v>2954</v>
      </c>
      <c r="W198" s="39">
        <v>109</v>
      </c>
      <c r="X198" s="40"/>
      <c r="Y198" s="40"/>
      <c r="Z198" s="40"/>
      <c r="AA198" s="40" t="s">
        <v>2939</v>
      </c>
      <c r="AB198" s="40"/>
      <c r="AC198" s="40"/>
      <c r="AD198" s="40" t="s">
        <v>2898</v>
      </c>
      <c r="AE198" s="40"/>
      <c r="AF198" s="40" t="s">
        <v>2939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901</v>
      </c>
      <c r="C199" s="40">
        <v>743</v>
      </c>
      <c r="D199" s="38" t="s">
        <v>896</v>
      </c>
      <c r="E199" s="40" t="s">
        <v>2915</v>
      </c>
      <c r="F199" s="40" t="s">
        <v>3346</v>
      </c>
      <c r="G199" s="41" t="s">
        <v>5604</v>
      </c>
      <c r="H199" s="150" t="s">
        <v>5607</v>
      </c>
      <c r="I199" s="41" t="s">
        <v>5609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575</v>
      </c>
      <c r="U199" s="2" t="s">
        <v>8</v>
      </c>
      <c r="V199" s="113" t="s">
        <v>2954</v>
      </c>
      <c r="W199" s="39">
        <v>109</v>
      </c>
      <c r="X199" s="40"/>
      <c r="Y199" s="40"/>
      <c r="Z199" s="40"/>
      <c r="AA199" s="40" t="s">
        <v>2939</v>
      </c>
      <c r="AB199" s="40"/>
      <c r="AC199" s="40"/>
      <c r="AD199" s="40"/>
      <c r="AE199" s="40"/>
      <c r="AF199" s="40" t="s">
        <v>2939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896</v>
      </c>
      <c r="E200" s="40" t="s">
        <v>2915</v>
      </c>
      <c r="F200" s="40" t="s">
        <v>3347</v>
      </c>
      <c r="G200" s="41" t="s">
        <v>5604</v>
      </c>
      <c r="H200" s="150" t="s">
        <v>5607</v>
      </c>
      <c r="I200" s="41" t="s">
        <v>5609</v>
      </c>
      <c r="J200" s="43">
        <v>201444</v>
      </c>
      <c r="K200" s="43">
        <v>2663515</v>
      </c>
      <c r="L200" s="43" t="s">
        <v>40</v>
      </c>
      <c r="M200" s="44">
        <v>10</v>
      </c>
      <c r="N200" s="43">
        <v>74</v>
      </c>
      <c r="O200" s="43">
        <v>82</v>
      </c>
      <c r="P200" s="43" t="s">
        <v>41</v>
      </c>
      <c r="Q200" s="43">
        <v>36</v>
      </c>
      <c r="R200" s="43">
        <v>145</v>
      </c>
      <c r="S200" s="43">
        <v>130</v>
      </c>
      <c r="T200" s="2" t="s">
        <v>575</v>
      </c>
      <c r="U200" s="2" t="s">
        <v>8</v>
      </c>
      <c r="V200" s="113" t="s">
        <v>2954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2939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896</v>
      </c>
      <c r="E201" s="58" t="s">
        <v>2915</v>
      </c>
      <c r="F201" s="58" t="s">
        <v>3348</v>
      </c>
      <c r="G201" s="60" t="s">
        <v>5604</v>
      </c>
      <c r="H201" s="226" t="s">
        <v>5608</v>
      </c>
      <c r="I201" s="60" t="s">
        <v>5609</v>
      </c>
      <c r="J201" s="62">
        <v>201444</v>
      </c>
      <c r="K201" s="62">
        <v>2663515</v>
      </c>
      <c r="L201" s="62" t="s">
        <v>41</v>
      </c>
      <c r="M201" s="63">
        <v>10</v>
      </c>
      <c r="N201" s="62">
        <v>74</v>
      </c>
      <c r="O201" s="62">
        <v>82</v>
      </c>
      <c r="P201" s="62" t="s">
        <v>902</v>
      </c>
      <c r="Q201" s="62">
        <v>36</v>
      </c>
      <c r="R201" s="62">
        <v>145</v>
      </c>
      <c r="S201" s="62">
        <v>130</v>
      </c>
      <c r="T201" s="59" t="s">
        <v>575</v>
      </c>
      <c r="U201" s="59" t="str">
        <f>U200</f>
        <v>監測</v>
      </c>
      <c r="V201" s="56" t="s">
        <v>2954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2939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927</v>
      </c>
      <c r="C202" s="29">
        <v>847</v>
      </c>
      <c r="D202" s="27" t="s">
        <v>926</v>
      </c>
      <c r="E202" s="29" t="s">
        <v>2929</v>
      </c>
      <c r="F202" s="29" t="s">
        <v>3349</v>
      </c>
      <c r="G202" s="31" t="s">
        <v>5604</v>
      </c>
      <c r="H202" s="340" t="s">
        <v>5606</v>
      </c>
      <c r="I202" s="31" t="s">
        <v>5609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306</v>
      </c>
      <c r="U202" s="30" t="s">
        <v>3</v>
      </c>
      <c r="V202" s="28" t="s">
        <v>2942</v>
      </c>
      <c r="W202" s="28">
        <v>109</v>
      </c>
      <c r="X202" s="29"/>
      <c r="Y202" s="29"/>
      <c r="Z202" s="29"/>
      <c r="AA202" s="29"/>
      <c r="AB202" s="29"/>
      <c r="AC202" s="29" t="s">
        <v>2939</v>
      </c>
      <c r="AD202" s="29"/>
      <c r="AE202" s="29"/>
      <c r="AF202" s="29" t="s">
        <v>2898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928</v>
      </c>
      <c r="C203" s="40">
        <v>852</v>
      </c>
      <c r="D203" s="38" t="s">
        <v>926</v>
      </c>
      <c r="E203" s="40" t="s">
        <v>2929</v>
      </c>
      <c r="F203" s="40" t="s">
        <v>3350</v>
      </c>
      <c r="G203" s="41" t="s">
        <v>5604</v>
      </c>
      <c r="H203" s="340" t="s">
        <v>5606</v>
      </c>
      <c r="I203" s="41" t="s">
        <v>5609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172</v>
      </c>
      <c r="Q203" s="43">
        <v>33.200000000000003</v>
      </c>
      <c r="R203" s="43">
        <v>359</v>
      </c>
      <c r="S203" s="43">
        <v>73.3</v>
      </c>
      <c r="T203" s="2" t="s">
        <v>2907</v>
      </c>
      <c r="U203" s="2" t="s">
        <v>8</v>
      </c>
      <c r="V203" s="39" t="s">
        <v>2942</v>
      </c>
      <c r="W203" s="39">
        <v>109</v>
      </c>
      <c r="X203" s="40"/>
      <c r="Y203" s="40"/>
      <c r="Z203" s="40"/>
      <c r="AA203" s="40"/>
      <c r="AB203" s="40"/>
      <c r="AC203" s="40" t="s">
        <v>2939</v>
      </c>
      <c r="AD203" s="40"/>
      <c r="AE203" s="40"/>
      <c r="AF203" s="40" t="s">
        <v>2939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926</v>
      </c>
      <c r="E204" s="83" t="s">
        <v>2929</v>
      </c>
      <c r="F204" s="83" t="s">
        <v>3351</v>
      </c>
      <c r="G204" s="47" t="s">
        <v>5604</v>
      </c>
      <c r="H204" s="340" t="s">
        <v>5608</v>
      </c>
      <c r="I204" s="47" t="s">
        <v>5609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306</v>
      </c>
      <c r="U204" s="85" t="str">
        <f>U202</f>
        <v>正常</v>
      </c>
      <c r="V204" s="86" t="s">
        <v>2942</v>
      </c>
      <c r="W204" s="86">
        <v>109</v>
      </c>
      <c r="X204" s="83"/>
      <c r="Y204" s="83"/>
      <c r="Z204" s="83"/>
      <c r="AA204" s="83"/>
      <c r="AB204" s="83"/>
      <c r="AC204" s="83" t="s">
        <v>2939</v>
      </c>
      <c r="AD204" s="83"/>
      <c r="AE204" s="83"/>
      <c r="AF204" s="83" t="s">
        <v>2898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2955</v>
      </c>
      <c r="C205" s="29">
        <v>1307</v>
      </c>
      <c r="D205" s="27" t="s">
        <v>961</v>
      </c>
      <c r="E205" s="29" t="s">
        <v>2929</v>
      </c>
      <c r="F205" s="29" t="s">
        <v>3352</v>
      </c>
      <c r="G205" s="31" t="s">
        <v>5604</v>
      </c>
      <c r="H205" s="145" t="s">
        <v>5606</v>
      </c>
      <c r="I205" s="31" t="s">
        <v>5609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575</v>
      </c>
      <c r="U205" s="30" t="s">
        <v>8</v>
      </c>
      <c r="V205" s="141" t="s">
        <v>575</v>
      </c>
      <c r="W205" s="28">
        <v>114</v>
      </c>
      <c r="X205" s="29"/>
      <c r="Y205" s="29"/>
      <c r="Z205" s="29"/>
      <c r="AA205" s="29"/>
      <c r="AB205" s="29"/>
      <c r="AC205" s="29" t="s">
        <v>2939</v>
      </c>
      <c r="AD205" s="29"/>
      <c r="AE205" s="29" t="s">
        <v>2939</v>
      </c>
      <c r="AF205" s="29" t="s">
        <v>2939</v>
      </c>
      <c r="AG205" s="29"/>
      <c r="AH205" s="29"/>
      <c r="AI205" s="29"/>
      <c r="AJ205" s="27"/>
      <c r="AK205" s="172" t="s">
        <v>303</v>
      </c>
      <c r="AL205" s="105"/>
      <c r="AM205" s="26">
        <v>114</v>
      </c>
    </row>
    <row r="206" spans="1:56" x14ac:dyDescent="0.3">
      <c r="A206" s="15">
        <v>205</v>
      </c>
      <c r="B206" s="40" t="s">
        <v>2956</v>
      </c>
      <c r="C206" s="40">
        <v>1308</v>
      </c>
      <c r="D206" s="38" t="s">
        <v>961</v>
      </c>
      <c r="E206" s="40" t="s">
        <v>2929</v>
      </c>
      <c r="F206" s="40" t="s">
        <v>3353</v>
      </c>
      <c r="G206" s="41" t="s">
        <v>5604</v>
      </c>
      <c r="H206" s="150" t="s">
        <v>5606</v>
      </c>
      <c r="I206" s="41" t="s">
        <v>5609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575</v>
      </c>
      <c r="U206" s="2" t="s">
        <v>8</v>
      </c>
      <c r="V206" s="79" t="s">
        <v>575</v>
      </c>
      <c r="W206" s="39">
        <v>114</v>
      </c>
      <c r="X206" s="40"/>
      <c r="Y206" s="40"/>
      <c r="Z206" s="40"/>
      <c r="AA206" s="40"/>
      <c r="AB206" s="40"/>
      <c r="AC206" s="40" t="s">
        <v>2939</v>
      </c>
      <c r="AD206" s="40"/>
      <c r="AE206" s="40" t="s">
        <v>2939</v>
      </c>
      <c r="AF206" s="40" t="s">
        <v>2939</v>
      </c>
      <c r="AG206" s="40"/>
      <c r="AH206" s="40"/>
      <c r="AI206" s="40"/>
      <c r="AJ206" s="38"/>
      <c r="AK206" s="173" t="s">
        <v>303</v>
      </c>
      <c r="AL206" s="54"/>
      <c r="AM206" s="37">
        <v>114</v>
      </c>
    </row>
    <row r="207" spans="1:56" x14ac:dyDescent="0.3">
      <c r="A207" s="15">
        <v>206</v>
      </c>
      <c r="B207" s="40" t="s">
        <v>962</v>
      </c>
      <c r="C207" s="40">
        <v>1309</v>
      </c>
      <c r="D207" s="38" t="s">
        <v>961</v>
      </c>
      <c r="E207" s="40" t="s">
        <v>2929</v>
      </c>
      <c r="F207" s="40" t="s">
        <v>3354</v>
      </c>
      <c r="G207" s="41" t="s">
        <v>5604</v>
      </c>
      <c r="H207" s="150" t="s">
        <v>5608</v>
      </c>
      <c r="I207" s="41" t="s">
        <v>5609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2907</v>
      </c>
      <c r="U207" s="2" t="str">
        <f>U209</f>
        <v>監測</v>
      </c>
      <c r="V207" s="79" t="s">
        <v>575</v>
      </c>
      <c r="W207" s="39">
        <v>109</v>
      </c>
      <c r="X207" s="40"/>
      <c r="Y207" s="40"/>
      <c r="Z207" s="40"/>
      <c r="AA207" s="40"/>
      <c r="AB207" s="40"/>
      <c r="AC207" s="40" t="s">
        <v>2939</v>
      </c>
      <c r="AD207" s="40"/>
      <c r="AE207" s="40" t="s">
        <v>2939</v>
      </c>
      <c r="AF207" s="40" t="s">
        <v>2939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961</v>
      </c>
      <c r="E208" s="40" t="s">
        <v>2929</v>
      </c>
      <c r="F208" s="40" t="s">
        <v>3355</v>
      </c>
      <c r="G208" s="50"/>
      <c r="H208" s="150" t="s">
        <v>5607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575</v>
      </c>
      <c r="W208" s="39">
        <v>108</v>
      </c>
      <c r="X208" s="40"/>
      <c r="Y208" s="40"/>
      <c r="Z208" s="40"/>
      <c r="AA208" s="40"/>
      <c r="AB208" s="40"/>
      <c r="AC208" s="40" t="s">
        <v>2939</v>
      </c>
      <c r="AD208" s="40"/>
      <c r="AE208" s="40" t="s">
        <v>2939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961</v>
      </c>
      <c r="E209" s="83" t="s">
        <v>2929</v>
      </c>
      <c r="F209" s="83" t="s">
        <v>3356</v>
      </c>
      <c r="G209" s="47" t="s">
        <v>5604</v>
      </c>
      <c r="H209" s="340" t="s">
        <v>5606</v>
      </c>
      <c r="I209" s="47" t="s">
        <v>5609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575</v>
      </c>
      <c r="U209" s="85" t="s">
        <v>8</v>
      </c>
      <c r="V209" s="112" t="s">
        <v>575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2939</v>
      </c>
      <c r="AF209" s="83" t="s">
        <v>2939</v>
      </c>
      <c r="AG209" s="83"/>
      <c r="AH209" s="83"/>
      <c r="AI209" s="83"/>
      <c r="AJ209" s="113"/>
      <c r="AK209" s="174" t="s">
        <v>303</v>
      </c>
      <c r="AL209" s="157"/>
      <c r="AM209" s="82">
        <v>114</v>
      </c>
    </row>
    <row r="210" spans="1:41" x14ac:dyDescent="0.3">
      <c r="A210" s="15">
        <v>209</v>
      </c>
      <c r="B210" s="29" t="s">
        <v>1025</v>
      </c>
      <c r="C210" s="29">
        <v>2356</v>
      </c>
      <c r="D210" s="27" t="s">
        <v>1024</v>
      </c>
      <c r="E210" s="29" t="s">
        <v>2915</v>
      </c>
      <c r="F210" s="29" t="s">
        <v>3357</v>
      </c>
      <c r="G210" s="31" t="s">
        <v>5604</v>
      </c>
      <c r="H210" s="145" t="s">
        <v>5608</v>
      </c>
      <c r="I210" s="31" t="s">
        <v>5609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306</v>
      </c>
      <c r="U210" s="30" t="str">
        <f>U211</f>
        <v>正常</v>
      </c>
      <c r="V210" s="141" t="s">
        <v>1193</v>
      </c>
      <c r="W210" s="28">
        <v>114</v>
      </c>
      <c r="X210" s="29"/>
      <c r="Y210" s="29"/>
      <c r="Z210" s="29"/>
      <c r="AA210" s="29" t="s">
        <v>2939</v>
      </c>
      <c r="AB210" s="29"/>
      <c r="AC210" s="29"/>
      <c r="AD210" s="29"/>
      <c r="AE210" s="29"/>
      <c r="AF210" s="29" t="s">
        <v>2939</v>
      </c>
      <c r="AG210" s="29"/>
      <c r="AH210" s="29"/>
      <c r="AI210" s="29"/>
      <c r="AJ210" s="27"/>
      <c r="AK210" s="172" t="s">
        <v>306</v>
      </c>
      <c r="AL210" s="105" t="s">
        <v>2908</v>
      </c>
      <c r="AM210" s="26">
        <v>114</v>
      </c>
    </row>
    <row r="211" spans="1:41" ht="14.4" thickBot="1" x14ac:dyDescent="0.35">
      <c r="A211" s="15">
        <v>210</v>
      </c>
      <c r="B211" s="58" t="s">
        <v>2957</v>
      </c>
      <c r="C211" s="58">
        <v>2308</v>
      </c>
      <c r="D211" s="56" t="s">
        <v>1199</v>
      </c>
      <c r="E211" s="58" t="s">
        <v>2915</v>
      </c>
      <c r="F211" s="58" t="s">
        <v>3358</v>
      </c>
      <c r="G211" s="60" t="s">
        <v>5604</v>
      </c>
      <c r="H211" s="226" t="s">
        <v>5606</v>
      </c>
      <c r="I211" s="60" t="s">
        <v>5609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306</v>
      </c>
      <c r="U211" s="59" t="s">
        <v>306</v>
      </c>
      <c r="V211" s="143" t="s">
        <v>1193</v>
      </c>
      <c r="W211" s="57">
        <v>114</v>
      </c>
      <c r="X211" s="58"/>
      <c r="Y211" s="109"/>
      <c r="Z211" s="58"/>
      <c r="AA211" s="58" t="s">
        <v>2939</v>
      </c>
      <c r="AB211" s="58"/>
      <c r="AC211" s="58"/>
      <c r="AD211" s="58"/>
      <c r="AE211" s="58"/>
      <c r="AF211" s="58" t="s">
        <v>2939</v>
      </c>
      <c r="AG211" s="58"/>
      <c r="AH211" s="58"/>
      <c r="AI211" s="58"/>
      <c r="AJ211" s="56"/>
      <c r="AK211" s="176" t="s">
        <v>306</v>
      </c>
      <c r="AL211" s="110" t="s">
        <v>2908</v>
      </c>
      <c r="AM211" s="175">
        <v>114</v>
      </c>
    </row>
    <row r="212" spans="1:41" x14ac:dyDescent="0.3">
      <c r="A212" s="15">
        <v>211</v>
      </c>
      <c r="B212" s="75" t="s">
        <v>2958</v>
      </c>
      <c r="C212" s="75">
        <v>811</v>
      </c>
      <c r="D212" s="67" t="s">
        <v>1040</v>
      </c>
      <c r="E212" s="75" t="s">
        <v>2929</v>
      </c>
      <c r="F212" s="75" t="s">
        <v>3359</v>
      </c>
      <c r="G212" s="178"/>
      <c r="H212" s="414" t="s">
        <v>5606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306</v>
      </c>
      <c r="U212" s="69" t="s">
        <v>306</v>
      </c>
      <c r="V212" s="122" t="s">
        <v>1193</v>
      </c>
      <c r="W212" s="70">
        <v>114</v>
      </c>
      <c r="X212" s="75"/>
      <c r="Y212" s="75"/>
      <c r="Z212" s="75"/>
      <c r="AA212" s="75"/>
      <c r="AB212" s="75"/>
      <c r="AC212" s="75" t="s">
        <v>2939</v>
      </c>
      <c r="AD212" s="75"/>
      <c r="AE212" s="75"/>
      <c r="AF212" s="75"/>
      <c r="AG212" s="75"/>
      <c r="AH212" s="75"/>
      <c r="AI212" s="75" t="s">
        <v>2959</v>
      </c>
      <c r="AJ212" s="177"/>
      <c r="AK212" s="179" t="s">
        <v>306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2960</v>
      </c>
      <c r="C213" s="40">
        <v>812</v>
      </c>
      <c r="D213" s="38" t="s">
        <v>1040</v>
      </c>
      <c r="E213" s="40" t="s">
        <v>2929</v>
      </c>
      <c r="F213" s="40" t="s">
        <v>3360</v>
      </c>
      <c r="G213" s="41" t="s">
        <v>5604</v>
      </c>
      <c r="H213" s="150" t="s">
        <v>5607</v>
      </c>
      <c r="I213" s="41" t="s">
        <v>5609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306</v>
      </c>
      <c r="U213" s="2" t="s">
        <v>3</v>
      </c>
      <c r="V213" s="97" t="s">
        <v>1193</v>
      </c>
      <c r="W213" s="39">
        <v>114</v>
      </c>
      <c r="X213" s="40"/>
      <c r="Y213" s="40"/>
      <c r="Z213" s="40"/>
      <c r="AA213" s="40"/>
      <c r="AB213" s="40"/>
      <c r="AC213" s="40" t="s">
        <v>2939</v>
      </c>
      <c r="AD213" s="40"/>
      <c r="AE213" s="40"/>
      <c r="AF213" s="40" t="s">
        <v>2898</v>
      </c>
      <c r="AG213" s="40"/>
      <c r="AH213" s="40"/>
      <c r="AI213" s="40"/>
      <c r="AJ213" s="161"/>
      <c r="AK213" s="173" t="s">
        <v>306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1041</v>
      </c>
      <c r="C214" s="40">
        <v>833</v>
      </c>
      <c r="D214" s="38" t="s">
        <v>1040</v>
      </c>
      <c r="E214" s="40" t="s">
        <v>2929</v>
      </c>
      <c r="F214" s="40" t="s">
        <v>3361</v>
      </c>
      <c r="G214" s="50"/>
      <c r="H214" s="150" t="s">
        <v>5606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2907</v>
      </c>
      <c r="U214" s="2" t="s">
        <v>303</v>
      </c>
      <c r="V214" s="97" t="s">
        <v>1193</v>
      </c>
      <c r="W214" s="39">
        <v>112</v>
      </c>
      <c r="X214" s="40"/>
      <c r="Y214" s="40"/>
      <c r="Z214" s="40"/>
      <c r="AA214" s="40"/>
      <c r="AB214" s="40"/>
      <c r="AC214" s="40" t="s">
        <v>2939</v>
      </c>
      <c r="AD214" s="40"/>
      <c r="AE214" s="40"/>
      <c r="AF214" s="40"/>
      <c r="AG214" s="40"/>
      <c r="AH214" s="40"/>
      <c r="AI214" s="40" t="s">
        <v>2961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1042</v>
      </c>
      <c r="C215" s="40">
        <v>834</v>
      </c>
      <c r="D215" s="38" t="s">
        <v>1040</v>
      </c>
      <c r="E215" s="40" t="s">
        <v>2929</v>
      </c>
      <c r="F215" s="40" t="s">
        <v>3362</v>
      </c>
      <c r="G215" s="41" t="s">
        <v>5604</v>
      </c>
      <c r="H215" s="150" t="s">
        <v>5606</v>
      </c>
      <c r="I215" s="41" t="s">
        <v>5609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306</v>
      </c>
      <c r="U215" s="2" t="s">
        <v>3</v>
      </c>
      <c r="V215" s="97" t="s">
        <v>1193</v>
      </c>
      <c r="W215" s="39">
        <v>109</v>
      </c>
      <c r="X215" s="40"/>
      <c r="Y215" s="40"/>
      <c r="Z215" s="40"/>
      <c r="AA215" s="40"/>
      <c r="AB215" s="40"/>
      <c r="AC215" s="40" t="s">
        <v>2939</v>
      </c>
      <c r="AD215" s="40"/>
      <c r="AE215" s="40"/>
      <c r="AF215" s="40" t="s">
        <v>2898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1040</v>
      </c>
      <c r="E216" s="40" t="s">
        <v>2929</v>
      </c>
      <c r="F216" s="40" t="s">
        <v>3363</v>
      </c>
      <c r="G216" s="50"/>
      <c r="H216" s="150" t="s">
        <v>5608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306</v>
      </c>
      <c r="U216" s="2" t="str">
        <f>U214</f>
        <v>監測</v>
      </c>
      <c r="V216" s="97" t="s">
        <v>1193</v>
      </c>
      <c r="W216" s="39">
        <v>114</v>
      </c>
      <c r="X216" s="40"/>
      <c r="Y216" s="40"/>
      <c r="Z216" s="40"/>
      <c r="AA216" s="40"/>
      <c r="AB216" s="40"/>
      <c r="AC216" s="40" t="s">
        <v>2939</v>
      </c>
      <c r="AD216" s="40"/>
      <c r="AE216" s="40"/>
      <c r="AF216" s="40"/>
      <c r="AG216" s="40"/>
      <c r="AH216" s="40"/>
      <c r="AI216" s="40" t="s">
        <v>2961</v>
      </c>
      <c r="AJ216" s="161"/>
      <c r="AK216" s="173" t="s">
        <v>306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1040</v>
      </c>
      <c r="E217" s="83" t="s">
        <v>2929</v>
      </c>
      <c r="F217" s="83" t="s">
        <v>3364</v>
      </c>
      <c r="G217" s="138"/>
      <c r="H217" s="340" t="s">
        <v>5608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306</v>
      </c>
      <c r="U217" s="85" t="str">
        <f>U214</f>
        <v>監測</v>
      </c>
      <c r="V217" s="84" t="s">
        <v>1193</v>
      </c>
      <c r="W217" s="86">
        <v>114</v>
      </c>
      <c r="X217" s="83"/>
      <c r="Y217" s="83"/>
      <c r="Z217" s="83"/>
      <c r="AA217" s="83"/>
      <c r="AB217" s="83"/>
      <c r="AC217" s="83" t="s">
        <v>2939</v>
      </c>
      <c r="AD217" s="83"/>
      <c r="AE217" s="83"/>
      <c r="AF217" s="83"/>
      <c r="AG217" s="83"/>
      <c r="AH217" s="83"/>
      <c r="AI217" s="83" t="s">
        <v>2961</v>
      </c>
      <c r="AJ217" s="151"/>
      <c r="AK217" s="174" t="s">
        <v>306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1044</v>
      </c>
      <c r="C218" s="29">
        <v>787</v>
      </c>
      <c r="D218" s="27" t="s">
        <v>1043</v>
      </c>
      <c r="E218" s="29" t="s">
        <v>2929</v>
      </c>
      <c r="F218" s="29" t="s">
        <v>3365</v>
      </c>
      <c r="G218" s="31" t="s">
        <v>5604</v>
      </c>
      <c r="H218" s="145" t="s">
        <v>5607</v>
      </c>
      <c r="I218" s="31" t="s">
        <v>5609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575</v>
      </c>
      <c r="U218" s="30" t="s">
        <v>8</v>
      </c>
      <c r="V218" s="95" t="s">
        <v>575</v>
      </c>
      <c r="W218" s="28">
        <v>109</v>
      </c>
      <c r="X218" s="29"/>
      <c r="Y218" s="29"/>
      <c r="Z218" s="29"/>
      <c r="AA218" s="29"/>
      <c r="AB218" s="29"/>
      <c r="AC218" s="29" t="s">
        <v>2939</v>
      </c>
      <c r="AD218" s="29"/>
      <c r="AE218" s="29"/>
      <c r="AF218" s="29" t="s">
        <v>2939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1045</v>
      </c>
      <c r="C219" s="40">
        <v>788</v>
      </c>
      <c r="D219" s="38" t="s">
        <v>1043</v>
      </c>
      <c r="E219" s="40" t="s">
        <v>2929</v>
      </c>
      <c r="F219" s="40" t="s">
        <v>3366</v>
      </c>
      <c r="G219" s="50"/>
      <c r="H219" s="150" t="s">
        <v>5607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575</v>
      </c>
      <c r="W219" s="39">
        <v>106</v>
      </c>
      <c r="X219" s="40"/>
      <c r="Y219" s="40"/>
      <c r="Z219" s="40"/>
      <c r="AA219" s="40"/>
      <c r="AB219" s="40"/>
      <c r="AC219" s="40" t="s">
        <v>2939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1046</v>
      </c>
      <c r="C220" s="40">
        <v>798</v>
      </c>
      <c r="D220" s="38" t="s">
        <v>1043</v>
      </c>
      <c r="E220" s="40" t="s">
        <v>2929</v>
      </c>
      <c r="F220" s="40" t="s">
        <v>3367</v>
      </c>
      <c r="G220" s="50"/>
      <c r="H220" s="150" t="s">
        <v>5607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575</v>
      </c>
      <c r="W220" s="39">
        <v>106</v>
      </c>
      <c r="X220" s="40"/>
      <c r="Y220" s="40"/>
      <c r="Z220" s="40"/>
      <c r="AA220" s="40"/>
      <c r="AB220" s="40"/>
      <c r="AC220" s="40" t="s">
        <v>2939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1047</v>
      </c>
      <c r="C221" s="40">
        <v>799</v>
      </c>
      <c r="D221" s="38" t="s">
        <v>1043</v>
      </c>
      <c r="E221" s="40" t="s">
        <v>2929</v>
      </c>
      <c r="F221" s="40" t="s">
        <v>3368</v>
      </c>
      <c r="G221" s="50"/>
      <c r="H221" s="150" t="s">
        <v>5607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575</v>
      </c>
      <c r="W221" s="39">
        <v>106</v>
      </c>
      <c r="X221" s="40"/>
      <c r="Y221" s="40"/>
      <c r="Z221" s="40"/>
      <c r="AA221" s="40"/>
      <c r="AB221" s="40"/>
      <c r="AC221" s="40" t="s">
        <v>2939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1048</v>
      </c>
      <c r="C222" s="40">
        <v>800</v>
      </c>
      <c r="D222" s="38" t="s">
        <v>1043</v>
      </c>
      <c r="E222" s="40" t="s">
        <v>2929</v>
      </c>
      <c r="F222" s="40" t="s">
        <v>3369</v>
      </c>
      <c r="G222" s="50"/>
      <c r="H222" s="150" t="s">
        <v>5607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575</v>
      </c>
      <c r="W222" s="39">
        <v>106</v>
      </c>
      <c r="X222" s="40"/>
      <c r="Y222" s="40"/>
      <c r="Z222" s="40"/>
      <c r="AA222" s="40"/>
      <c r="AB222" s="40"/>
      <c r="AC222" s="40" t="s">
        <v>2939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2962</v>
      </c>
      <c r="C223" s="40">
        <v>839</v>
      </c>
      <c r="D223" s="38" t="s">
        <v>1043</v>
      </c>
      <c r="E223" s="40" t="s">
        <v>2929</v>
      </c>
      <c r="F223" s="40" t="s">
        <v>3370</v>
      </c>
      <c r="G223" s="41" t="s">
        <v>5604</v>
      </c>
      <c r="H223" s="150" t="s">
        <v>5606</v>
      </c>
      <c r="I223" s="41" t="s">
        <v>5609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2907</v>
      </c>
      <c r="U223" s="2" t="s">
        <v>8</v>
      </c>
      <c r="V223" s="97" t="s">
        <v>575</v>
      </c>
      <c r="W223" s="39">
        <v>114</v>
      </c>
      <c r="X223" s="40"/>
      <c r="Y223" s="40"/>
      <c r="Z223" s="40"/>
      <c r="AA223" s="40"/>
      <c r="AB223" s="40"/>
      <c r="AC223" s="40" t="s">
        <v>2939</v>
      </c>
      <c r="AD223" s="40"/>
      <c r="AE223" s="40"/>
      <c r="AF223" s="40" t="s">
        <v>2939</v>
      </c>
      <c r="AG223" s="40"/>
      <c r="AH223" s="40"/>
      <c r="AI223" s="40"/>
      <c r="AJ223" s="161"/>
      <c r="AK223" s="173" t="s">
        <v>303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1049</v>
      </c>
      <c r="C224" s="40">
        <v>840</v>
      </c>
      <c r="D224" s="38" t="s">
        <v>1043</v>
      </c>
      <c r="E224" s="40" t="s">
        <v>2929</v>
      </c>
      <c r="F224" s="40" t="s">
        <v>3371</v>
      </c>
      <c r="G224" s="50"/>
      <c r="H224" s="150" t="s">
        <v>5607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575</v>
      </c>
      <c r="W224" s="39">
        <v>106</v>
      </c>
      <c r="X224" s="40"/>
      <c r="Y224" s="40"/>
      <c r="Z224" s="40"/>
      <c r="AA224" s="40"/>
      <c r="AB224" s="40"/>
      <c r="AC224" s="40" t="s">
        <v>2939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1050</v>
      </c>
      <c r="C225" s="40">
        <v>845</v>
      </c>
      <c r="D225" s="38" t="s">
        <v>1043</v>
      </c>
      <c r="E225" s="40" t="s">
        <v>2929</v>
      </c>
      <c r="F225" s="40" t="s">
        <v>3372</v>
      </c>
      <c r="G225" s="41" t="s">
        <v>5604</v>
      </c>
      <c r="H225" s="150" t="s">
        <v>5607</v>
      </c>
      <c r="I225" s="41" t="s">
        <v>5609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306</v>
      </c>
      <c r="U225" s="2" t="s">
        <v>3</v>
      </c>
      <c r="V225" s="97" t="s">
        <v>575</v>
      </c>
      <c r="W225" s="39">
        <v>109</v>
      </c>
      <c r="X225" s="40"/>
      <c r="Y225" s="40"/>
      <c r="Z225" s="40"/>
      <c r="AA225" s="40"/>
      <c r="AB225" s="40"/>
      <c r="AC225" s="40" t="s">
        <v>2939</v>
      </c>
      <c r="AD225" s="40"/>
      <c r="AE225" s="40"/>
      <c r="AF225" s="40" t="s">
        <v>2898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1051</v>
      </c>
      <c r="C226" s="40">
        <v>846</v>
      </c>
      <c r="D226" s="38" t="s">
        <v>1043</v>
      </c>
      <c r="E226" s="40" t="s">
        <v>2929</v>
      </c>
      <c r="F226" s="40" t="s">
        <v>3373</v>
      </c>
      <c r="G226" s="41" t="s">
        <v>5604</v>
      </c>
      <c r="H226" s="150" t="s">
        <v>5606</v>
      </c>
      <c r="I226" s="41" t="s">
        <v>5609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575</v>
      </c>
      <c r="U226" s="2" t="s">
        <v>8</v>
      </c>
      <c r="V226" s="97" t="s">
        <v>575</v>
      </c>
      <c r="W226" s="39">
        <v>114</v>
      </c>
      <c r="X226" s="40"/>
      <c r="Y226" s="40"/>
      <c r="Z226" s="40"/>
      <c r="AA226" s="40"/>
      <c r="AB226" s="40"/>
      <c r="AC226" s="40" t="s">
        <v>2939</v>
      </c>
      <c r="AD226" s="40"/>
      <c r="AE226" s="40"/>
      <c r="AF226" s="40" t="s">
        <v>2939</v>
      </c>
      <c r="AG226" s="40"/>
      <c r="AH226" s="40"/>
      <c r="AI226" s="40"/>
      <c r="AJ226" s="161"/>
      <c r="AK226" s="173" t="s">
        <v>303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1052</v>
      </c>
      <c r="C227" s="40">
        <v>853</v>
      </c>
      <c r="D227" s="38" t="s">
        <v>1043</v>
      </c>
      <c r="E227" s="40" t="s">
        <v>2929</v>
      </c>
      <c r="F227" s="40" t="s">
        <v>3374</v>
      </c>
      <c r="G227" s="41" t="s">
        <v>5604</v>
      </c>
      <c r="H227" s="150" t="s">
        <v>5606</v>
      </c>
      <c r="I227" s="41" t="s">
        <v>5609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575</v>
      </c>
      <c r="U227" s="2" t="s">
        <v>8</v>
      </c>
      <c r="V227" s="97" t="s">
        <v>575</v>
      </c>
      <c r="W227" s="39">
        <v>114</v>
      </c>
      <c r="X227" s="40"/>
      <c r="Y227" s="40"/>
      <c r="Z227" s="40"/>
      <c r="AA227" s="40"/>
      <c r="AB227" s="40"/>
      <c r="AC227" s="40" t="s">
        <v>2939</v>
      </c>
      <c r="AD227" s="40"/>
      <c r="AE227" s="40"/>
      <c r="AF227" s="40" t="s">
        <v>2939</v>
      </c>
      <c r="AG227" s="40"/>
      <c r="AH227" s="40"/>
      <c r="AI227" s="40"/>
      <c r="AJ227" s="161"/>
      <c r="AK227" s="173" t="s">
        <v>303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1043</v>
      </c>
      <c r="E228" s="40" t="s">
        <v>2929</v>
      </c>
      <c r="F228" s="40" t="s">
        <v>3375</v>
      </c>
      <c r="G228" s="50"/>
      <c r="H228" s="150" t="s">
        <v>5608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575</v>
      </c>
      <c r="W228" s="39">
        <v>106</v>
      </c>
      <c r="X228" s="40"/>
      <c r="Y228" s="40"/>
      <c r="Z228" s="40"/>
      <c r="AA228" s="40"/>
      <c r="AB228" s="40"/>
      <c r="AC228" s="40" t="s">
        <v>2939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1043</v>
      </c>
      <c r="E229" s="40" t="s">
        <v>2929</v>
      </c>
      <c r="F229" s="40" t="s">
        <v>3376</v>
      </c>
      <c r="G229" s="50"/>
      <c r="H229" s="150" t="s">
        <v>5608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575</v>
      </c>
      <c r="W229" s="39">
        <v>106</v>
      </c>
      <c r="X229" s="40"/>
      <c r="Y229" s="40"/>
      <c r="Z229" s="40"/>
      <c r="AA229" s="40"/>
      <c r="AB229" s="40"/>
      <c r="AC229" s="40" t="s">
        <v>2939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1043</v>
      </c>
      <c r="E230" s="40" t="s">
        <v>2929</v>
      </c>
      <c r="F230" s="40" t="s">
        <v>3377</v>
      </c>
      <c r="G230" s="50"/>
      <c r="H230" s="150" t="s">
        <v>5608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575</v>
      </c>
      <c r="W230" s="39">
        <v>109</v>
      </c>
      <c r="X230" s="40"/>
      <c r="Y230" s="40"/>
      <c r="Z230" s="40"/>
      <c r="AA230" s="40"/>
      <c r="AB230" s="40"/>
      <c r="AC230" s="40" t="s">
        <v>2939</v>
      </c>
      <c r="AD230" s="40"/>
      <c r="AE230" s="40"/>
      <c r="AF230" s="40" t="s">
        <v>2898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1043</v>
      </c>
      <c r="E231" s="83" t="s">
        <v>2929</v>
      </c>
      <c r="F231" s="83" t="s">
        <v>3378</v>
      </c>
      <c r="G231" s="138"/>
      <c r="H231" s="340" t="s">
        <v>5608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575</v>
      </c>
      <c r="W231" s="86">
        <v>109</v>
      </c>
      <c r="X231" s="83"/>
      <c r="Y231" s="83"/>
      <c r="Z231" s="83"/>
      <c r="AA231" s="83"/>
      <c r="AB231" s="83"/>
      <c r="AC231" s="83" t="s">
        <v>2939</v>
      </c>
      <c r="AD231" s="83"/>
      <c r="AE231" s="83"/>
      <c r="AF231" s="83" t="s">
        <v>2898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1144</v>
      </c>
      <c r="C232" s="114">
        <v>332</v>
      </c>
      <c r="D232" s="27" t="s">
        <v>1143</v>
      </c>
      <c r="E232" s="29" t="s">
        <v>2963</v>
      </c>
      <c r="F232" s="29" t="s">
        <v>3379</v>
      </c>
      <c r="G232" s="21" t="s">
        <v>5604</v>
      </c>
      <c r="H232" s="145" t="s">
        <v>5607</v>
      </c>
      <c r="I232" s="21" t="s">
        <v>5609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575</v>
      </c>
      <c r="U232" s="30" t="s">
        <v>8</v>
      </c>
      <c r="V232" s="95" t="s">
        <v>575</v>
      </c>
      <c r="W232" s="28">
        <v>109</v>
      </c>
      <c r="X232" s="29"/>
      <c r="Y232" s="29"/>
      <c r="Z232" s="29" t="s">
        <v>2943</v>
      </c>
      <c r="AA232" s="29"/>
      <c r="AB232" s="29"/>
      <c r="AC232" s="29" t="s">
        <v>2939</v>
      </c>
      <c r="AD232" s="29"/>
      <c r="AE232" s="29"/>
      <c r="AF232" s="29" t="s">
        <v>2939</v>
      </c>
      <c r="AG232" s="29"/>
      <c r="AH232" s="29"/>
      <c r="AI232" s="29"/>
      <c r="AJ232" s="19"/>
      <c r="AK232" s="186"/>
      <c r="AL232" s="105" t="s">
        <v>2908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990</v>
      </c>
      <c r="C233" s="40">
        <v>2139</v>
      </c>
      <c r="D233" s="38" t="s">
        <v>844</v>
      </c>
      <c r="E233" s="40" t="s">
        <v>2915</v>
      </c>
      <c r="F233" s="40" t="s">
        <v>3380</v>
      </c>
      <c r="G233" s="41" t="s">
        <v>5604</v>
      </c>
      <c r="H233" s="150" t="s">
        <v>5607</v>
      </c>
      <c r="I233" s="41" t="s">
        <v>5609</v>
      </c>
      <c r="J233" s="187">
        <v>199924.13</v>
      </c>
      <c r="K233" s="187">
        <v>2663403.15</v>
      </c>
      <c r="L233" s="188" t="s">
        <v>40</v>
      </c>
      <c r="M233" s="147">
        <v>6</v>
      </c>
      <c r="N233" s="147">
        <v>62</v>
      </c>
      <c r="O233" s="147">
        <v>110</v>
      </c>
      <c r="P233" s="148" t="s">
        <v>41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1" t="s">
        <v>575</v>
      </c>
      <c r="W233" s="39">
        <v>113</v>
      </c>
      <c r="X233" s="40"/>
      <c r="Y233" s="106"/>
      <c r="Z233" s="40" t="s">
        <v>2939</v>
      </c>
      <c r="AA233" s="40"/>
      <c r="AB233" s="40"/>
      <c r="AC233" s="40"/>
      <c r="AD233" s="40"/>
      <c r="AE233" s="40" t="s">
        <v>2939</v>
      </c>
      <c r="AF233" s="40"/>
      <c r="AG233" s="40"/>
      <c r="AH233" s="40"/>
      <c r="AI233" s="40"/>
      <c r="AJ233" s="40" t="s">
        <v>2894</v>
      </c>
      <c r="AK233" s="51"/>
      <c r="AL233" s="189" t="s">
        <v>2964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862</v>
      </c>
      <c r="C234" s="40">
        <v>2333</v>
      </c>
      <c r="D234" s="38" t="s">
        <v>859</v>
      </c>
      <c r="E234" s="40" t="s">
        <v>2915</v>
      </c>
      <c r="F234" s="40" t="s">
        <v>3381</v>
      </c>
      <c r="G234" s="41" t="s">
        <v>5604</v>
      </c>
      <c r="H234" s="150" t="s">
        <v>5606</v>
      </c>
      <c r="I234" s="41" t="s">
        <v>5609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575</v>
      </c>
      <c r="U234" s="2" t="s">
        <v>8</v>
      </c>
      <c r="V234" s="150" t="s">
        <v>575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2939</v>
      </c>
      <c r="AE234" s="40"/>
      <c r="AF234" s="40"/>
      <c r="AG234" s="40"/>
      <c r="AH234" s="40"/>
      <c r="AI234" s="40"/>
      <c r="AJ234" s="75" t="s">
        <v>2939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863</v>
      </c>
      <c r="C235" s="40">
        <v>2351</v>
      </c>
      <c r="D235" s="38" t="s">
        <v>859</v>
      </c>
      <c r="E235" s="40" t="s">
        <v>2915</v>
      </c>
      <c r="F235" s="40" t="s">
        <v>3382</v>
      </c>
      <c r="G235" s="50"/>
      <c r="H235" s="150" t="s">
        <v>5606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575</v>
      </c>
      <c r="U235" s="2" t="s">
        <v>303</v>
      </c>
      <c r="V235" s="150" t="s">
        <v>575</v>
      </c>
      <c r="W235" s="39">
        <v>113</v>
      </c>
      <c r="X235" s="40"/>
      <c r="Y235" s="40"/>
      <c r="Z235" s="40"/>
      <c r="AA235" s="40" t="s">
        <v>2939</v>
      </c>
      <c r="AB235" s="40"/>
      <c r="AC235" s="40"/>
      <c r="AD235" s="40" t="s">
        <v>2898</v>
      </c>
      <c r="AE235" s="40"/>
      <c r="AF235" s="40"/>
      <c r="AG235" s="40"/>
      <c r="AH235" s="40"/>
      <c r="AI235" s="40"/>
      <c r="AJ235" s="75" t="s">
        <v>2939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1156</v>
      </c>
      <c r="C236" s="40">
        <v>619</v>
      </c>
      <c r="D236" s="38" t="s">
        <v>1143</v>
      </c>
      <c r="E236" s="40" t="s">
        <v>2963</v>
      </c>
      <c r="F236" s="40" t="s">
        <v>3383</v>
      </c>
      <c r="G236" s="41" t="s">
        <v>5604</v>
      </c>
      <c r="H236" s="150" t="s">
        <v>5608</v>
      </c>
      <c r="I236" s="41" t="s">
        <v>5609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575</v>
      </c>
      <c r="U236" s="2" t="str">
        <f>U235</f>
        <v>監測</v>
      </c>
      <c r="V236" s="97" t="s">
        <v>575</v>
      </c>
      <c r="W236" s="39">
        <v>113</v>
      </c>
      <c r="X236" s="40"/>
      <c r="Y236" s="40"/>
      <c r="Z236" s="40"/>
      <c r="AA236" s="40" t="s">
        <v>2939</v>
      </c>
      <c r="AB236" s="40"/>
      <c r="AC236" s="40"/>
      <c r="AD236" s="40"/>
      <c r="AE236" s="40"/>
      <c r="AF236" s="40" t="s">
        <v>2939</v>
      </c>
      <c r="AG236" s="40"/>
      <c r="AH236" s="40"/>
      <c r="AI236" s="40"/>
      <c r="AJ236" s="75" t="s">
        <v>2939</v>
      </c>
      <c r="AK236" s="92"/>
      <c r="AL236" s="54" t="s">
        <v>2908</v>
      </c>
      <c r="AM236" s="167">
        <v>113</v>
      </c>
    </row>
    <row r="237" spans="1:48" ht="14.4" thickBot="1" x14ac:dyDescent="0.35">
      <c r="A237" s="15">
        <v>236</v>
      </c>
      <c r="B237" s="83" t="s">
        <v>1157</v>
      </c>
      <c r="C237" s="83">
        <v>2150</v>
      </c>
      <c r="D237" s="113" t="s">
        <v>1143</v>
      </c>
      <c r="E237" s="83" t="s">
        <v>2915</v>
      </c>
      <c r="F237" s="83" t="s">
        <v>3384</v>
      </c>
      <c r="G237" s="47" t="s">
        <v>5604</v>
      </c>
      <c r="H237" s="340" t="s">
        <v>5606</v>
      </c>
      <c r="I237" s="47" t="s">
        <v>5609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2907</v>
      </c>
      <c r="U237" s="85" t="s">
        <v>8</v>
      </c>
      <c r="V237" s="84" t="s">
        <v>575</v>
      </c>
      <c r="W237" s="86">
        <v>109</v>
      </c>
      <c r="X237" s="83"/>
      <c r="Y237" s="137"/>
      <c r="Z237" s="83"/>
      <c r="AA237" s="83"/>
      <c r="AB237" s="83"/>
      <c r="AC237" s="83" t="s">
        <v>2898</v>
      </c>
      <c r="AD237" s="83"/>
      <c r="AE237" s="83"/>
      <c r="AF237" s="83" t="s">
        <v>2939</v>
      </c>
      <c r="AG237" s="83"/>
      <c r="AH237" s="83"/>
      <c r="AI237" s="83"/>
      <c r="AJ237" s="170"/>
      <c r="AK237" s="171"/>
      <c r="AL237" s="157" t="s">
        <v>2908</v>
      </c>
      <c r="AM237" s="154">
        <v>113</v>
      </c>
    </row>
    <row r="238" spans="1:48" x14ac:dyDescent="0.3">
      <c r="A238" s="15">
        <v>237</v>
      </c>
      <c r="B238" s="29" t="s">
        <v>1276</v>
      </c>
      <c r="C238" s="29">
        <v>789</v>
      </c>
      <c r="D238" s="27" t="s">
        <v>1275</v>
      </c>
      <c r="E238" s="29" t="s">
        <v>2929</v>
      </c>
      <c r="F238" s="29" t="s">
        <v>3385</v>
      </c>
      <c r="G238" s="31" t="s">
        <v>5604</v>
      </c>
      <c r="H238" s="145" t="s">
        <v>5606</v>
      </c>
      <c r="I238" s="31" t="s">
        <v>5609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2907</v>
      </c>
      <c r="U238" s="30" t="s">
        <v>8</v>
      </c>
      <c r="V238" s="91" t="s">
        <v>2914</v>
      </c>
      <c r="W238" s="28">
        <v>109</v>
      </c>
      <c r="X238" s="29"/>
      <c r="Y238" s="29"/>
      <c r="Z238" s="29"/>
      <c r="AA238" s="29"/>
      <c r="AB238" s="29"/>
      <c r="AC238" s="29" t="s">
        <v>2939</v>
      </c>
      <c r="AD238" s="29"/>
      <c r="AE238" s="29"/>
      <c r="AF238" s="29" t="s">
        <v>2939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1277</v>
      </c>
      <c r="C239" s="40">
        <v>790</v>
      </c>
      <c r="D239" s="38" t="s">
        <v>1275</v>
      </c>
      <c r="E239" s="40" t="s">
        <v>2929</v>
      </c>
      <c r="F239" s="40" t="s">
        <v>3386</v>
      </c>
      <c r="G239" s="50"/>
      <c r="H239" s="150" t="s">
        <v>5607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2914</v>
      </c>
      <c r="W239" s="39">
        <v>106</v>
      </c>
      <c r="X239" s="40"/>
      <c r="Y239" s="40"/>
      <c r="Z239" s="40"/>
      <c r="AA239" s="40"/>
      <c r="AB239" s="40"/>
      <c r="AC239" s="40" t="s">
        <v>2939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1278</v>
      </c>
      <c r="C240" s="40">
        <v>791</v>
      </c>
      <c r="D240" s="38" t="s">
        <v>1275</v>
      </c>
      <c r="E240" s="40" t="s">
        <v>2929</v>
      </c>
      <c r="F240" s="40" t="s">
        <v>3387</v>
      </c>
      <c r="G240" s="50"/>
      <c r="H240" s="150" t="s">
        <v>5607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2914</v>
      </c>
      <c r="W240" s="39">
        <v>106</v>
      </c>
      <c r="X240" s="40"/>
      <c r="Y240" s="40"/>
      <c r="Z240" s="40"/>
      <c r="AA240" s="40"/>
      <c r="AB240" s="40"/>
      <c r="AC240" s="40" t="s">
        <v>2939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1279</v>
      </c>
      <c r="C241" s="40">
        <v>793</v>
      </c>
      <c r="D241" s="38" t="s">
        <v>1275</v>
      </c>
      <c r="E241" s="40" t="s">
        <v>2929</v>
      </c>
      <c r="F241" s="40" t="s">
        <v>3388</v>
      </c>
      <c r="G241" s="50"/>
      <c r="H241" s="150" t="s">
        <v>5607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2914</v>
      </c>
      <c r="W241" s="39">
        <v>106</v>
      </c>
      <c r="X241" s="40"/>
      <c r="Y241" s="40"/>
      <c r="Z241" s="40"/>
      <c r="AA241" s="40"/>
      <c r="AB241" s="40"/>
      <c r="AC241" s="40" t="s">
        <v>2939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1280</v>
      </c>
      <c r="C242" s="40">
        <v>795</v>
      </c>
      <c r="D242" s="38" t="s">
        <v>1275</v>
      </c>
      <c r="E242" s="40" t="s">
        <v>2929</v>
      </c>
      <c r="F242" s="40" t="s">
        <v>3389</v>
      </c>
      <c r="G242" s="41" t="s">
        <v>5604</v>
      </c>
      <c r="H242" s="150" t="s">
        <v>5607</v>
      </c>
      <c r="I242" s="41" t="s">
        <v>5609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306</v>
      </c>
      <c r="U242" s="2" t="s">
        <v>3</v>
      </c>
      <c r="V242" s="93" t="s">
        <v>2914</v>
      </c>
      <c r="W242" s="39">
        <v>109</v>
      </c>
      <c r="X242" s="40"/>
      <c r="Y242" s="40"/>
      <c r="Z242" s="40"/>
      <c r="AA242" s="40"/>
      <c r="AB242" s="40"/>
      <c r="AC242" s="40" t="s">
        <v>2939</v>
      </c>
      <c r="AD242" s="40"/>
      <c r="AE242" s="40"/>
      <c r="AF242" s="40" t="s">
        <v>2898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1281</v>
      </c>
      <c r="C243" s="40">
        <v>796</v>
      </c>
      <c r="D243" s="38" t="s">
        <v>1275</v>
      </c>
      <c r="E243" s="40" t="s">
        <v>2929</v>
      </c>
      <c r="F243" s="40" t="s">
        <v>3390</v>
      </c>
      <c r="G243" s="41" t="s">
        <v>5604</v>
      </c>
      <c r="H243" s="150" t="s">
        <v>5606</v>
      </c>
      <c r="I243" s="41" t="s">
        <v>5609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575</v>
      </c>
      <c r="U243" s="2" t="s">
        <v>8</v>
      </c>
      <c r="V243" s="93" t="s">
        <v>2914</v>
      </c>
      <c r="W243" s="39">
        <v>109</v>
      </c>
      <c r="X243" s="40"/>
      <c r="Y243" s="40"/>
      <c r="Z243" s="40"/>
      <c r="AA243" s="40"/>
      <c r="AB243" s="40"/>
      <c r="AC243" s="40" t="s">
        <v>2939</v>
      </c>
      <c r="AD243" s="40"/>
      <c r="AE243" s="40"/>
      <c r="AF243" s="40" t="s">
        <v>2939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1282</v>
      </c>
      <c r="C244" s="40">
        <v>797</v>
      </c>
      <c r="D244" s="38" t="s">
        <v>1275</v>
      </c>
      <c r="E244" s="40" t="s">
        <v>2929</v>
      </c>
      <c r="F244" s="40" t="s">
        <v>3391</v>
      </c>
      <c r="G244" s="50"/>
      <c r="H244" s="150" t="s">
        <v>5607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287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2914</v>
      </c>
      <c r="W244" s="39">
        <v>106</v>
      </c>
      <c r="X244" s="40"/>
      <c r="Y244" s="40"/>
      <c r="Z244" s="40"/>
      <c r="AA244" s="40"/>
      <c r="AB244" s="40"/>
      <c r="AC244" s="40" t="s">
        <v>2939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1283</v>
      </c>
      <c r="C245" s="40">
        <v>801</v>
      </c>
      <c r="D245" s="38" t="s">
        <v>1275</v>
      </c>
      <c r="E245" s="40" t="s">
        <v>2929</v>
      </c>
      <c r="F245" s="40" t="s">
        <v>3392</v>
      </c>
      <c r="G245" s="41" t="s">
        <v>5604</v>
      </c>
      <c r="H245" s="150" t="s">
        <v>5606</v>
      </c>
      <c r="I245" s="41" t="s">
        <v>5609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163</v>
      </c>
      <c r="Q245" s="43">
        <v>36.799999999999997</v>
      </c>
      <c r="R245" s="43">
        <v>380</v>
      </c>
      <c r="S245" s="43">
        <v>153</v>
      </c>
      <c r="T245" s="2" t="s">
        <v>575</v>
      </c>
      <c r="U245" s="2" t="s">
        <v>8</v>
      </c>
      <c r="V245" s="93" t="s">
        <v>2914</v>
      </c>
      <c r="W245" s="39">
        <v>109</v>
      </c>
      <c r="X245" s="40"/>
      <c r="Y245" s="40"/>
      <c r="Z245" s="40"/>
      <c r="AA245" s="40"/>
      <c r="AB245" s="40"/>
      <c r="AC245" s="40" t="s">
        <v>2939</v>
      </c>
      <c r="AD245" s="40"/>
      <c r="AE245" s="40"/>
      <c r="AF245" s="40" t="s">
        <v>2939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1284</v>
      </c>
      <c r="C246" s="40">
        <v>802</v>
      </c>
      <c r="D246" s="38" t="s">
        <v>1275</v>
      </c>
      <c r="E246" s="40" t="s">
        <v>2929</v>
      </c>
      <c r="F246" s="40" t="s">
        <v>3393</v>
      </c>
      <c r="G246" s="50"/>
      <c r="H246" s="150" t="s">
        <v>5607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2914</v>
      </c>
      <c r="W246" s="39">
        <v>106</v>
      </c>
      <c r="X246" s="40"/>
      <c r="Y246" s="40"/>
      <c r="Z246" s="40"/>
      <c r="AA246" s="40"/>
      <c r="AB246" s="40"/>
      <c r="AC246" s="40" t="s">
        <v>2939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1285</v>
      </c>
      <c r="C247" s="40">
        <v>803</v>
      </c>
      <c r="D247" s="38" t="s">
        <v>1275</v>
      </c>
      <c r="E247" s="40" t="s">
        <v>2929</v>
      </c>
      <c r="F247" s="40" t="s">
        <v>3394</v>
      </c>
      <c r="G247" s="50"/>
      <c r="H247" s="150" t="s">
        <v>5607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2914</v>
      </c>
      <c r="W247" s="39">
        <v>106</v>
      </c>
      <c r="X247" s="40"/>
      <c r="Y247" s="40"/>
      <c r="Z247" s="40"/>
      <c r="AA247" s="40"/>
      <c r="AB247" s="40"/>
      <c r="AC247" s="40" t="s">
        <v>2939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1286</v>
      </c>
      <c r="C248" s="40">
        <v>804</v>
      </c>
      <c r="D248" s="38" t="s">
        <v>1275</v>
      </c>
      <c r="E248" s="40" t="s">
        <v>2929</v>
      </c>
      <c r="F248" s="40" t="s">
        <v>3395</v>
      </c>
      <c r="G248" s="50"/>
      <c r="H248" s="150" t="s">
        <v>5607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2914</v>
      </c>
      <c r="W248" s="39">
        <v>106</v>
      </c>
      <c r="X248" s="40"/>
      <c r="Y248" s="40"/>
      <c r="Z248" s="40"/>
      <c r="AA248" s="40"/>
      <c r="AB248" s="40"/>
      <c r="AC248" s="40" t="s">
        <v>2939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1275</v>
      </c>
      <c r="E249" s="40" t="s">
        <v>2929</v>
      </c>
      <c r="F249" s="40" t="s">
        <v>3396</v>
      </c>
      <c r="G249" s="50"/>
      <c r="H249" s="150" t="s">
        <v>5608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2914</v>
      </c>
      <c r="W249" s="39">
        <v>106</v>
      </c>
      <c r="X249" s="40"/>
      <c r="Y249" s="40"/>
      <c r="Z249" s="40"/>
      <c r="AA249" s="40"/>
      <c r="AB249" s="40"/>
      <c r="AC249" s="40" t="s">
        <v>2939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1275</v>
      </c>
      <c r="E250" s="40" t="s">
        <v>2929</v>
      </c>
      <c r="F250" s="40" t="s">
        <v>3397</v>
      </c>
      <c r="G250" s="41" t="s">
        <v>5604</v>
      </c>
      <c r="H250" s="150" t="s">
        <v>5608</v>
      </c>
      <c r="I250" s="41" t="s">
        <v>5609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306</v>
      </c>
      <c r="U250" s="2" t="str">
        <f>U242</f>
        <v>正常</v>
      </c>
      <c r="V250" s="93" t="s">
        <v>2914</v>
      </c>
      <c r="W250" s="39">
        <v>109</v>
      </c>
      <c r="X250" s="40"/>
      <c r="Y250" s="40"/>
      <c r="Z250" s="40"/>
      <c r="AA250" s="40"/>
      <c r="AB250" s="40"/>
      <c r="AC250" s="40" t="s">
        <v>2939</v>
      </c>
      <c r="AD250" s="40"/>
      <c r="AE250" s="40"/>
      <c r="AF250" s="40" t="s">
        <v>2898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1287</v>
      </c>
      <c r="C251" s="40">
        <v>1242</v>
      </c>
      <c r="D251" s="38" t="s">
        <v>1275</v>
      </c>
      <c r="E251" s="40" t="s">
        <v>2929</v>
      </c>
      <c r="F251" s="40" t="s">
        <v>3398</v>
      </c>
      <c r="G251" s="50"/>
      <c r="H251" s="150" t="s">
        <v>5607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2914</v>
      </c>
      <c r="W251" s="39">
        <v>108</v>
      </c>
      <c r="X251" s="40"/>
      <c r="Y251" s="106"/>
      <c r="Z251" s="40" t="s">
        <v>2939</v>
      </c>
      <c r="AA251" s="40"/>
      <c r="AB251" s="40"/>
      <c r="AC251" s="40"/>
      <c r="AD251" s="40"/>
      <c r="AE251" s="40" t="s">
        <v>2898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1288</v>
      </c>
      <c r="C252" s="83">
        <v>1243</v>
      </c>
      <c r="D252" s="113" t="s">
        <v>1275</v>
      </c>
      <c r="E252" s="83" t="s">
        <v>2929</v>
      </c>
      <c r="F252" s="83" t="s">
        <v>3399</v>
      </c>
      <c r="G252" s="138"/>
      <c r="H252" s="340" t="s">
        <v>5607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2914</v>
      </c>
      <c r="W252" s="86">
        <v>108</v>
      </c>
      <c r="X252" s="83"/>
      <c r="Y252" s="137"/>
      <c r="Z252" s="83" t="s">
        <v>2939</v>
      </c>
      <c r="AA252" s="83"/>
      <c r="AB252" s="83"/>
      <c r="AC252" s="83"/>
      <c r="AD252" s="83"/>
      <c r="AE252" s="83" t="s">
        <v>2898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1290</v>
      </c>
      <c r="C253" s="29">
        <v>774</v>
      </c>
      <c r="D253" s="27" t="s">
        <v>1289</v>
      </c>
      <c r="E253" s="29" t="s">
        <v>2929</v>
      </c>
      <c r="F253" s="29" t="s">
        <v>3400</v>
      </c>
      <c r="G253" s="192"/>
      <c r="H253" s="145" t="s">
        <v>5607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287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2914</v>
      </c>
      <c r="W253" s="28">
        <v>106</v>
      </c>
      <c r="X253" s="29"/>
      <c r="Y253" s="29"/>
      <c r="Z253" s="29"/>
      <c r="AA253" s="29"/>
      <c r="AB253" s="29"/>
      <c r="AC253" s="29" t="s">
        <v>2939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1291</v>
      </c>
      <c r="C254" s="40">
        <v>776</v>
      </c>
      <c r="D254" s="38" t="s">
        <v>1289</v>
      </c>
      <c r="E254" s="40" t="s">
        <v>2929</v>
      </c>
      <c r="F254" s="40" t="s">
        <v>3401</v>
      </c>
      <c r="G254" s="50"/>
      <c r="H254" s="150" t="s">
        <v>5607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2914</v>
      </c>
      <c r="W254" s="39">
        <v>106</v>
      </c>
      <c r="X254" s="40"/>
      <c r="Y254" s="40"/>
      <c r="Z254" s="40"/>
      <c r="AA254" s="40"/>
      <c r="AB254" s="40"/>
      <c r="AC254" s="40" t="s">
        <v>2939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1292</v>
      </c>
      <c r="C255" s="40">
        <v>777</v>
      </c>
      <c r="D255" s="38" t="s">
        <v>1289</v>
      </c>
      <c r="E255" s="40" t="s">
        <v>2929</v>
      </c>
      <c r="F255" s="40" t="s">
        <v>3402</v>
      </c>
      <c r="G255" s="50"/>
      <c r="H255" s="150" t="s">
        <v>5607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2914</v>
      </c>
      <c r="W255" s="39">
        <v>106</v>
      </c>
      <c r="X255" s="40"/>
      <c r="Y255" s="40"/>
      <c r="Z255" s="40"/>
      <c r="AA255" s="40"/>
      <c r="AB255" s="40"/>
      <c r="AC255" s="40" t="s">
        <v>2939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1293</v>
      </c>
      <c r="C256" s="40">
        <v>778</v>
      </c>
      <c r="D256" s="38" t="s">
        <v>1289</v>
      </c>
      <c r="E256" s="40" t="s">
        <v>2929</v>
      </c>
      <c r="F256" s="40" t="s">
        <v>3403</v>
      </c>
      <c r="G256" s="50"/>
      <c r="H256" s="150" t="s">
        <v>5607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2914</v>
      </c>
      <c r="W256" s="39">
        <v>106</v>
      </c>
      <c r="X256" s="40"/>
      <c r="Y256" s="40"/>
      <c r="Z256" s="40"/>
      <c r="AA256" s="40"/>
      <c r="AB256" s="40"/>
      <c r="AC256" s="40" t="s">
        <v>2939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1294</v>
      </c>
      <c r="C257" s="40">
        <v>780</v>
      </c>
      <c r="D257" s="38" t="s">
        <v>1289</v>
      </c>
      <c r="E257" s="40" t="s">
        <v>2929</v>
      </c>
      <c r="F257" s="40" t="s">
        <v>3404</v>
      </c>
      <c r="G257" s="50"/>
      <c r="H257" s="150" t="s">
        <v>5607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2914</v>
      </c>
      <c r="W257" s="39">
        <v>106</v>
      </c>
      <c r="X257" s="40"/>
      <c r="Y257" s="40"/>
      <c r="Z257" s="40"/>
      <c r="AA257" s="40"/>
      <c r="AB257" s="40"/>
      <c r="AC257" s="40" t="s">
        <v>2939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1295</v>
      </c>
      <c r="C258" s="40">
        <v>782</v>
      </c>
      <c r="D258" s="38" t="s">
        <v>1289</v>
      </c>
      <c r="E258" s="40" t="s">
        <v>2929</v>
      </c>
      <c r="F258" s="40" t="s">
        <v>3405</v>
      </c>
      <c r="G258" s="41" t="s">
        <v>5604</v>
      </c>
      <c r="H258" s="150" t="s">
        <v>5606</v>
      </c>
      <c r="I258" s="41" t="s">
        <v>5609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575</v>
      </c>
      <c r="U258" s="2" t="s">
        <v>8</v>
      </c>
      <c r="V258" s="93" t="s">
        <v>2914</v>
      </c>
      <c r="W258" s="39">
        <v>109</v>
      </c>
      <c r="X258" s="40"/>
      <c r="Y258" s="40"/>
      <c r="Z258" s="40"/>
      <c r="AA258" s="40"/>
      <c r="AB258" s="40"/>
      <c r="AC258" s="40" t="s">
        <v>2939</v>
      </c>
      <c r="AD258" s="40"/>
      <c r="AE258" s="40"/>
      <c r="AF258" s="40" t="s">
        <v>2939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1289</v>
      </c>
      <c r="E259" s="40" t="s">
        <v>2929</v>
      </c>
      <c r="F259" s="40" t="s">
        <v>3406</v>
      </c>
      <c r="G259" s="41" t="s">
        <v>5604</v>
      </c>
      <c r="H259" s="150" t="s">
        <v>5607</v>
      </c>
      <c r="I259" s="41" t="s">
        <v>5609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575</v>
      </c>
      <c r="U259" s="2" t="s">
        <v>8</v>
      </c>
      <c r="V259" s="93" t="s">
        <v>2914</v>
      </c>
      <c r="W259" s="39">
        <v>109</v>
      </c>
      <c r="X259" s="40"/>
      <c r="Y259" s="40"/>
      <c r="Z259" s="40"/>
      <c r="AA259" s="40"/>
      <c r="AB259" s="40"/>
      <c r="AC259" s="40" t="s">
        <v>2939</v>
      </c>
      <c r="AD259" s="40"/>
      <c r="AE259" s="40"/>
      <c r="AF259" s="40" t="s">
        <v>2939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1289</v>
      </c>
      <c r="E260" s="40" t="s">
        <v>2929</v>
      </c>
      <c r="F260" s="40" t="s">
        <v>3407</v>
      </c>
      <c r="G260" s="41" t="s">
        <v>5604</v>
      </c>
      <c r="H260" s="150" t="s">
        <v>5606</v>
      </c>
      <c r="I260" s="41" t="s">
        <v>5609</v>
      </c>
      <c r="J260" s="43">
        <v>195286</v>
      </c>
      <c r="K260" s="43">
        <v>2664111</v>
      </c>
      <c r="L260" s="43" t="s">
        <v>1298</v>
      </c>
      <c r="M260" s="44">
        <v>8.15</v>
      </c>
      <c r="N260" s="43">
        <v>161</v>
      </c>
      <c r="O260" s="43">
        <v>72.7</v>
      </c>
      <c r="P260" s="43" t="s">
        <v>55</v>
      </c>
      <c r="Q260" s="43">
        <v>32.700000000000003</v>
      </c>
      <c r="R260" s="43">
        <v>284</v>
      </c>
      <c r="S260" s="43">
        <v>104</v>
      </c>
      <c r="T260" s="2" t="s">
        <v>2907</v>
      </c>
      <c r="U260" s="2" t="s">
        <v>8</v>
      </c>
      <c r="V260" s="93" t="s">
        <v>2914</v>
      </c>
      <c r="W260" s="39">
        <v>109</v>
      </c>
      <c r="X260" s="40"/>
      <c r="Y260" s="40"/>
      <c r="Z260" s="40"/>
      <c r="AA260" s="40"/>
      <c r="AB260" s="40"/>
      <c r="AC260" s="40" t="s">
        <v>2939</v>
      </c>
      <c r="AD260" s="40"/>
      <c r="AE260" s="40"/>
      <c r="AF260" s="40" t="s">
        <v>2939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1289</v>
      </c>
      <c r="E261" s="40" t="s">
        <v>2929</v>
      </c>
      <c r="F261" s="40" t="s">
        <v>3408</v>
      </c>
      <c r="G261" s="41" t="s">
        <v>5604</v>
      </c>
      <c r="H261" s="150" t="s">
        <v>5608</v>
      </c>
      <c r="I261" s="41" t="s">
        <v>5609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2907</v>
      </c>
      <c r="U261" s="2" t="str">
        <f>U260</f>
        <v>監測</v>
      </c>
      <c r="V261" s="93" t="s">
        <v>2914</v>
      </c>
      <c r="W261" s="39">
        <v>109</v>
      </c>
      <c r="X261" s="40"/>
      <c r="Y261" s="40"/>
      <c r="Z261" s="40"/>
      <c r="AA261" s="40"/>
      <c r="AB261" s="40"/>
      <c r="AC261" s="40" t="s">
        <v>2939</v>
      </c>
      <c r="AD261" s="40"/>
      <c r="AE261" s="40"/>
      <c r="AF261" s="40" t="s">
        <v>2939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1289</v>
      </c>
      <c r="E262" s="40" t="s">
        <v>2929</v>
      </c>
      <c r="F262" s="40" t="s">
        <v>3409</v>
      </c>
      <c r="G262" s="41" t="s">
        <v>5604</v>
      </c>
      <c r="H262" s="150" t="s">
        <v>5608</v>
      </c>
      <c r="I262" s="41" t="s">
        <v>5609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2907</v>
      </c>
      <c r="U262" s="2" t="str">
        <f>U260</f>
        <v>監測</v>
      </c>
      <c r="V262" s="93" t="s">
        <v>2914</v>
      </c>
      <c r="W262" s="39">
        <v>109</v>
      </c>
      <c r="X262" s="40"/>
      <c r="Y262" s="40"/>
      <c r="Z262" s="40"/>
      <c r="AA262" s="40"/>
      <c r="AB262" s="40"/>
      <c r="AC262" s="40" t="s">
        <v>2939</v>
      </c>
      <c r="AD262" s="40"/>
      <c r="AE262" s="40"/>
      <c r="AF262" s="40" t="s">
        <v>2939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1289</v>
      </c>
      <c r="E263" s="40" t="s">
        <v>2929</v>
      </c>
      <c r="F263" s="40" t="s">
        <v>3410</v>
      </c>
      <c r="G263" s="50"/>
      <c r="H263" s="150" t="s">
        <v>5607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2914</v>
      </c>
      <c r="W263" s="39">
        <v>106</v>
      </c>
      <c r="X263" s="40"/>
      <c r="Y263" s="40"/>
      <c r="Z263" s="40"/>
      <c r="AA263" s="40"/>
      <c r="AB263" s="40"/>
      <c r="AC263" s="40" t="s">
        <v>2939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1289</v>
      </c>
      <c r="E264" s="40" t="s">
        <v>2929</v>
      </c>
      <c r="F264" s="40" t="s">
        <v>3411</v>
      </c>
      <c r="G264" s="50"/>
      <c r="H264" s="150" t="s">
        <v>5607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2914</v>
      </c>
      <c r="W264" s="39">
        <v>106</v>
      </c>
      <c r="X264" s="40"/>
      <c r="Y264" s="40"/>
      <c r="Z264" s="40"/>
      <c r="AA264" s="40"/>
      <c r="AB264" s="40"/>
      <c r="AC264" s="40" t="s">
        <v>2939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1289</v>
      </c>
      <c r="E265" s="40" t="s">
        <v>2929</v>
      </c>
      <c r="F265" s="40" t="s">
        <v>3412</v>
      </c>
      <c r="G265" s="41" t="s">
        <v>5604</v>
      </c>
      <c r="H265" s="150" t="s">
        <v>5608</v>
      </c>
      <c r="I265" s="41" t="s">
        <v>5609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575</v>
      </c>
      <c r="U265" s="2" t="str">
        <f>U258</f>
        <v>監測</v>
      </c>
      <c r="V265" s="93" t="s">
        <v>2914</v>
      </c>
      <c r="W265" s="39">
        <v>109</v>
      </c>
      <c r="X265" s="40"/>
      <c r="Y265" s="40"/>
      <c r="Z265" s="40"/>
      <c r="AA265" s="40"/>
      <c r="AB265" s="40"/>
      <c r="AC265" s="40" t="s">
        <v>2939</v>
      </c>
      <c r="AD265" s="40"/>
      <c r="AE265" s="40"/>
      <c r="AF265" s="40" t="s">
        <v>2939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1299</v>
      </c>
      <c r="C266" s="40">
        <v>1241</v>
      </c>
      <c r="D266" s="38" t="s">
        <v>1289</v>
      </c>
      <c r="E266" s="40" t="s">
        <v>2929</v>
      </c>
      <c r="F266" s="40" t="s">
        <v>3413</v>
      </c>
      <c r="G266" s="41" t="s">
        <v>5604</v>
      </c>
      <c r="H266" s="150" t="s">
        <v>5607</v>
      </c>
      <c r="I266" s="41" t="s">
        <v>5609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306</v>
      </c>
      <c r="U266" s="2" t="s">
        <v>3</v>
      </c>
      <c r="V266" s="93" t="s">
        <v>2914</v>
      </c>
      <c r="W266" s="39">
        <v>109</v>
      </c>
      <c r="X266" s="40"/>
      <c r="Y266" s="106"/>
      <c r="Z266" s="40"/>
      <c r="AA266" s="40"/>
      <c r="AB266" s="40" t="s">
        <v>2939</v>
      </c>
      <c r="AC266" s="40"/>
      <c r="AD266" s="40"/>
      <c r="AE266" s="40"/>
      <c r="AF266" s="40" t="s">
        <v>2898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1300</v>
      </c>
      <c r="C267" s="83">
        <v>1257</v>
      </c>
      <c r="D267" s="113" t="s">
        <v>1289</v>
      </c>
      <c r="E267" s="83" t="s">
        <v>2929</v>
      </c>
      <c r="F267" s="83" t="s">
        <v>3414</v>
      </c>
      <c r="G267" s="47" t="s">
        <v>5604</v>
      </c>
      <c r="H267" s="340" t="s">
        <v>5606</v>
      </c>
      <c r="I267" s="47" t="s">
        <v>5609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2907</v>
      </c>
      <c r="U267" s="85" t="s">
        <v>8</v>
      </c>
      <c r="V267" s="94" t="s">
        <v>2914</v>
      </c>
      <c r="W267" s="86">
        <v>109</v>
      </c>
      <c r="X267" s="83"/>
      <c r="Y267" s="137"/>
      <c r="Z267" s="83"/>
      <c r="AA267" s="83"/>
      <c r="AB267" s="83"/>
      <c r="AC267" s="83" t="s">
        <v>2898</v>
      </c>
      <c r="AD267" s="83"/>
      <c r="AE267" s="83"/>
      <c r="AF267" s="83" t="s">
        <v>2939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1302</v>
      </c>
      <c r="C268" s="29">
        <v>763</v>
      </c>
      <c r="D268" s="27" t="s">
        <v>1301</v>
      </c>
      <c r="E268" s="29" t="s">
        <v>2929</v>
      </c>
      <c r="F268" s="29" t="s">
        <v>3415</v>
      </c>
      <c r="G268" s="31" t="s">
        <v>5604</v>
      </c>
      <c r="H268" s="145" t="s">
        <v>5606</v>
      </c>
      <c r="I268" s="31" t="s">
        <v>5609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306</v>
      </c>
      <c r="U268" s="30" t="s">
        <v>306</v>
      </c>
      <c r="V268" s="95" t="s">
        <v>1193</v>
      </c>
      <c r="W268" s="28">
        <v>113</v>
      </c>
      <c r="X268" s="29"/>
      <c r="Y268" s="29"/>
      <c r="Z268" s="29"/>
      <c r="AA268" s="29"/>
      <c r="AB268" s="29"/>
      <c r="AC268" s="29" t="s">
        <v>2939</v>
      </c>
      <c r="AD268" s="29"/>
      <c r="AE268" s="29"/>
      <c r="AF268" s="29" t="s">
        <v>2939</v>
      </c>
      <c r="AG268" s="29"/>
      <c r="AH268" s="29"/>
      <c r="AI268" s="29"/>
      <c r="AJ268" s="28" t="s">
        <v>2965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1303</v>
      </c>
      <c r="C269" s="40">
        <v>764</v>
      </c>
      <c r="D269" s="38" t="s">
        <v>1301</v>
      </c>
      <c r="E269" s="40" t="s">
        <v>2929</v>
      </c>
      <c r="F269" s="40" t="s">
        <v>3416</v>
      </c>
      <c r="G269" s="41" t="s">
        <v>5604</v>
      </c>
      <c r="H269" s="150" t="s">
        <v>5607</v>
      </c>
      <c r="I269" s="41" t="s">
        <v>5609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306</v>
      </c>
      <c r="U269" s="2" t="s">
        <v>306</v>
      </c>
      <c r="V269" s="97" t="s">
        <v>1193</v>
      </c>
      <c r="W269" s="39">
        <v>113</v>
      </c>
      <c r="X269" s="40"/>
      <c r="Y269" s="40"/>
      <c r="Z269" s="40"/>
      <c r="AA269" s="40"/>
      <c r="AB269" s="40"/>
      <c r="AC269" s="40" t="s">
        <v>2939</v>
      </c>
      <c r="AD269" s="40"/>
      <c r="AE269" s="40"/>
      <c r="AF269" s="40"/>
      <c r="AG269" s="40"/>
      <c r="AH269" s="40"/>
      <c r="AI269" s="40"/>
      <c r="AJ269" s="39" t="s">
        <v>2965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1304</v>
      </c>
      <c r="C270" s="40">
        <v>765</v>
      </c>
      <c r="D270" s="38" t="s">
        <v>1301</v>
      </c>
      <c r="E270" s="40" t="s">
        <v>2929</v>
      </c>
      <c r="F270" s="40" t="s">
        <v>3417</v>
      </c>
      <c r="G270" s="41" t="s">
        <v>5604</v>
      </c>
      <c r="H270" s="150" t="s">
        <v>5606</v>
      </c>
      <c r="I270" s="41" t="s">
        <v>5609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306</v>
      </c>
      <c r="U270" s="2" t="s">
        <v>306</v>
      </c>
      <c r="V270" s="97" t="s">
        <v>1193</v>
      </c>
      <c r="W270" s="39">
        <v>113</v>
      </c>
      <c r="X270" s="40"/>
      <c r="Y270" s="40"/>
      <c r="Z270" s="40"/>
      <c r="AA270" s="40"/>
      <c r="AB270" s="40"/>
      <c r="AC270" s="40" t="s">
        <v>2939</v>
      </c>
      <c r="AD270" s="40"/>
      <c r="AE270" s="40"/>
      <c r="AF270" s="40" t="s">
        <v>2939</v>
      </c>
      <c r="AG270" s="40"/>
      <c r="AH270" s="40"/>
      <c r="AI270" s="40"/>
      <c r="AJ270" s="39" t="s">
        <v>2965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1305</v>
      </c>
      <c r="C271" s="40">
        <v>766</v>
      </c>
      <c r="D271" s="38" t="s">
        <v>1301</v>
      </c>
      <c r="E271" s="40" t="s">
        <v>2929</v>
      </c>
      <c r="F271" s="40" t="s">
        <v>3418</v>
      </c>
      <c r="G271" s="38"/>
      <c r="H271" s="150" t="s">
        <v>5606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1193</v>
      </c>
      <c r="W271" s="39">
        <v>106</v>
      </c>
      <c r="X271" s="40"/>
      <c r="Y271" s="40"/>
      <c r="Z271" s="40"/>
      <c r="AA271" s="40"/>
      <c r="AB271" s="40"/>
      <c r="AC271" s="40" t="s">
        <v>2939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1306</v>
      </c>
      <c r="C272" s="40">
        <v>767</v>
      </c>
      <c r="D272" s="38" t="s">
        <v>1301</v>
      </c>
      <c r="E272" s="40" t="s">
        <v>2929</v>
      </c>
      <c r="F272" s="40" t="s">
        <v>3419</v>
      </c>
      <c r="G272" s="50"/>
      <c r="H272" s="150" t="s">
        <v>5607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1193</v>
      </c>
      <c r="W272" s="39">
        <v>106</v>
      </c>
      <c r="X272" s="40"/>
      <c r="Y272" s="40"/>
      <c r="Z272" s="40"/>
      <c r="AA272" s="40"/>
      <c r="AB272" s="40"/>
      <c r="AC272" s="40" t="s">
        <v>2939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1307</v>
      </c>
      <c r="C273" s="40">
        <v>1213</v>
      </c>
      <c r="D273" s="38" t="s">
        <v>1301</v>
      </c>
      <c r="E273" s="40" t="s">
        <v>2929</v>
      </c>
      <c r="F273" s="40" t="s">
        <v>3420</v>
      </c>
      <c r="G273" s="50"/>
      <c r="H273" s="150" t="s">
        <v>5608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130</v>
      </c>
      <c r="U273" s="2" t="s">
        <v>2916</v>
      </c>
      <c r="V273" s="97" t="s">
        <v>1193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1308</v>
      </c>
      <c r="C274" s="40">
        <v>1214</v>
      </c>
      <c r="D274" s="38" t="s">
        <v>1301</v>
      </c>
      <c r="E274" s="40" t="s">
        <v>2929</v>
      </c>
      <c r="F274" s="40" t="s">
        <v>3421</v>
      </c>
      <c r="G274" s="50"/>
      <c r="H274" s="150" t="s">
        <v>5607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1193</v>
      </c>
      <c r="W274" s="39">
        <v>108</v>
      </c>
      <c r="X274" s="40"/>
      <c r="Y274" s="106"/>
      <c r="Z274" s="40" t="s">
        <v>2939</v>
      </c>
      <c r="AA274" s="40"/>
      <c r="AB274" s="40"/>
      <c r="AC274" s="40"/>
      <c r="AD274" s="40"/>
      <c r="AE274" s="40" t="s">
        <v>2898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1309</v>
      </c>
      <c r="C275" s="83">
        <v>1215</v>
      </c>
      <c r="D275" s="113" t="s">
        <v>1301</v>
      </c>
      <c r="E275" s="83" t="s">
        <v>2929</v>
      </c>
      <c r="F275" s="83" t="s">
        <v>3422</v>
      </c>
      <c r="G275" s="138"/>
      <c r="H275" s="340" t="s">
        <v>5607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1193</v>
      </c>
      <c r="W275" s="86">
        <v>108</v>
      </c>
      <c r="X275" s="83"/>
      <c r="Y275" s="137"/>
      <c r="Z275" s="83" t="s">
        <v>2939</v>
      </c>
      <c r="AA275" s="83"/>
      <c r="AB275" s="83"/>
      <c r="AC275" s="83"/>
      <c r="AD275" s="83"/>
      <c r="AE275" s="83" t="s">
        <v>2939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1435</v>
      </c>
      <c r="C276" s="114">
        <v>1014</v>
      </c>
      <c r="D276" s="27" t="s">
        <v>2966</v>
      </c>
      <c r="E276" s="29" t="s">
        <v>2915</v>
      </c>
      <c r="F276" s="29" t="s">
        <v>3423</v>
      </c>
      <c r="G276" s="27"/>
      <c r="H276" s="145" t="s">
        <v>5606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575</v>
      </c>
      <c r="W276" s="28">
        <v>107</v>
      </c>
      <c r="X276" s="29"/>
      <c r="Y276" s="102"/>
      <c r="Z276" s="29"/>
      <c r="AA276" s="29" t="s">
        <v>2943</v>
      </c>
      <c r="AB276" s="29"/>
      <c r="AC276" s="29" t="s">
        <v>2939</v>
      </c>
      <c r="AD276" s="29" t="s">
        <v>2898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1436</v>
      </c>
      <c r="C277" s="40">
        <v>1015</v>
      </c>
      <c r="D277" s="38" t="s">
        <v>1429</v>
      </c>
      <c r="E277" s="40" t="s">
        <v>2915</v>
      </c>
      <c r="F277" s="40" t="s">
        <v>3424</v>
      </c>
      <c r="G277" s="41" t="s">
        <v>5604</v>
      </c>
      <c r="H277" s="150" t="s">
        <v>5606</v>
      </c>
      <c r="I277" s="41" t="s">
        <v>5609</v>
      </c>
      <c r="J277" s="43">
        <v>202025.171</v>
      </c>
      <c r="K277" s="43">
        <v>2664117.2059999998</v>
      </c>
      <c r="L277" s="43" t="s">
        <v>40</v>
      </c>
      <c r="M277" s="44">
        <v>15</v>
      </c>
      <c r="N277" s="43">
        <v>37</v>
      </c>
      <c r="O277" s="43">
        <v>79</v>
      </c>
      <c r="P277" s="43" t="s">
        <v>41</v>
      </c>
      <c r="Q277" s="43">
        <v>34</v>
      </c>
      <c r="R277" s="43">
        <v>104</v>
      </c>
      <c r="S277" s="43">
        <v>103</v>
      </c>
      <c r="T277" s="2" t="s">
        <v>306</v>
      </c>
      <c r="U277" s="2" t="s">
        <v>3</v>
      </c>
      <c r="V277" s="97" t="s">
        <v>575</v>
      </c>
      <c r="W277" s="39">
        <v>113</v>
      </c>
      <c r="X277" s="40"/>
      <c r="Y277" s="106"/>
      <c r="Z277" s="40"/>
      <c r="AA277" s="40"/>
      <c r="AB277" s="40" t="s">
        <v>2939</v>
      </c>
      <c r="AC277" s="40"/>
      <c r="AD277" s="40"/>
      <c r="AE277" s="40"/>
      <c r="AF277" s="40" t="s">
        <v>2898</v>
      </c>
      <c r="AG277" s="40"/>
      <c r="AH277" s="40"/>
      <c r="AI277" s="40"/>
      <c r="AJ277" s="39" t="s">
        <v>2965</v>
      </c>
      <c r="AK277" s="125"/>
      <c r="AL277" s="195" t="s">
        <v>2967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1437</v>
      </c>
      <c r="C278" s="40">
        <v>1016</v>
      </c>
      <c r="D278" s="38" t="s">
        <v>1429</v>
      </c>
      <c r="E278" s="40" t="s">
        <v>2915</v>
      </c>
      <c r="F278" s="40" t="s">
        <v>3425</v>
      </c>
      <c r="G278" s="41" t="s">
        <v>5604</v>
      </c>
      <c r="H278" s="150" t="s">
        <v>5606</v>
      </c>
      <c r="I278" s="41" t="s">
        <v>5609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575</v>
      </c>
      <c r="U278" s="2" t="s">
        <v>8</v>
      </c>
      <c r="V278" s="97" t="s">
        <v>575</v>
      </c>
      <c r="W278" s="39">
        <v>113</v>
      </c>
      <c r="X278" s="40"/>
      <c r="Y278" s="106"/>
      <c r="Z278" s="40" t="s">
        <v>2939</v>
      </c>
      <c r="AA278" s="40"/>
      <c r="AB278" s="40" t="s">
        <v>2939</v>
      </c>
      <c r="AC278" s="40"/>
      <c r="AD278" s="40"/>
      <c r="AE278" s="40"/>
      <c r="AF278" s="40" t="s">
        <v>2939</v>
      </c>
      <c r="AG278" s="40"/>
      <c r="AH278" s="40"/>
      <c r="AI278" s="40"/>
      <c r="AJ278" s="39" t="s">
        <v>2968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1438</v>
      </c>
      <c r="C279" s="40">
        <v>1017</v>
      </c>
      <c r="D279" s="38" t="s">
        <v>1429</v>
      </c>
      <c r="E279" s="40" t="s">
        <v>2915</v>
      </c>
      <c r="F279" s="40" t="s">
        <v>3426</v>
      </c>
      <c r="G279" s="50"/>
      <c r="H279" s="150" t="s">
        <v>5607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73</v>
      </c>
      <c r="V279" s="97" t="s">
        <v>575</v>
      </c>
      <c r="W279" s="39">
        <v>113</v>
      </c>
      <c r="X279" s="40"/>
      <c r="Y279" s="106"/>
      <c r="Z279" s="40"/>
      <c r="AA279" s="40"/>
      <c r="AB279" s="40" t="s">
        <v>2898</v>
      </c>
      <c r="AC279" s="40"/>
      <c r="AD279" s="40"/>
      <c r="AE279" s="40"/>
      <c r="AF279" s="40"/>
      <c r="AG279" s="40"/>
      <c r="AH279" s="40"/>
      <c r="AI279" s="40"/>
      <c r="AJ279" s="39" t="s">
        <v>2917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1443</v>
      </c>
      <c r="C280" s="83">
        <v>1043</v>
      </c>
      <c r="D280" s="113" t="s">
        <v>1429</v>
      </c>
      <c r="E280" s="83" t="s">
        <v>2915</v>
      </c>
      <c r="F280" s="83" t="s">
        <v>3427</v>
      </c>
      <c r="G280" s="138"/>
      <c r="H280" s="340" t="s">
        <v>5607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73</v>
      </c>
      <c r="V280" s="84" t="s">
        <v>575</v>
      </c>
      <c r="W280" s="86">
        <v>113</v>
      </c>
      <c r="X280" s="83"/>
      <c r="Y280" s="137"/>
      <c r="Z280" s="83"/>
      <c r="AA280" s="83"/>
      <c r="AB280" s="83" t="s">
        <v>2898</v>
      </c>
      <c r="AC280" s="83"/>
      <c r="AD280" s="83"/>
      <c r="AE280" s="83"/>
      <c r="AF280" s="83"/>
      <c r="AG280" s="83"/>
      <c r="AH280" s="83"/>
      <c r="AI280" s="83"/>
      <c r="AJ280" s="86" t="s">
        <v>2917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1457</v>
      </c>
      <c r="C281" s="29">
        <v>1542</v>
      </c>
      <c r="D281" s="27" t="s">
        <v>1456</v>
      </c>
      <c r="E281" s="29" t="s">
        <v>2929</v>
      </c>
      <c r="F281" s="29" t="s">
        <v>3428</v>
      </c>
      <c r="G281" s="192"/>
      <c r="H281" s="145" t="s">
        <v>5607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575</v>
      </c>
      <c r="W281" s="28">
        <v>108</v>
      </c>
      <c r="X281" s="29"/>
      <c r="Y281" s="29"/>
      <c r="Z281" s="29"/>
      <c r="AA281" s="29"/>
      <c r="AB281" s="29"/>
      <c r="AC281" s="29" t="s">
        <v>2939</v>
      </c>
      <c r="AD281" s="29"/>
      <c r="AE281" s="29" t="s">
        <v>2939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2969</v>
      </c>
      <c r="C282" s="40">
        <v>1543</v>
      </c>
      <c r="D282" s="38" t="s">
        <v>1456</v>
      </c>
      <c r="E282" s="40" t="s">
        <v>2929</v>
      </c>
      <c r="F282" s="40" t="s">
        <v>3429</v>
      </c>
      <c r="G282" s="41" t="s">
        <v>5604</v>
      </c>
      <c r="H282" s="150" t="s">
        <v>5606</v>
      </c>
      <c r="I282" s="41" t="s">
        <v>5609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575</v>
      </c>
      <c r="U282" s="2" t="s">
        <v>8</v>
      </c>
      <c r="V282" s="97" t="s">
        <v>575</v>
      </c>
      <c r="W282" s="39">
        <v>114</v>
      </c>
      <c r="X282" s="40"/>
      <c r="Y282" s="40"/>
      <c r="Z282" s="40"/>
      <c r="AA282" s="40"/>
      <c r="AB282" s="40"/>
      <c r="AC282" s="40" t="s">
        <v>2939</v>
      </c>
      <c r="AD282" s="40"/>
      <c r="AE282" s="40" t="s">
        <v>2898</v>
      </c>
      <c r="AF282" s="40"/>
      <c r="AG282" s="40" t="s">
        <v>2939</v>
      </c>
      <c r="AH282" s="40"/>
      <c r="AI282" s="40"/>
      <c r="AJ282" s="39"/>
      <c r="AK282" s="196" t="s">
        <v>303</v>
      </c>
      <c r="AL282" s="49"/>
      <c r="AM282" s="37">
        <v>114</v>
      </c>
    </row>
    <row r="283" spans="1:48" x14ac:dyDescent="0.3">
      <c r="A283" s="15">
        <v>282</v>
      </c>
      <c r="B283" s="40" t="s">
        <v>1458</v>
      </c>
      <c r="C283" s="40">
        <v>1546</v>
      </c>
      <c r="D283" s="38" t="s">
        <v>1456</v>
      </c>
      <c r="E283" s="40" t="s">
        <v>2929</v>
      </c>
      <c r="F283" s="40" t="s">
        <v>3430</v>
      </c>
      <c r="G283" s="41" t="s">
        <v>5604</v>
      </c>
      <c r="H283" s="150" t="s">
        <v>5607</v>
      </c>
      <c r="I283" s="41" t="s">
        <v>5609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575</v>
      </c>
      <c r="W283" s="39">
        <v>108</v>
      </c>
      <c r="X283" s="40"/>
      <c r="Y283" s="40"/>
      <c r="Z283" s="40"/>
      <c r="AA283" s="40"/>
      <c r="AB283" s="40"/>
      <c r="AC283" s="40" t="s">
        <v>2939</v>
      </c>
      <c r="AD283" s="40"/>
      <c r="AE283" s="40" t="s">
        <v>2939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1459</v>
      </c>
      <c r="C284" s="40">
        <v>1547</v>
      </c>
      <c r="D284" s="38" t="s">
        <v>1456</v>
      </c>
      <c r="E284" s="40" t="s">
        <v>2929</v>
      </c>
      <c r="F284" s="40" t="s">
        <v>3431</v>
      </c>
      <c r="G284" s="41" t="s">
        <v>5604</v>
      </c>
      <c r="H284" s="150" t="s">
        <v>5607</v>
      </c>
      <c r="I284" s="41" t="s">
        <v>5609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575</v>
      </c>
      <c r="W284" s="39">
        <v>108</v>
      </c>
      <c r="X284" s="40"/>
      <c r="Y284" s="40"/>
      <c r="Z284" s="40"/>
      <c r="AA284" s="40"/>
      <c r="AB284" s="40"/>
      <c r="AC284" s="40" t="s">
        <v>2939</v>
      </c>
      <c r="AD284" s="40"/>
      <c r="AE284" s="40" t="s">
        <v>2939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1460</v>
      </c>
      <c r="C285" s="40">
        <v>1548</v>
      </c>
      <c r="D285" s="38" t="s">
        <v>1456</v>
      </c>
      <c r="E285" s="40" t="s">
        <v>2929</v>
      </c>
      <c r="F285" s="40" t="s">
        <v>3432</v>
      </c>
      <c r="G285" s="41" t="s">
        <v>5604</v>
      </c>
      <c r="H285" s="150" t="s">
        <v>5607</v>
      </c>
      <c r="I285" s="41" t="s">
        <v>5609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575</v>
      </c>
      <c r="W285" s="39">
        <v>108</v>
      </c>
      <c r="X285" s="40"/>
      <c r="Y285" s="40"/>
      <c r="Z285" s="40"/>
      <c r="AA285" s="40"/>
      <c r="AB285" s="40"/>
      <c r="AC285" s="40" t="s">
        <v>2939</v>
      </c>
      <c r="AD285" s="40"/>
      <c r="AE285" s="40" t="s">
        <v>2939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1461</v>
      </c>
      <c r="C286" s="40">
        <v>1549</v>
      </c>
      <c r="D286" s="38" t="s">
        <v>1456</v>
      </c>
      <c r="E286" s="40" t="s">
        <v>2929</v>
      </c>
      <c r="F286" s="40" t="s">
        <v>3433</v>
      </c>
      <c r="G286" s="41" t="s">
        <v>5604</v>
      </c>
      <c r="H286" s="150" t="s">
        <v>5606</v>
      </c>
      <c r="I286" s="41" t="s">
        <v>5609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306</v>
      </c>
      <c r="U286" s="2" t="s">
        <v>306</v>
      </c>
      <c r="V286" s="97" t="s">
        <v>575</v>
      </c>
      <c r="W286" s="39">
        <v>114</v>
      </c>
      <c r="X286" s="40"/>
      <c r="Y286" s="40"/>
      <c r="Z286" s="40"/>
      <c r="AA286" s="40"/>
      <c r="AB286" s="40"/>
      <c r="AC286" s="40" t="s">
        <v>2939</v>
      </c>
      <c r="AD286" s="40"/>
      <c r="AE286" s="40" t="s">
        <v>2939</v>
      </c>
      <c r="AF286" s="40"/>
      <c r="AG286" s="40" t="s">
        <v>2898</v>
      </c>
      <c r="AH286" s="40"/>
      <c r="AI286" s="40"/>
      <c r="AJ286" s="39"/>
      <c r="AK286" s="196" t="s">
        <v>306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1462</v>
      </c>
      <c r="C287" s="83">
        <v>1550</v>
      </c>
      <c r="D287" s="113" t="s">
        <v>1456</v>
      </c>
      <c r="E287" s="83" t="s">
        <v>2929</v>
      </c>
      <c r="F287" s="83" t="s">
        <v>3434</v>
      </c>
      <c r="G287" s="47" t="s">
        <v>5604</v>
      </c>
      <c r="H287" s="340" t="s">
        <v>5606</v>
      </c>
      <c r="I287" s="47" t="s">
        <v>5609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566</v>
      </c>
      <c r="Q287" s="88">
        <v>34</v>
      </c>
      <c r="R287" s="88">
        <v>384</v>
      </c>
      <c r="S287" s="88">
        <v>130</v>
      </c>
      <c r="T287" s="85" t="s">
        <v>575</v>
      </c>
      <c r="U287" s="85" t="s">
        <v>8</v>
      </c>
      <c r="V287" s="84" t="s">
        <v>575</v>
      </c>
      <c r="W287" s="86">
        <v>114</v>
      </c>
      <c r="X287" s="83"/>
      <c r="Y287" s="83"/>
      <c r="Z287" s="83"/>
      <c r="AA287" s="83"/>
      <c r="AB287" s="83"/>
      <c r="AC287" s="83" t="s">
        <v>2939</v>
      </c>
      <c r="AD287" s="83"/>
      <c r="AE287" s="83" t="s">
        <v>2939</v>
      </c>
      <c r="AF287" s="83"/>
      <c r="AG287" s="83" t="s">
        <v>2939</v>
      </c>
      <c r="AH287" s="83"/>
      <c r="AI287" s="83"/>
      <c r="AJ287" s="86"/>
      <c r="AK287" s="197" t="s">
        <v>303</v>
      </c>
      <c r="AL287" s="90"/>
      <c r="AM287" s="82">
        <v>114</v>
      </c>
    </row>
    <row r="288" spans="1:48" x14ac:dyDescent="0.3">
      <c r="A288" s="15">
        <v>287</v>
      </c>
      <c r="B288" s="29" t="s">
        <v>1475</v>
      </c>
      <c r="C288" s="29">
        <v>1522</v>
      </c>
      <c r="D288" s="27" t="s">
        <v>1474</v>
      </c>
      <c r="E288" s="29" t="s">
        <v>2929</v>
      </c>
      <c r="F288" s="29" t="s">
        <v>3435</v>
      </c>
      <c r="G288" s="192"/>
      <c r="H288" s="145" t="s">
        <v>5607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575</v>
      </c>
      <c r="W288" s="28">
        <v>104</v>
      </c>
      <c r="X288" s="29"/>
      <c r="Y288" s="102"/>
      <c r="Z288" s="29"/>
      <c r="AA288" s="29" t="s">
        <v>2939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1476</v>
      </c>
      <c r="C289" s="40">
        <v>1523</v>
      </c>
      <c r="D289" s="38" t="s">
        <v>1474</v>
      </c>
      <c r="E289" s="40" t="s">
        <v>2929</v>
      </c>
      <c r="F289" s="40" t="s">
        <v>3436</v>
      </c>
      <c r="G289" s="41" t="s">
        <v>5604</v>
      </c>
      <c r="H289" s="150" t="s">
        <v>5607</v>
      </c>
      <c r="I289" s="41" t="s">
        <v>5609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306</v>
      </c>
      <c r="U289" s="2" t="s">
        <v>306</v>
      </c>
      <c r="V289" s="97" t="s">
        <v>575</v>
      </c>
      <c r="W289" s="39">
        <v>111</v>
      </c>
      <c r="X289" s="40"/>
      <c r="Y289" s="106"/>
      <c r="Z289" s="40"/>
      <c r="AA289" s="40" t="s">
        <v>2939</v>
      </c>
      <c r="AB289" s="40"/>
      <c r="AC289" s="40"/>
      <c r="AD289" s="40"/>
      <c r="AE289" s="40"/>
      <c r="AF289" s="40" t="s">
        <v>2939</v>
      </c>
      <c r="AG289" s="40"/>
      <c r="AH289" s="40" t="s">
        <v>2898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2970</v>
      </c>
      <c r="C290" s="40">
        <v>1524</v>
      </c>
      <c r="D290" s="38" t="s">
        <v>1474</v>
      </c>
      <c r="E290" s="40" t="s">
        <v>2929</v>
      </c>
      <c r="F290" s="40" t="s">
        <v>3437</v>
      </c>
      <c r="G290" s="41" t="s">
        <v>5604</v>
      </c>
      <c r="H290" s="150" t="s">
        <v>5606</v>
      </c>
      <c r="I290" s="41" t="s">
        <v>5609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575</v>
      </c>
      <c r="U290" s="2" t="s">
        <v>8</v>
      </c>
      <c r="V290" s="97" t="s">
        <v>575</v>
      </c>
      <c r="W290" s="39">
        <v>114</v>
      </c>
      <c r="X290" s="40"/>
      <c r="Y290" s="106"/>
      <c r="Z290" s="40"/>
      <c r="AA290" s="40" t="s">
        <v>2939</v>
      </c>
      <c r="AB290" s="40"/>
      <c r="AC290" s="40"/>
      <c r="AD290" s="40"/>
      <c r="AE290" s="40"/>
      <c r="AF290" s="40" t="s">
        <v>2939</v>
      </c>
      <c r="AG290" s="40" t="s">
        <v>2939</v>
      </c>
      <c r="AH290" s="40"/>
      <c r="AI290" s="40"/>
      <c r="AJ290" s="39"/>
      <c r="AK290" s="196" t="s">
        <v>303</v>
      </c>
      <c r="AL290" s="49"/>
      <c r="AM290" s="37">
        <v>114</v>
      </c>
    </row>
    <row r="291" spans="1:48" x14ac:dyDescent="0.3">
      <c r="A291" s="15">
        <v>290</v>
      </c>
      <c r="B291" s="40" t="s">
        <v>2971</v>
      </c>
      <c r="C291" s="40">
        <v>1506</v>
      </c>
      <c r="D291" s="38" t="s">
        <v>1474</v>
      </c>
      <c r="E291" s="40" t="s">
        <v>2929</v>
      </c>
      <c r="F291" s="40" t="s">
        <v>3438</v>
      </c>
      <c r="G291" s="41" t="s">
        <v>5604</v>
      </c>
      <c r="H291" s="150" t="s">
        <v>5606</v>
      </c>
      <c r="I291" s="41" t="s">
        <v>5609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575</v>
      </c>
      <c r="U291" s="2" t="s">
        <v>8</v>
      </c>
      <c r="V291" s="97" t="s">
        <v>575</v>
      </c>
      <c r="W291" s="39">
        <v>114</v>
      </c>
      <c r="X291" s="40"/>
      <c r="Y291" s="106"/>
      <c r="Z291" s="40"/>
      <c r="AA291" s="199" t="s">
        <v>2939</v>
      </c>
      <c r="AB291" s="40"/>
      <c r="AC291" s="40"/>
      <c r="AD291" s="40"/>
      <c r="AE291" s="40"/>
      <c r="AF291" s="40" t="s">
        <v>2939</v>
      </c>
      <c r="AG291" s="40"/>
      <c r="AH291" s="40"/>
      <c r="AI291" s="40"/>
      <c r="AJ291" s="39"/>
      <c r="AK291" s="196" t="s">
        <v>303</v>
      </c>
      <c r="AL291" s="49"/>
      <c r="AM291" s="37">
        <v>114</v>
      </c>
    </row>
    <row r="292" spans="1:48" x14ac:dyDescent="0.3">
      <c r="A292" s="15">
        <v>291</v>
      </c>
      <c r="B292" s="40" t="s">
        <v>2972</v>
      </c>
      <c r="C292" s="40">
        <v>1508</v>
      </c>
      <c r="D292" s="38" t="s">
        <v>1474</v>
      </c>
      <c r="E292" s="40" t="s">
        <v>2929</v>
      </c>
      <c r="F292" s="40" t="s">
        <v>3439</v>
      </c>
      <c r="G292" s="41" t="s">
        <v>5604</v>
      </c>
      <c r="H292" s="150" t="s">
        <v>5606</v>
      </c>
      <c r="I292" s="41" t="s">
        <v>5609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306</v>
      </c>
      <c r="U292" s="2" t="s">
        <v>306</v>
      </c>
      <c r="V292" s="97" t="s">
        <v>575</v>
      </c>
      <c r="W292" s="39">
        <v>114</v>
      </c>
      <c r="X292" s="40"/>
      <c r="Y292" s="106"/>
      <c r="Z292" s="40"/>
      <c r="AA292" s="40" t="s">
        <v>2939</v>
      </c>
      <c r="AB292" s="40"/>
      <c r="AC292" s="40"/>
      <c r="AD292" s="40"/>
      <c r="AE292" s="40"/>
      <c r="AF292" s="40" t="s">
        <v>2939</v>
      </c>
      <c r="AG292" s="40"/>
      <c r="AH292" s="40"/>
      <c r="AI292" s="40"/>
      <c r="AJ292" s="39"/>
      <c r="AK292" s="196" t="s">
        <v>306</v>
      </c>
      <c r="AL292" s="49"/>
      <c r="AM292" s="37">
        <v>114</v>
      </c>
    </row>
    <row r="293" spans="1:48" x14ac:dyDescent="0.3">
      <c r="A293" s="15">
        <v>292</v>
      </c>
      <c r="B293" s="40" t="s">
        <v>1478</v>
      </c>
      <c r="C293" s="40">
        <v>1509</v>
      </c>
      <c r="D293" s="38" t="s">
        <v>1474</v>
      </c>
      <c r="E293" s="40" t="s">
        <v>2929</v>
      </c>
      <c r="F293" s="40" t="s">
        <v>3440</v>
      </c>
      <c r="G293" s="50"/>
      <c r="H293" s="150" t="s">
        <v>5607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575</v>
      </c>
      <c r="W293" s="39">
        <v>106</v>
      </c>
      <c r="X293" s="40"/>
      <c r="Y293" s="106"/>
      <c r="Z293" s="40"/>
      <c r="AA293" s="40"/>
      <c r="AB293" s="40"/>
      <c r="AC293" s="40" t="s">
        <v>2898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1479</v>
      </c>
      <c r="C294" s="83">
        <v>1510</v>
      </c>
      <c r="D294" s="113" t="s">
        <v>1474</v>
      </c>
      <c r="E294" s="83" t="s">
        <v>2929</v>
      </c>
      <c r="F294" s="83" t="s">
        <v>3441</v>
      </c>
      <c r="G294" s="138"/>
      <c r="H294" s="340" t="s">
        <v>5607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303</v>
      </c>
      <c r="V294" s="84" t="s">
        <v>575</v>
      </c>
      <c r="W294" s="86">
        <v>108</v>
      </c>
      <c r="X294" s="83"/>
      <c r="Y294" s="137"/>
      <c r="Z294" s="83" t="s">
        <v>2939</v>
      </c>
      <c r="AA294" s="83"/>
      <c r="AB294" s="83"/>
      <c r="AC294" s="83"/>
      <c r="AD294" s="83"/>
      <c r="AE294" s="83" t="s">
        <v>2898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1569</v>
      </c>
      <c r="C295" s="29">
        <v>2241</v>
      </c>
      <c r="D295" s="27" t="s">
        <v>1568</v>
      </c>
      <c r="E295" s="29" t="s">
        <v>2915</v>
      </c>
      <c r="F295" s="29" t="s">
        <v>3442</v>
      </c>
      <c r="G295" s="192"/>
      <c r="H295" s="145" t="s">
        <v>5607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575</v>
      </c>
      <c r="W295" s="28">
        <v>102</v>
      </c>
      <c r="X295" s="29" t="s">
        <v>2939</v>
      </c>
      <c r="Y295" s="29" t="s">
        <v>2939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2908</v>
      </c>
      <c r="AM295" s="164">
        <v>113</v>
      </c>
    </row>
    <row r="296" spans="1:48" x14ac:dyDescent="0.3">
      <c r="A296" s="15">
        <v>295</v>
      </c>
      <c r="B296" s="40" t="s">
        <v>1145</v>
      </c>
      <c r="C296" s="40">
        <v>611</v>
      </c>
      <c r="D296" s="38" t="s">
        <v>2973</v>
      </c>
      <c r="E296" s="40" t="s">
        <v>2963</v>
      </c>
      <c r="F296" s="40" t="s">
        <v>3443</v>
      </c>
      <c r="G296" s="41" t="s">
        <v>5604</v>
      </c>
      <c r="H296" s="150" t="s">
        <v>5607</v>
      </c>
      <c r="I296" s="41" t="s">
        <v>5609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236</v>
      </c>
      <c r="Q296" s="43">
        <v>31.5</v>
      </c>
      <c r="R296" s="43">
        <v>279</v>
      </c>
      <c r="S296" s="43">
        <v>56.4</v>
      </c>
      <c r="T296" s="2" t="s">
        <v>575</v>
      </c>
      <c r="U296" s="2" t="s">
        <v>8</v>
      </c>
      <c r="V296" s="97" t="s">
        <v>575</v>
      </c>
      <c r="W296" s="39">
        <v>113</v>
      </c>
      <c r="X296" s="40"/>
      <c r="Y296" s="40"/>
      <c r="Z296" s="40"/>
      <c r="AA296" s="40" t="s">
        <v>2939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2939</v>
      </c>
      <c r="AK296" s="51"/>
      <c r="AL296" s="54" t="s">
        <v>2908</v>
      </c>
      <c r="AM296" s="167">
        <v>113</v>
      </c>
    </row>
    <row r="297" spans="1:48" x14ac:dyDescent="0.3">
      <c r="A297" s="15">
        <v>296</v>
      </c>
      <c r="B297" s="40" t="s">
        <v>1575</v>
      </c>
      <c r="C297" s="40">
        <v>2232</v>
      </c>
      <c r="D297" s="40" t="s">
        <v>1568</v>
      </c>
      <c r="E297" s="40" t="s">
        <v>2915</v>
      </c>
      <c r="F297" s="40" t="s">
        <v>3444</v>
      </c>
      <c r="G297" s="50" t="s">
        <v>5604</v>
      </c>
      <c r="H297" s="150" t="s">
        <v>5606</v>
      </c>
      <c r="I297" s="50" t="s">
        <v>5609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306</v>
      </c>
      <c r="U297" s="2" t="s">
        <v>306</v>
      </c>
      <c r="V297" s="97" t="s">
        <v>575</v>
      </c>
      <c r="W297" s="39">
        <v>113</v>
      </c>
      <c r="X297" s="40"/>
      <c r="Y297" s="106"/>
      <c r="Z297" s="40"/>
      <c r="AA297" s="40"/>
      <c r="AB297" s="40" t="s">
        <v>2939</v>
      </c>
      <c r="AC297" s="40"/>
      <c r="AD297" s="40"/>
      <c r="AE297" s="40"/>
      <c r="AF297" s="40"/>
      <c r="AG297" s="40"/>
      <c r="AH297" s="40"/>
      <c r="AI297" s="40"/>
      <c r="AJ297" s="39" t="s">
        <v>2965</v>
      </c>
      <c r="AK297" s="125"/>
      <c r="AL297" s="54" t="s">
        <v>2908</v>
      </c>
      <c r="AM297" s="167">
        <v>113</v>
      </c>
    </row>
    <row r="298" spans="1:48" ht="14.4" thickBot="1" x14ac:dyDescent="0.35">
      <c r="A298" s="15">
        <v>297</v>
      </c>
      <c r="B298" s="40" t="s">
        <v>1577</v>
      </c>
      <c r="C298" s="40">
        <v>2233</v>
      </c>
      <c r="D298" s="40" t="s">
        <v>1576</v>
      </c>
      <c r="E298" s="40" t="s">
        <v>2915</v>
      </c>
      <c r="F298" s="40" t="s">
        <v>3445</v>
      </c>
      <c r="G298" s="50" t="s">
        <v>5604</v>
      </c>
      <c r="H298" s="150" t="s">
        <v>5606</v>
      </c>
      <c r="I298" s="50" t="s">
        <v>5609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2907</v>
      </c>
      <c r="U298" s="2" t="s">
        <v>73</v>
      </c>
      <c r="V298" s="97" t="s">
        <v>575</v>
      </c>
      <c r="W298" s="39">
        <v>113</v>
      </c>
      <c r="X298" s="40"/>
      <c r="Y298" s="106"/>
      <c r="Z298" s="40"/>
      <c r="AA298" s="40"/>
      <c r="AB298" s="40" t="s">
        <v>2939</v>
      </c>
      <c r="AC298" s="40"/>
      <c r="AD298" s="40"/>
      <c r="AE298" s="40"/>
      <c r="AF298" s="40" t="s">
        <v>2939</v>
      </c>
      <c r="AG298" s="40"/>
      <c r="AH298" s="40"/>
      <c r="AI298" s="40"/>
      <c r="AJ298" s="39" t="s">
        <v>2917</v>
      </c>
      <c r="AK298" s="125"/>
      <c r="AL298" s="54" t="s">
        <v>2908</v>
      </c>
      <c r="AM298" s="167">
        <v>113</v>
      </c>
    </row>
    <row r="299" spans="1:48" x14ac:dyDescent="0.3">
      <c r="A299" s="15">
        <v>298</v>
      </c>
      <c r="B299" s="29" t="s">
        <v>1592</v>
      </c>
      <c r="C299" s="29">
        <v>2257</v>
      </c>
      <c r="D299" s="27" t="s">
        <v>1590</v>
      </c>
      <c r="E299" s="29" t="s">
        <v>2915</v>
      </c>
      <c r="F299" s="29" t="s">
        <v>3446</v>
      </c>
      <c r="G299" s="200" t="s">
        <v>5604</v>
      </c>
      <c r="H299" s="145" t="s">
        <v>5606</v>
      </c>
      <c r="I299" s="200" t="s">
        <v>5609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331</v>
      </c>
      <c r="Q299" s="33">
        <v>34.4</v>
      </c>
      <c r="R299" s="33">
        <v>361</v>
      </c>
      <c r="S299" s="33">
        <v>178</v>
      </c>
      <c r="T299" s="30" t="s">
        <v>575</v>
      </c>
      <c r="U299" s="30" t="s">
        <v>8</v>
      </c>
      <c r="V299" s="95" t="s">
        <v>575</v>
      </c>
      <c r="W299" s="28">
        <v>113</v>
      </c>
      <c r="X299" s="29"/>
      <c r="Y299" s="102"/>
      <c r="Z299" s="29"/>
      <c r="AA299" s="29" t="s">
        <v>2898</v>
      </c>
      <c r="AB299" s="29"/>
      <c r="AC299" s="29"/>
      <c r="AD299" s="29"/>
      <c r="AE299" s="29"/>
      <c r="AF299" s="29" t="s">
        <v>2939</v>
      </c>
      <c r="AG299" s="29"/>
      <c r="AH299" s="29"/>
      <c r="AI299" s="29"/>
      <c r="AJ299" s="28" t="s">
        <v>2968</v>
      </c>
      <c r="AK299" s="190"/>
      <c r="AL299" s="105" t="s">
        <v>2908</v>
      </c>
      <c r="AM299" s="164">
        <v>113</v>
      </c>
    </row>
    <row r="300" spans="1:48" ht="14.4" thickBot="1" x14ac:dyDescent="0.35">
      <c r="A300" s="15">
        <v>299</v>
      </c>
      <c r="B300" s="83" t="s">
        <v>1147</v>
      </c>
      <c r="C300" s="83">
        <v>613</v>
      </c>
      <c r="D300" s="113" t="s">
        <v>1143</v>
      </c>
      <c r="E300" s="83" t="s">
        <v>2963</v>
      </c>
      <c r="F300" s="83" t="s">
        <v>3447</v>
      </c>
      <c r="G300" s="47" t="s">
        <v>5604</v>
      </c>
      <c r="H300" s="340" t="s">
        <v>5607</v>
      </c>
      <c r="I300" s="47" t="s">
        <v>5609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77</v>
      </c>
      <c r="Q300" s="88">
        <v>33.9</v>
      </c>
      <c r="R300" s="88">
        <v>524</v>
      </c>
      <c r="S300" s="88">
        <v>123</v>
      </c>
      <c r="T300" s="85" t="s">
        <v>575</v>
      </c>
      <c r="U300" s="85" t="s">
        <v>8</v>
      </c>
      <c r="V300" s="84" t="s">
        <v>575</v>
      </c>
      <c r="W300" s="86">
        <v>113</v>
      </c>
      <c r="X300" s="83"/>
      <c r="Y300" s="83"/>
      <c r="Z300" s="83"/>
      <c r="AA300" s="83" t="s">
        <v>2939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2939</v>
      </c>
      <c r="AK300" s="99"/>
      <c r="AL300" s="157" t="s">
        <v>2908</v>
      </c>
      <c r="AM300" s="154">
        <v>113</v>
      </c>
    </row>
    <row r="301" spans="1:48" x14ac:dyDescent="0.3">
      <c r="A301" s="15">
        <v>300</v>
      </c>
      <c r="B301" s="29" t="s">
        <v>1150</v>
      </c>
      <c r="C301" s="29">
        <v>620</v>
      </c>
      <c r="D301" s="27" t="s">
        <v>1143</v>
      </c>
      <c r="E301" s="29" t="s">
        <v>2963</v>
      </c>
      <c r="F301" s="29" t="s">
        <v>3448</v>
      </c>
      <c r="G301" s="31" t="s">
        <v>5604</v>
      </c>
      <c r="H301" s="145" t="s">
        <v>5607</v>
      </c>
      <c r="I301" s="31" t="s">
        <v>5609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37</v>
      </c>
      <c r="Q301" s="33">
        <v>29.9</v>
      </c>
      <c r="R301" s="33">
        <v>499</v>
      </c>
      <c r="S301" s="33">
        <v>93.8</v>
      </c>
      <c r="T301" s="30" t="s">
        <v>575</v>
      </c>
      <c r="U301" s="30" t="s">
        <v>8</v>
      </c>
      <c r="V301" s="95" t="s">
        <v>575</v>
      </c>
      <c r="W301" s="28">
        <v>113</v>
      </c>
      <c r="X301" s="29"/>
      <c r="Y301" s="29"/>
      <c r="Z301" s="29"/>
      <c r="AA301" s="29" t="s">
        <v>2939</v>
      </c>
      <c r="AB301" s="29"/>
      <c r="AC301" s="29"/>
      <c r="AD301" s="29"/>
      <c r="AE301" s="29" t="s">
        <v>2939</v>
      </c>
      <c r="AF301" s="29"/>
      <c r="AG301" s="29"/>
      <c r="AH301" s="29"/>
      <c r="AI301" s="29"/>
      <c r="AJ301" s="29" t="s">
        <v>2939</v>
      </c>
      <c r="AK301" s="35"/>
      <c r="AL301" s="105" t="s">
        <v>2908</v>
      </c>
      <c r="AM301" s="164">
        <v>113</v>
      </c>
    </row>
    <row r="302" spans="1:48" x14ac:dyDescent="0.3">
      <c r="A302" s="15">
        <v>301</v>
      </c>
      <c r="B302" s="40" t="s">
        <v>1496</v>
      </c>
      <c r="C302" s="40">
        <v>604</v>
      </c>
      <c r="D302" s="38" t="s">
        <v>1491</v>
      </c>
      <c r="E302" s="40" t="s">
        <v>2963</v>
      </c>
      <c r="F302" s="40" t="s">
        <v>3449</v>
      </c>
      <c r="G302" s="41" t="s">
        <v>5604</v>
      </c>
      <c r="H302" s="150" t="s">
        <v>5607</v>
      </c>
      <c r="I302" s="41" t="s">
        <v>5609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575</v>
      </c>
      <c r="U302" s="2" t="s">
        <v>8</v>
      </c>
      <c r="V302" s="150" t="s">
        <v>575</v>
      </c>
      <c r="W302" s="39">
        <v>113</v>
      </c>
      <c r="X302" s="40"/>
      <c r="Y302" s="40"/>
      <c r="Z302" s="40"/>
      <c r="AA302" s="40" t="s">
        <v>2939</v>
      </c>
      <c r="AB302" s="40"/>
      <c r="AC302" s="40"/>
      <c r="AD302" s="40"/>
      <c r="AE302" s="40" t="s">
        <v>2939</v>
      </c>
      <c r="AF302" s="40"/>
      <c r="AG302" s="40"/>
      <c r="AH302" s="40"/>
      <c r="AI302" s="40"/>
      <c r="AJ302" s="39" t="s">
        <v>2968</v>
      </c>
      <c r="AK302" s="125"/>
      <c r="AL302" s="54" t="s">
        <v>2908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1604</v>
      </c>
      <c r="C303" s="40">
        <v>1053</v>
      </c>
      <c r="D303" s="38" t="s">
        <v>1600</v>
      </c>
      <c r="E303" s="40" t="s">
        <v>2915</v>
      </c>
      <c r="F303" s="40" t="s">
        <v>3450</v>
      </c>
      <c r="G303" s="41" t="s">
        <v>5604</v>
      </c>
      <c r="H303" s="150" t="s">
        <v>5608</v>
      </c>
      <c r="I303" s="41" t="s">
        <v>5609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56</v>
      </c>
      <c r="V303" s="84" t="s">
        <v>575</v>
      </c>
      <c r="W303" s="39">
        <v>108</v>
      </c>
      <c r="X303" s="40"/>
      <c r="Y303" s="40"/>
      <c r="Z303" s="40"/>
      <c r="AA303" s="40" t="s">
        <v>2939</v>
      </c>
      <c r="AB303" s="40"/>
      <c r="AC303" s="40"/>
      <c r="AD303" s="40"/>
      <c r="AE303" s="40" t="s">
        <v>2943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1605</v>
      </c>
      <c r="C304" s="40">
        <v>1054</v>
      </c>
      <c r="D304" s="38" t="s">
        <v>1600</v>
      </c>
      <c r="E304" s="40" t="s">
        <v>2915</v>
      </c>
      <c r="F304" s="40" t="s">
        <v>3451</v>
      </c>
      <c r="G304" s="41" t="s">
        <v>5604</v>
      </c>
      <c r="H304" s="150" t="s">
        <v>5608</v>
      </c>
      <c r="I304" s="41" t="s">
        <v>5609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708</v>
      </c>
      <c r="U304" s="2" t="s">
        <v>56</v>
      </c>
      <c r="V304" s="84" t="s">
        <v>575</v>
      </c>
      <c r="W304" s="39">
        <v>109</v>
      </c>
      <c r="X304" s="40"/>
      <c r="Y304" s="40"/>
      <c r="Z304" s="40"/>
      <c r="AA304" s="40" t="s">
        <v>2939</v>
      </c>
      <c r="AB304" s="40"/>
      <c r="AC304" s="40"/>
      <c r="AD304" s="40"/>
      <c r="AE304" s="40"/>
      <c r="AF304" s="40" t="s">
        <v>2943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1606</v>
      </c>
      <c r="C305" s="40">
        <v>1055</v>
      </c>
      <c r="D305" s="38" t="s">
        <v>1600</v>
      </c>
      <c r="E305" s="40" t="s">
        <v>2915</v>
      </c>
      <c r="F305" s="40" t="s">
        <v>3452</v>
      </c>
      <c r="G305" s="41" t="s">
        <v>5604</v>
      </c>
      <c r="H305" s="150" t="s">
        <v>5608</v>
      </c>
      <c r="I305" s="41" t="s">
        <v>5609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708</v>
      </c>
      <c r="U305" s="2" t="s">
        <v>56</v>
      </c>
      <c r="V305" s="84" t="s">
        <v>575</v>
      </c>
      <c r="W305" s="39">
        <v>109</v>
      </c>
      <c r="X305" s="40"/>
      <c r="Y305" s="40"/>
      <c r="Z305" s="40"/>
      <c r="AA305" s="40" t="s">
        <v>2939</v>
      </c>
      <c r="AB305" s="40"/>
      <c r="AC305" s="40"/>
      <c r="AD305" s="40"/>
      <c r="AE305" s="40"/>
      <c r="AF305" s="40" t="s">
        <v>2943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1607</v>
      </c>
      <c r="C306" s="40">
        <v>1050</v>
      </c>
      <c r="D306" s="38" t="s">
        <v>1600</v>
      </c>
      <c r="E306" s="40" t="s">
        <v>2915</v>
      </c>
      <c r="F306" s="40" t="s">
        <v>3453</v>
      </c>
      <c r="G306" s="41" t="s">
        <v>5604</v>
      </c>
      <c r="H306" s="150" t="s">
        <v>5606</v>
      </c>
      <c r="I306" s="41" t="s">
        <v>5609</v>
      </c>
      <c r="J306" s="43">
        <v>202221.772</v>
      </c>
      <c r="K306" s="43">
        <v>2664457.6490000002</v>
      </c>
      <c r="L306" s="43" t="s">
        <v>40</v>
      </c>
      <c r="M306" s="43">
        <v>10</v>
      </c>
      <c r="N306" s="43">
        <v>61</v>
      </c>
      <c r="O306" s="43">
        <v>111</v>
      </c>
      <c r="P306" s="43" t="s">
        <v>41</v>
      </c>
      <c r="Q306" s="43">
        <v>40</v>
      </c>
      <c r="R306" s="43">
        <v>203</v>
      </c>
      <c r="S306" s="43">
        <v>107</v>
      </c>
      <c r="T306" s="2" t="s">
        <v>306</v>
      </c>
      <c r="U306" s="2" t="s">
        <v>3</v>
      </c>
      <c r="V306" s="84" t="s">
        <v>575</v>
      </c>
      <c r="W306" s="39">
        <v>113</v>
      </c>
      <c r="X306" s="40"/>
      <c r="Y306" s="40"/>
      <c r="Z306" s="40"/>
      <c r="AA306" s="40" t="s">
        <v>2939</v>
      </c>
      <c r="AB306" s="40"/>
      <c r="AC306" s="40"/>
      <c r="AD306" s="40" t="s">
        <v>2898</v>
      </c>
      <c r="AE306" s="40"/>
      <c r="AF306" s="40" t="s">
        <v>2939</v>
      </c>
      <c r="AG306" s="40"/>
      <c r="AH306" s="40"/>
      <c r="AI306" s="40" t="s">
        <v>2959</v>
      </c>
      <c r="AJ306" s="39" t="s">
        <v>2965</v>
      </c>
      <c r="AK306" s="125"/>
      <c r="AL306" s="195" t="s">
        <v>2967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1608</v>
      </c>
      <c r="C307" s="83">
        <v>1051</v>
      </c>
      <c r="D307" s="113" t="s">
        <v>1600</v>
      </c>
      <c r="E307" s="83" t="s">
        <v>2915</v>
      </c>
      <c r="F307" s="83" t="s">
        <v>3454</v>
      </c>
      <c r="G307" s="47" t="s">
        <v>5604</v>
      </c>
      <c r="H307" s="340" t="s">
        <v>5606</v>
      </c>
      <c r="I307" s="47" t="s">
        <v>5609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306</v>
      </c>
      <c r="U307" s="2" t="s">
        <v>3</v>
      </c>
      <c r="V307" s="84" t="s">
        <v>575</v>
      </c>
      <c r="W307" s="86">
        <v>113</v>
      </c>
      <c r="X307" s="83"/>
      <c r="Y307" s="83"/>
      <c r="Z307" s="83"/>
      <c r="AA307" s="83" t="s">
        <v>2939</v>
      </c>
      <c r="AB307" s="83"/>
      <c r="AC307" s="83"/>
      <c r="AD307" s="83" t="s">
        <v>2898</v>
      </c>
      <c r="AE307" s="83"/>
      <c r="AF307" s="83" t="s">
        <v>2939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2974</v>
      </c>
      <c r="C308" s="205">
        <v>1521</v>
      </c>
      <c r="D308" s="203" t="s">
        <v>1612</v>
      </c>
      <c r="E308" s="205" t="s">
        <v>2929</v>
      </c>
      <c r="F308" s="205" t="s">
        <v>3455</v>
      </c>
      <c r="G308" s="207" t="s">
        <v>5604</v>
      </c>
      <c r="H308" s="453" t="s">
        <v>5606</v>
      </c>
      <c r="I308" s="207" t="s">
        <v>5609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306</v>
      </c>
      <c r="U308" s="206" t="s">
        <v>306</v>
      </c>
      <c r="V308" s="204" t="s">
        <v>1193</v>
      </c>
      <c r="W308" s="208">
        <v>114</v>
      </c>
      <c r="X308" s="205"/>
      <c r="Y308" s="211"/>
      <c r="Z308" s="205"/>
      <c r="AA308" s="205" t="s">
        <v>2939</v>
      </c>
      <c r="AB308" s="205"/>
      <c r="AC308" s="205"/>
      <c r="AD308" s="205"/>
      <c r="AE308" s="205"/>
      <c r="AF308" s="205" t="s">
        <v>2939</v>
      </c>
      <c r="AG308" s="205" t="s">
        <v>2939</v>
      </c>
      <c r="AH308" s="205"/>
      <c r="AI308" s="205"/>
      <c r="AJ308" s="208"/>
      <c r="AK308" s="212" t="s">
        <v>306</v>
      </c>
      <c r="AL308" s="213"/>
      <c r="AM308" s="202">
        <v>114</v>
      </c>
    </row>
    <row r="309" spans="1:48" x14ac:dyDescent="0.3">
      <c r="A309" s="15">
        <v>308</v>
      </c>
      <c r="B309" s="75" t="s">
        <v>1614</v>
      </c>
      <c r="C309" s="75">
        <v>1517</v>
      </c>
      <c r="D309" s="67" t="s">
        <v>1613</v>
      </c>
      <c r="E309" s="75" t="s">
        <v>2929</v>
      </c>
      <c r="F309" s="75" t="s">
        <v>3456</v>
      </c>
      <c r="G309" s="178"/>
      <c r="H309" s="414" t="s">
        <v>5608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130</v>
      </c>
      <c r="U309" s="69" t="s">
        <v>2916</v>
      </c>
      <c r="V309" s="214" t="s">
        <v>2914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1615</v>
      </c>
      <c r="C310" s="40">
        <v>1518</v>
      </c>
      <c r="D310" s="38" t="s">
        <v>1613</v>
      </c>
      <c r="E310" s="40" t="s">
        <v>2929</v>
      </c>
      <c r="F310" s="40" t="s">
        <v>3457</v>
      </c>
      <c r="G310" s="50"/>
      <c r="H310" s="150" t="s">
        <v>5608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130</v>
      </c>
      <c r="U310" s="2" t="s">
        <v>2916</v>
      </c>
      <c r="V310" s="93" t="s">
        <v>2914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1616</v>
      </c>
      <c r="C311" s="40">
        <v>1519</v>
      </c>
      <c r="D311" s="38" t="s">
        <v>1613</v>
      </c>
      <c r="E311" s="40" t="s">
        <v>2929</v>
      </c>
      <c r="F311" s="40" t="s">
        <v>3458</v>
      </c>
      <c r="G311" s="41" t="s">
        <v>5604</v>
      </c>
      <c r="H311" s="150" t="s">
        <v>5606</v>
      </c>
      <c r="I311" s="41" t="s">
        <v>5609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2907</v>
      </c>
      <c r="U311" s="2" t="s">
        <v>8</v>
      </c>
      <c r="V311" s="93" t="s">
        <v>2914</v>
      </c>
      <c r="W311" s="39">
        <v>109</v>
      </c>
      <c r="X311" s="40"/>
      <c r="Y311" s="106"/>
      <c r="Z311" s="40"/>
      <c r="AA311" s="40" t="s">
        <v>2939</v>
      </c>
      <c r="AB311" s="40"/>
      <c r="AC311" s="40"/>
      <c r="AD311" s="40"/>
      <c r="AE311" s="40"/>
      <c r="AF311" s="40" t="s">
        <v>2939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1617</v>
      </c>
      <c r="C312" s="83">
        <v>1520</v>
      </c>
      <c r="D312" s="113" t="s">
        <v>1613</v>
      </c>
      <c r="E312" s="83" t="s">
        <v>2929</v>
      </c>
      <c r="F312" s="83" t="s">
        <v>3459</v>
      </c>
      <c r="G312" s="47" t="s">
        <v>5604</v>
      </c>
      <c r="H312" s="340" t="s">
        <v>5606</v>
      </c>
      <c r="I312" s="47" t="s">
        <v>5609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306</v>
      </c>
      <c r="U312" s="85" t="s">
        <v>3</v>
      </c>
      <c r="V312" s="94" t="s">
        <v>2914</v>
      </c>
      <c r="W312" s="86">
        <v>109</v>
      </c>
      <c r="X312" s="83"/>
      <c r="Y312" s="137"/>
      <c r="Z312" s="83"/>
      <c r="AA312" s="83"/>
      <c r="AB312" s="83"/>
      <c r="AC312" s="83" t="s">
        <v>2898</v>
      </c>
      <c r="AD312" s="83"/>
      <c r="AE312" s="83"/>
      <c r="AF312" s="83" t="s">
        <v>2898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1624</v>
      </c>
      <c r="C313" s="29">
        <v>1526</v>
      </c>
      <c r="D313" s="27" t="s">
        <v>1623</v>
      </c>
      <c r="E313" s="217" t="s">
        <v>2929</v>
      </c>
      <c r="F313" s="217" t="s">
        <v>3460</v>
      </c>
      <c r="G313" s="31" t="s">
        <v>5604</v>
      </c>
      <c r="H313" s="145" t="s">
        <v>5606</v>
      </c>
      <c r="I313" s="31" t="s">
        <v>5609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2907</v>
      </c>
      <c r="U313" s="30" t="s">
        <v>8</v>
      </c>
      <c r="V313" s="91" t="s">
        <v>2914</v>
      </c>
      <c r="W313" s="28">
        <v>109</v>
      </c>
      <c r="X313" s="29"/>
      <c r="Y313" s="29"/>
      <c r="Z313" s="29"/>
      <c r="AA313" s="29"/>
      <c r="AB313" s="29" t="s">
        <v>2939</v>
      </c>
      <c r="AC313" s="29"/>
      <c r="AD313" s="29"/>
      <c r="AE313" s="29" t="s">
        <v>2898</v>
      </c>
      <c r="AF313" s="29" t="s">
        <v>2939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1625</v>
      </c>
      <c r="C314" s="83">
        <v>1529</v>
      </c>
      <c r="D314" s="113" t="s">
        <v>1623</v>
      </c>
      <c r="E314" s="218" t="s">
        <v>2929</v>
      </c>
      <c r="F314" s="218" t="s">
        <v>3461</v>
      </c>
      <c r="G314" s="47" t="s">
        <v>5604</v>
      </c>
      <c r="H314" s="340" t="s">
        <v>5606</v>
      </c>
      <c r="I314" s="47" t="s">
        <v>5609</v>
      </c>
      <c r="J314" s="88">
        <v>196499</v>
      </c>
      <c r="K314" s="88">
        <v>2664743</v>
      </c>
      <c r="L314" s="88" t="s">
        <v>1626</v>
      </c>
      <c r="M314" s="89">
        <v>3.03</v>
      </c>
      <c r="N314" s="88">
        <v>169</v>
      </c>
      <c r="O314" s="88">
        <v>113</v>
      </c>
      <c r="P314" s="88" t="s">
        <v>233</v>
      </c>
      <c r="Q314" s="88">
        <v>35.799999999999997</v>
      </c>
      <c r="R314" s="88">
        <v>286</v>
      </c>
      <c r="S314" s="88">
        <v>75.8</v>
      </c>
      <c r="T314" s="85" t="s">
        <v>575</v>
      </c>
      <c r="U314" s="85" t="s">
        <v>8</v>
      </c>
      <c r="V314" s="94" t="s">
        <v>2914</v>
      </c>
      <c r="W314" s="86">
        <v>109</v>
      </c>
      <c r="X314" s="83"/>
      <c r="Y314" s="83"/>
      <c r="Z314" s="83"/>
      <c r="AA314" s="83"/>
      <c r="AB314" s="83" t="s">
        <v>2939</v>
      </c>
      <c r="AC314" s="83"/>
      <c r="AD314" s="83"/>
      <c r="AE314" s="83" t="s">
        <v>2898</v>
      </c>
      <c r="AF314" s="83" t="s">
        <v>2939</v>
      </c>
      <c r="AG314" s="83"/>
      <c r="AH314" s="83" t="s">
        <v>2939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1538</v>
      </c>
      <c r="C315" s="29">
        <v>349</v>
      </c>
      <c r="D315" s="27" t="s">
        <v>1531</v>
      </c>
      <c r="E315" s="29" t="s">
        <v>2963</v>
      </c>
      <c r="F315" s="29" t="s">
        <v>3462</v>
      </c>
      <c r="G315" s="200" t="s">
        <v>5604</v>
      </c>
      <c r="H315" s="145" t="s">
        <v>5606</v>
      </c>
      <c r="I315" s="200" t="s">
        <v>5609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575</v>
      </c>
      <c r="U315" s="30" t="s">
        <v>303</v>
      </c>
      <c r="V315" s="145" t="s">
        <v>575</v>
      </c>
      <c r="W315" s="28">
        <v>113</v>
      </c>
      <c r="X315" s="29"/>
      <c r="Y315" s="29"/>
      <c r="Z315" s="29" t="s">
        <v>2939</v>
      </c>
      <c r="AA315" s="29"/>
      <c r="AB315" s="29"/>
      <c r="AC315" s="29" t="s">
        <v>2898</v>
      </c>
      <c r="AD315" s="29"/>
      <c r="AE315" s="29"/>
      <c r="AF315" s="29"/>
      <c r="AG315" s="29"/>
      <c r="AH315" s="29"/>
      <c r="AI315" s="29"/>
      <c r="AJ315" s="28" t="s">
        <v>2968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1630</v>
      </c>
      <c r="C316" s="40">
        <v>1528</v>
      </c>
      <c r="D316" s="38" t="s">
        <v>1627</v>
      </c>
      <c r="E316" s="221" t="s">
        <v>2929</v>
      </c>
      <c r="F316" s="221" t="s">
        <v>3463</v>
      </c>
      <c r="G316" s="41" t="s">
        <v>5604</v>
      </c>
      <c r="H316" s="150" t="s">
        <v>5606</v>
      </c>
      <c r="I316" s="41" t="s">
        <v>5609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306</v>
      </c>
      <c r="U316" s="2" t="s">
        <v>306</v>
      </c>
      <c r="V316" s="97" t="s">
        <v>575</v>
      </c>
      <c r="W316" s="39">
        <v>113</v>
      </c>
      <c r="X316" s="40"/>
      <c r="Y316" s="40"/>
      <c r="Z316" s="40"/>
      <c r="AA316" s="40"/>
      <c r="AB316" s="40" t="s">
        <v>2939</v>
      </c>
      <c r="AC316" s="40"/>
      <c r="AD316" s="40"/>
      <c r="AE316" s="40" t="s">
        <v>2939</v>
      </c>
      <c r="AF316" s="40"/>
      <c r="AG316" s="40" t="s">
        <v>2939</v>
      </c>
      <c r="AH316" s="40"/>
      <c r="AI316" s="40"/>
      <c r="AJ316" s="39" t="s">
        <v>2965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1631</v>
      </c>
      <c r="C317" s="83">
        <v>1527</v>
      </c>
      <c r="D317" s="113" t="s">
        <v>1627</v>
      </c>
      <c r="E317" s="218" t="s">
        <v>2929</v>
      </c>
      <c r="F317" s="218" t="s">
        <v>3464</v>
      </c>
      <c r="G317" s="47" t="s">
        <v>5604</v>
      </c>
      <c r="H317" s="340" t="s">
        <v>5606</v>
      </c>
      <c r="I317" s="47" t="s">
        <v>5609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306</v>
      </c>
      <c r="U317" s="85" t="str">
        <f>U316</f>
        <v>正常</v>
      </c>
      <c r="V317" s="84" t="s">
        <v>575</v>
      </c>
      <c r="W317" s="86">
        <v>113</v>
      </c>
      <c r="X317" s="83"/>
      <c r="Y317" s="83"/>
      <c r="Z317" s="83"/>
      <c r="AA317" s="83"/>
      <c r="AB317" s="83" t="s">
        <v>2939</v>
      </c>
      <c r="AC317" s="83"/>
      <c r="AD317" s="83"/>
      <c r="AE317" s="83" t="s">
        <v>2939</v>
      </c>
      <c r="AF317" s="83"/>
      <c r="AG317" s="83" t="s">
        <v>2939</v>
      </c>
      <c r="AH317" s="83"/>
      <c r="AI317" s="83"/>
      <c r="AJ317" s="86" t="s">
        <v>2965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1650</v>
      </c>
      <c r="C318" s="40">
        <v>570</v>
      </c>
      <c r="D318" s="38" t="s">
        <v>1647</v>
      </c>
      <c r="E318" s="40" t="s">
        <v>2963</v>
      </c>
      <c r="F318" s="40" t="s">
        <v>3465</v>
      </c>
      <c r="G318" s="41" t="s">
        <v>5604</v>
      </c>
      <c r="H318" s="150" t="s">
        <v>5606</v>
      </c>
      <c r="I318" s="41" t="s">
        <v>5609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2907</v>
      </c>
      <c r="U318" s="2" t="s">
        <v>8</v>
      </c>
      <c r="V318" s="97" t="s">
        <v>2397</v>
      </c>
      <c r="W318" s="39">
        <v>109</v>
      </c>
      <c r="X318" s="40"/>
      <c r="Y318" s="106"/>
      <c r="Z318" s="40" t="s">
        <v>2898</v>
      </c>
      <c r="AA318" s="40"/>
      <c r="AB318" s="40"/>
      <c r="AC318" s="40"/>
      <c r="AD318" s="40"/>
      <c r="AE318" s="40"/>
      <c r="AF318" s="40" t="s">
        <v>2939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1667</v>
      </c>
      <c r="C319" s="29">
        <v>560</v>
      </c>
      <c r="D319" s="27" t="s">
        <v>1666</v>
      </c>
      <c r="E319" s="29" t="s">
        <v>2963</v>
      </c>
      <c r="F319" s="29" t="s">
        <v>3466</v>
      </c>
      <c r="G319" s="21" t="s">
        <v>5604</v>
      </c>
      <c r="H319" s="145" t="s">
        <v>5606</v>
      </c>
      <c r="I319" s="21" t="s">
        <v>5609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575</v>
      </c>
      <c r="U319" s="30" t="s">
        <v>8</v>
      </c>
      <c r="V319" s="95" t="s">
        <v>575</v>
      </c>
      <c r="W319" s="222">
        <v>111</v>
      </c>
      <c r="X319" s="29"/>
      <c r="Y319" s="29"/>
      <c r="Z319" s="29"/>
      <c r="AA319" s="29" t="s">
        <v>2939</v>
      </c>
      <c r="AB319" s="29"/>
      <c r="AC319" s="29"/>
      <c r="AD319" s="29"/>
      <c r="AE319" s="29"/>
      <c r="AF319" s="29" t="s">
        <v>2939</v>
      </c>
      <c r="AG319" s="29"/>
      <c r="AH319" s="29" t="s">
        <v>2939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1543</v>
      </c>
      <c r="C320" s="40">
        <v>333</v>
      </c>
      <c r="D320" s="38" t="s">
        <v>1541</v>
      </c>
      <c r="E320" s="40" t="s">
        <v>2963</v>
      </c>
      <c r="F320" s="40" t="s">
        <v>3467</v>
      </c>
      <c r="G320" s="223" t="s">
        <v>5604</v>
      </c>
      <c r="H320" s="150" t="s">
        <v>5606</v>
      </c>
      <c r="I320" s="223" t="s">
        <v>5609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575</v>
      </c>
      <c r="U320" s="2" t="s">
        <v>8</v>
      </c>
      <c r="V320" s="150" t="s">
        <v>575</v>
      </c>
      <c r="W320" s="39">
        <v>113</v>
      </c>
      <c r="X320" s="40"/>
      <c r="Y320" s="40"/>
      <c r="Z320" s="40" t="s">
        <v>2939</v>
      </c>
      <c r="AA320" s="40"/>
      <c r="AB320" s="40"/>
      <c r="AC320" s="40"/>
      <c r="AD320" s="40" t="s">
        <v>2939</v>
      </c>
      <c r="AE320" s="40"/>
      <c r="AF320" s="40"/>
      <c r="AG320" s="40"/>
      <c r="AH320" s="40"/>
      <c r="AI320" s="40"/>
      <c r="AJ320" s="39" t="s">
        <v>2968</v>
      </c>
      <c r="AK320" s="125"/>
      <c r="AL320" s="54" t="s">
        <v>2908</v>
      </c>
      <c r="AM320" s="53">
        <v>113</v>
      </c>
    </row>
    <row r="321" spans="1:48" x14ac:dyDescent="0.3">
      <c r="A321" s="15">
        <v>320</v>
      </c>
      <c r="B321" s="40" t="s">
        <v>1545</v>
      </c>
      <c r="C321" s="40">
        <v>339</v>
      </c>
      <c r="D321" s="38" t="s">
        <v>1541</v>
      </c>
      <c r="E321" s="40" t="s">
        <v>2963</v>
      </c>
      <c r="F321" s="40" t="s">
        <v>3468</v>
      </c>
      <c r="G321" s="223" t="s">
        <v>5604</v>
      </c>
      <c r="H321" s="150" t="s">
        <v>5606</v>
      </c>
      <c r="I321" s="223" t="s">
        <v>5609</v>
      </c>
      <c r="J321" s="43">
        <v>200067</v>
      </c>
      <c r="K321" s="43">
        <v>2664514.2400000002</v>
      </c>
      <c r="L321" s="43" t="s">
        <v>40</v>
      </c>
      <c r="M321" s="44">
        <v>9</v>
      </c>
      <c r="N321" s="43">
        <v>90</v>
      </c>
      <c r="O321" s="43">
        <v>132</v>
      </c>
      <c r="P321" s="43" t="s">
        <v>41</v>
      </c>
      <c r="Q321" s="43">
        <v>40</v>
      </c>
      <c r="R321" s="43">
        <v>317</v>
      </c>
      <c r="S321" s="43">
        <v>120</v>
      </c>
      <c r="T321" s="79" t="s">
        <v>575</v>
      </c>
      <c r="U321" s="2" t="s">
        <v>303</v>
      </c>
      <c r="V321" s="150" t="s">
        <v>575</v>
      </c>
      <c r="W321" s="39">
        <v>113</v>
      </c>
      <c r="X321" s="40"/>
      <c r="Y321" s="40"/>
      <c r="Z321" s="40" t="s">
        <v>2939</v>
      </c>
      <c r="AA321" s="40"/>
      <c r="AB321" s="40"/>
      <c r="AC321" s="40"/>
      <c r="AD321" s="40"/>
      <c r="AE321" s="40" t="s">
        <v>2898</v>
      </c>
      <c r="AF321" s="40"/>
      <c r="AG321" s="40"/>
      <c r="AH321" s="40"/>
      <c r="AI321" s="40"/>
      <c r="AJ321" s="39" t="s">
        <v>2968</v>
      </c>
      <c r="AK321" s="125"/>
      <c r="AL321" s="189" t="s">
        <v>2964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1674</v>
      </c>
      <c r="C322" s="40">
        <v>547</v>
      </c>
      <c r="D322" s="38" t="s">
        <v>1666</v>
      </c>
      <c r="E322" s="40" t="s">
        <v>2963</v>
      </c>
      <c r="F322" s="40" t="s">
        <v>3469</v>
      </c>
      <c r="G322" s="41" t="s">
        <v>5604</v>
      </c>
      <c r="H322" s="150" t="s">
        <v>5606</v>
      </c>
      <c r="I322" s="41" t="s">
        <v>5609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2907</v>
      </c>
      <c r="U322" s="2" t="s">
        <v>8</v>
      </c>
      <c r="V322" s="97" t="s">
        <v>575</v>
      </c>
      <c r="W322" s="39">
        <v>109</v>
      </c>
      <c r="X322" s="199"/>
      <c r="Y322" s="224"/>
      <c r="Z322" s="199" t="s">
        <v>2939</v>
      </c>
      <c r="AA322" s="199"/>
      <c r="AB322" s="199"/>
      <c r="AC322" s="199" t="s">
        <v>2898</v>
      </c>
      <c r="AD322" s="199"/>
      <c r="AE322" s="199"/>
      <c r="AF322" s="40" t="s">
        <v>2939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1551</v>
      </c>
      <c r="C323" s="58">
        <v>250</v>
      </c>
      <c r="D323" s="56" t="s">
        <v>1550</v>
      </c>
      <c r="E323" s="58" t="s">
        <v>2963</v>
      </c>
      <c r="F323" s="58" t="s">
        <v>3470</v>
      </c>
      <c r="G323" s="227" t="s">
        <v>5604</v>
      </c>
      <c r="H323" s="226" t="s">
        <v>5607</v>
      </c>
      <c r="I323" s="227" t="s">
        <v>5609</v>
      </c>
      <c r="J323" s="62">
        <v>200017.52</v>
      </c>
      <c r="K323" s="62">
        <v>2664517</v>
      </c>
      <c r="L323" s="62" t="s">
        <v>40</v>
      </c>
      <c r="M323" s="62">
        <v>8</v>
      </c>
      <c r="N323" s="62">
        <v>107</v>
      </c>
      <c r="O323" s="62">
        <v>127</v>
      </c>
      <c r="P323" s="62" t="s">
        <v>41</v>
      </c>
      <c r="Q323" s="62">
        <v>33</v>
      </c>
      <c r="R323" s="62">
        <v>309</v>
      </c>
      <c r="S323" s="62">
        <v>140</v>
      </c>
      <c r="T323" s="112" t="s">
        <v>575</v>
      </c>
      <c r="U323" s="59" t="s">
        <v>8</v>
      </c>
      <c r="V323" s="226" t="s">
        <v>575</v>
      </c>
      <c r="W323" s="57">
        <v>113</v>
      </c>
      <c r="X323" s="58"/>
      <c r="Y323" s="109"/>
      <c r="Z323" s="58"/>
      <c r="AA323" s="58" t="s">
        <v>2939</v>
      </c>
      <c r="AB323" s="58"/>
      <c r="AC323" s="58"/>
      <c r="AD323" s="58" t="s">
        <v>2939</v>
      </c>
      <c r="AE323" s="58"/>
      <c r="AF323" s="58"/>
      <c r="AG323" s="58"/>
      <c r="AH323" s="58"/>
      <c r="AI323" s="58"/>
      <c r="AJ323" s="57" t="s">
        <v>2968</v>
      </c>
      <c r="AK323" s="191"/>
      <c r="AL323" s="189" t="s">
        <v>2964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1702</v>
      </c>
      <c r="C324" s="231">
        <v>2077</v>
      </c>
      <c r="D324" s="229" t="s">
        <v>1701</v>
      </c>
      <c r="E324" s="231" t="s">
        <v>2963</v>
      </c>
      <c r="F324" s="231" t="s">
        <v>3471</v>
      </c>
      <c r="G324" s="233" t="s">
        <v>5604</v>
      </c>
      <c r="H324" s="435" t="s">
        <v>5606</v>
      </c>
      <c r="I324" s="233" t="s">
        <v>5609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2907</v>
      </c>
      <c r="U324" s="232" t="s">
        <v>8</v>
      </c>
      <c r="V324" s="230" t="s">
        <v>2914</v>
      </c>
      <c r="W324" s="234">
        <v>109</v>
      </c>
      <c r="X324" s="231"/>
      <c r="Y324" s="238"/>
      <c r="Z324" s="231"/>
      <c r="AA324" s="231"/>
      <c r="AB324" s="231"/>
      <c r="AC324" s="231" t="s">
        <v>2898</v>
      </c>
      <c r="AD324" s="231"/>
      <c r="AE324" s="231"/>
      <c r="AF324" s="231" t="s">
        <v>2939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1773</v>
      </c>
      <c r="C325" s="29">
        <v>1473</v>
      </c>
      <c r="D325" s="27" t="s">
        <v>1772</v>
      </c>
      <c r="E325" s="29" t="s">
        <v>2929</v>
      </c>
      <c r="F325" s="29" t="s">
        <v>3472</v>
      </c>
      <c r="G325" s="192"/>
      <c r="H325" s="145" t="s">
        <v>5607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575</v>
      </c>
      <c r="W325" s="28">
        <v>108</v>
      </c>
      <c r="X325" s="29"/>
      <c r="Y325" s="102"/>
      <c r="Z325" s="29" t="s">
        <v>2939</v>
      </c>
      <c r="AA325" s="29"/>
      <c r="AB325" s="29"/>
      <c r="AC325" s="29"/>
      <c r="AD325" s="29"/>
      <c r="AE325" s="29" t="s">
        <v>2939</v>
      </c>
      <c r="AF325" s="29"/>
      <c r="AG325" s="29"/>
      <c r="AH325" s="29"/>
      <c r="AI325" s="29"/>
      <c r="AJ325" s="28"/>
      <c r="AK325" s="190"/>
      <c r="AL325" s="105" t="s">
        <v>2908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1565</v>
      </c>
      <c r="E326" s="40" t="s">
        <v>2963</v>
      </c>
      <c r="F326" s="40" t="s">
        <v>3473</v>
      </c>
      <c r="G326" s="223" t="s">
        <v>5604</v>
      </c>
      <c r="H326" s="150" t="s">
        <v>5606</v>
      </c>
      <c r="I326" s="223" t="s">
        <v>5609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2397</v>
      </c>
      <c r="U326" s="2" t="s">
        <v>8</v>
      </c>
      <c r="V326" s="150" t="s">
        <v>2397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2939</v>
      </c>
      <c r="AF326" s="40"/>
      <c r="AG326" s="40"/>
      <c r="AH326" s="40"/>
      <c r="AI326" s="40"/>
      <c r="AJ326" s="39" t="s">
        <v>2968</v>
      </c>
      <c r="AK326" s="125"/>
      <c r="AL326" s="54" t="s">
        <v>2908</v>
      </c>
      <c r="AM326" s="53">
        <v>113</v>
      </c>
      <c r="AO326" s="220"/>
    </row>
    <row r="327" spans="1:48" x14ac:dyDescent="0.3">
      <c r="A327" s="15">
        <v>326</v>
      </c>
      <c r="B327" s="40" t="s">
        <v>1778</v>
      </c>
      <c r="C327" s="40">
        <v>1494</v>
      </c>
      <c r="D327" s="38" t="s">
        <v>1776</v>
      </c>
      <c r="E327" s="4" t="s">
        <v>457</v>
      </c>
      <c r="F327" s="4" t="s">
        <v>3474</v>
      </c>
      <c r="G327" s="223" t="s">
        <v>5604</v>
      </c>
      <c r="H327" s="150" t="s">
        <v>5606</v>
      </c>
      <c r="I327" s="223" t="s">
        <v>5609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2907</v>
      </c>
      <c r="U327" s="2" t="s">
        <v>8</v>
      </c>
      <c r="V327" s="97" t="s">
        <v>575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2968</v>
      </c>
      <c r="AK327" s="125"/>
      <c r="AL327" s="189" t="s">
        <v>2975</v>
      </c>
      <c r="AM327" s="241">
        <v>113</v>
      </c>
    </row>
    <row r="328" spans="1:48" x14ac:dyDescent="0.3">
      <c r="A328" s="15">
        <v>327</v>
      </c>
      <c r="B328" s="40" t="s">
        <v>1786</v>
      </c>
      <c r="C328" s="40">
        <v>1471</v>
      </c>
      <c r="D328" s="38" t="s">
        <v>1772</v>
      </c>
      <c r="E328" s="40" t="s">
        <v>2929</v>
      </c>
      <c r="F328" s="40" t="s">
        <v>3475</v>
      </c>
      <c r="G328" s="50" t="s">
        <v>5604</v>
      </c>
      <c r="H328" s="150" t="s">
        <v>5607</v>
      </c>
      <c r="I328" s="50" t="s">
        <v>5609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306</v>
      </c>
      <c r="U328" s="2" t="s">
        <v>3</v>
      </c>
      <c r="V328" s="97" t="s">
        <v>575</v>
      </c>
      <c r="W328" s="39">
        <v>109</v>
      </c>
      <c r="X328" s="40"/>
      <c r="Y328" s="106"/>
      <c r="Z328" s="40"/>
      <c r="AA328" s="40" t="s">
        <v>2898</v>
      </c>
      <c r="AB328" s="40"/>
      <c r="AC328" s="40" t="s">
        <v>2898</v>
      </c>
      <c r="AD328" s="40"/>
      <c r="AE328" s="40"/>
      <c r="AF328" s="40" t="s">
        <v>2898</v>
      </c>
      <c r="AG328" s="40"/>
      <c r="AH328" s="40"/>
      <c r="AI328" s="40"/>
      <c r="AJ328" s="39"/>
      <c r="AK328" s="125"/>
      <c r="AL328" s="54" t="s">
        <v>2908</v>
      </c>
      <c r="AM328" s="37">
        <v>113</v>
      </c>
    </row>
    <row r="329" spans="1:48" ht="14.4" thickBot="1" x14ac:dyDescent="0.35">
      <c r="A329" s="15">
        <v>328</v>
      </c>
      <c r="B329" s="83" t="s">
        <v>1574</v>
      </c>
      <c r="C329" s="83">
        <v>2227</v>
      </c>
      <c r="D329" s="113" t="s">
        <v>1568</v>
      </c>
      <c r="E329" s="83" t="s">
        <v>2915</v>
      </c>
      <c r="F329" s="83" t="s">
        <v>3476</v>
      </c>
      <c r="G329" s="138" t="s">
        <v>5604</v>
      </c>
      <c r="H329" s="340" t="s">
        <v>5607</v>
      </c>
      <c r="I329" s="138" t="s">
        <v>5609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575</v>
      </c>
      <c r="U329" s="85" t="s">
        <v>8</v>
      </c>
      <c r="V329" s="84" t="s">
        <v>575</v>
      </c>
      <c r="W329" s="86">
        <v>113</v>
      </c>
      <c r="X329" s="83"/>
      <c r="Y329" s="137"/>
      <c r="Z329" s="83"/>
      <c r="AA329" s="83"/>
      <c r="AB329" s="83" t="s">
        <v>2939</v>
      </c>
      <c r="AC329" s="83"/>
      <c r="AD329" s="83"/>
      <c r="AE329" s="83"/>
      <c r="AF329" s="83"/>
      <c r="AG329" s="83"/>
      <c r="AH329" s="83"/>
      <c r="AI329" s="83"/>
      <c r="AJ329" s="86" t="s">
        <v>2968</v>
      </c>
      <c r="AK329" s="191"/>
      <c r="AL329" s="157" t="s">
        <v>2908</v>
      </c>
      <c r="AM329" s="154">
        <v>113</v>
      </c>
    </row>
    <row r="330" spans="1:48" x14ac:dyDescent="0.3">
      <c r="A330" s="15">
        <v>329</v>
      </c>
      <c r="B330" s="29" t="s">
        <v>1849</v>
      </c>
      <c r="C330" s="29">
        <v>300</v>
      </c>
      <c r="D330" s="27" t="s">
        <v>1848</v>
      </c>
      <c r="E330" s="29" t="s">
        <v>2963</v>
      </c>
      <c r="F330" s="29" t="s">
        <v>3477</v>
      </c>
      <c r="G330" s="192"/>
      <c r="H330" s="145" t="s">
        <v>5607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2914</v>
      </c>
      <c r="W330" s="28">
        <v>108</v>
      </c>
      <c r="X330" s="29"/>
      <c r="Y330" s="29"/>
      <c r="Z330" s="29"/>
      <c r="AA330" s="29" t="s">
        <v>2939</v>
      </c>
      <c r="AB330" s="29"/>
      <c r="AC330" s="29"/>
      <c r="AD330" s="29"/>
      <c r="AE330" s="29" t="s">
        <v>2939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1851</v>
      </c>
      <c r="C331" s="40">
        <v>304</v>
      </c>
      <c r="D331" s="38" t="s">
        <v>1850</v>
      </c>
      <c r="E331" s="40" t="s">
        <v>2963</v>
      </c>
      <c r="F331" s="40" t="s">
        <v>3478</v>
      </c>
      <c r="G331" s="50"/>
      <c r="H331" s="150" t="s">
        <v>5607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2914</v>
      </c>
      <c r="W331" s="39">
        <v>104</v>
      </c>
      <c r="X331" s="40"/>
      <c r="Y331" s="40"/>
      <c r="Z331" s="40"/>
      <c r="AA331" s="40" t="s">
        <v>2939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1853</v>
      </c>
      <c r="C332" s="40">
        <v>280</v>
      </c>
      <c r="D332" s="38" t="s">
        <v>1850</v>
      </c>
      <c r="E332" s="40" t="s">
        <v>2963</v>
      </c>
      <c r="F332" s="40" t="s">
        <v>3479</v>
      </c>
      <c r="G332" s="50" t="s">
        <v>5604</v>
      </c>
      <c r="H332" s="150" t="s">
        <v>5606</v>
      </c>
      <c r="I332" s="50" t="s">
        <v>5609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2907</v>
      </c>
      <c r="U332" s="2" t="s">
        <v>3</v>
      </c>
      <c r="V332" s="93" t="s">
        <v>2914</v>
      </c>
      <c r="W332" s="39">
        <v>109</v>
      </c>
      <c r="X332" s="40"/>
      <c r="Y332" s="40" t="s">
        <v>2939</v>
      </c>
      <c r="Z332" s="40"/>
      <c r="AA332" s="40"/>
      <c r="AB332" s="40"/>
      <c r="AC332" s="40" t="s">
        <v>2898</v>
      </c>
      <c r="AD332" s="40"/>
      <c r="AE332" s="40"/>
      <c r="AF332" s="40" t="s">
        <v>2898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1990</v>
      </c>
      <c r="C333" s="40">
        <v>242</v>
      </c>
      <c r="D333" s="38" t="s">
        <v>1989</v>
      </c>
      <c r="E333" s="40" t="s">
        <v>2963</v>
      </c>
      <c r="F333" s="40" t="s">
        <v>3480</v>
      </c>
      <c r="G333" s="50" t="s">
        <v>5604</v>
      </c>
      <c r="H333" s="150" t="s">
        <v>5606</v>
      </c>
      <c r="I333" s="50" t="s">
        <v>5609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2907</v>
      </c>
      <c r="U333" s="2" t="s">
        <v>8</v>
      </c>
      <c r="V333" s="93" t="s">
        <v>2914</v>
      </c>
      <c r="W333" s="39">
        <v>109</v>
      </c>
      <c r="X333" s="40"/>
      <c r="Y333" s="40"/>
      <c r="Z333" s="40"/>
      <c r="AA333" s="40"/>
      <c r="AB333" s="40"/>
      <c r="AC333" s="40" t="s">
        <v>2898</v>
      </c>
      <c r="AD333" s="40"/>
      <c r="AE333" s="40"/>
      <c r="AF333" s="40" t="s">
        <v>2939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1993</v>
      </c>
      <c r="C334" s="58">
        <v>245</v>
      </c>
      <c r="D334" s="56" t="s">
        <v>1989</v>
      </c>
      <c r="E334" s="58" t="s">
        <v>2963</v>
      </c>
      <c r="F334" s="58" t="s">
        <v>3481</v>
      </c>
      <c r="G334" s="127" t="s">
        <v>5604</v>
      </c>
      <c r="H334" s="226" t="s">
        <v>5606</v>
      </c>
      <c r="I334" s="127" t="s">
        <v>5609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575</v>
      </c>
      <c r="U334" s="59" t="s">
        <v>8</v>
      </c>
      <c r="V334" s="108" t="s">
        <v>2914</v>
      </c>
      <c r="W334" s="57">
        <v>109</v>
      </c>
      <c r="X334" s="58"/>
      <c r="Y334" s="58"/>
      <c r="Z334" s="58"/>
      <c r="AA334" s="58" t="s">
        <v>2939</v>
      </c>
      <c r="AB334" s="58"/>
      <c r="AC334" s="58"/>
      <c r="AD334" s="58"/>
      <c r="AE334" s="58"/>
      <c r="AF334" s="58" t="s">
        <v>2939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1867</v>
      </c>
      <c r="C335" s="75">
        <v>2075</v>
      </c>
      <c r="D335" s="67" t="s">
        <v>1866</v>
      </c>
      <c r="E335" s="75" t="s">
        <v>2963</v>
      </c>
      <c r="F335" s="75" t="s">
        <v>3482</v>
      </c>
      <c r="G335" s="178"/>
      <c r="H335" s="414" t="s">
        <v>5607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575</v>
      </c>
      <c r="W335" s="70">
        <v>106</v>
      </c>
      <c r="X335" s="75"/>
      <c r="Y335" s="215"/>
      <c r="Z335" s="75"/>
      <c r="AA335" s="75"/>
      <c r="AB335" s="75"/>
      <c r="AC335" s="75" t="s">
        <v>2898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1595</v>
      </c>
      <c r="C336" s="40">
        <v>2277</v>
      </c>
      <c r="D336" s="38" t="s">
        <v>1590</v>
      </c>
      <c r="E336" s="40" t="s">
        <v>2915</v>
      </c>
      <c r="F336" s="40" t="s">
        <v>3483</v>
      </c>
      <c r="G336" s="223" t="s">
        <v>5604</v>
      </c>
      <c r="H336" s="150" t="s">
        <v>5606</v>
      </c>
      <c r="I336" s="223" t="s">
        <v>5609</v>
      </c>
      <c r="J336" s="43">
        <v>201775</v>
      </c>
      <c r="K336" s="43">
        <v>2664420</v>
      </c>
      <c r="L336" s="43" t="s">
        <v>40</v>
      </c>
      <c r="M336" s="44">
        <v>9</v>
      </c>
      <c r="N336" s="43">
        <v>58</v>
      </c>
      <c r="O336" s="43">
        <v>94</v>
      </c>
      <c r="P336" s="43" t="s">
        <v>41</v>
      </c>
      <c r="Q336" s="43">
        <v>41</v>
      </c>
      <c r="R336" s="43">
        <v>178</v>
      </c>
      <c r="S336" s="43">
        <v>131</v>
      </c>
      <c r="T336" s="243" t="s">
        <v>575</v>
      </c>
      <c r="U336" s="2" t="s">
        <v>8</v>
      </c>
      <c r="V336" s="97" t="s">
        <v>575</v>
      </c>
      <c r="W336" s="39">
        <v>113</v>
      </c>
      <c r="X336" s="40"/>
      <c r="Y336" s="40"/>
      <c r="Z336" s="40"/>
      <c r="AA336" s="40" t="s">
        <v>2939</v>
      </c>
      <c r="AB336" s="40"/>
      <c r="AC336" s="40"/>
      <c r="AD336" s="40" t="s">
        <v>2939</v>
      </c>
      <c r="AE336" s="40"/>
      <c r="AF336" s="40"/>
      <c r="AG336" s="40"/>
      <c r="AH336" s="40"/>
      <c r="AI336" s="40"/>
      <c r="AJ336" s="39" t="s">
        <v>2968</v>
      </c>
      <c r="AK336" s="125"/>
      <c r="AL336" s="54" t="s">
        <v>2908</v>
      </c>
      <c r="AM336" s="37">
        <v>113</v>
      </c>
    </row>
    <row r="337" spans="1:48" x14ac:dyDescent="0.3">
      <c r="A337" s="15">
        <v>336</v>
      </c>
      <c r="B337" s="40" t="s">
        <v>1869</v>
      </c>
      <c r="C337" s="40">
        <v>2078</v>
      </c>
      <c r="D337" s="38" t="s">
        <v>1866</v>
      </c>
      <c r="E337" s="40" t="s">
        <v>2963</v>
      </c>
      <c r="F337" s="40" t="s">
        <v>3484</v>
      </c>
      <c r="G337" s="50" t="s">
        <v>5604</v>
      </c>
      <c r="H337" s="150" t="s">
        <v>5606</v>
      </c>
      <c r="I337" s="50" t="s">
        <v>5609</v>
      </c>
      <c r="J337" s="43">
        <v>200953.495</v>
      </c>
      <c r="K337" s="43">
        <v>2665049.2319999998</v>
      </c>
      <c r="L337" s="43" t="s">
        <v>40</v>
      </c>
      <c r="M337" s="44">
        <v>9</v>
      </c>
      <c r="N337" s="43">
        <v>115</v>
      </c>
      <c r="O337" s="43">
        <v>166</v>
      </c>
      <c r="P337" s="43" t="s">
        <v>41</v>
      </c>
      <c r="Q337" s="43">
        <v>36</v>
      </c>
      <c r="R337" s="43">
        <v>227</v>
      </c>
      <c r="S337" s="43">
        <v>171</v>
      </c>
      <c r="T337" s="2" t="s">
        <v>575</v>
      </c>
      <c r="U337" s="2" t="s">
        <v>8</v>
      </c>
      <c r="V337" s="97" t="s">
        <v>575</v>
      </c>
      <c r="W337" s="39">
        <v>113</v>
      </c>
      <c r="X337" s="40"/>
      <c r="Y337" s="106"/>
      <c r="Z337" s="40"/>
      <c r="AA337" s="40"/>
      <c r="AB337" s="40" t="s">
        <v>2898</v>
      </c>
      <c r="AC337" s="40"/>
      <c r="AD337" s="40"/>
      <c r="AE337" s="40"/>
      <c r="AF337" s="40" t="s">
        <v>2939</v>
      </c>
      <c r="AG337" s="40"/>
      <c r="AH337" s="40"/>
      <c r="AI337" s="40"/>
      <c r="AJ337" s="39" t="s">
        <v>2968</v>
      </c>
      <c r="AK337" s="125"/>
      <c r="AL337" s="195" t="s">
        <v>2967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1871</v>
      </c>
      <c r="C338" s="40">
        <v>2093</v>
      </c>
      <c r="D338" s="38" t="s">
        <v>1866</v>
      </c>
      <c r="E338" s="40" t="s">
        <v>2963</v>
      </c>
      <c r="F338" s="40" t="s">
        <v>3485</v>
      </c>
      <c r="G338" s="50" t="s">
        <v>5604</v>
      </c>
      <c r="H338" s="150" t="s">
        <v>5607</v>
      </c>
      <c r="I338" s="50" t="s">
        <v>5609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306</v>
      </c>
      <c r="U338" s="2" t="s">
        <v>306</v>
      </c>
      <c r="V338" s="97" t="s">
        <v>575</v>
      </c>
      <c r="W338" s="39">
        <v>113</v>
      </c>
      <c r="X338" s="40"/>
      <c r="Y338" s="106"/>
      <c r="Z338" s="40"/>
      <c r="AA338" s="40"/>
      <c r="AB338" s="40" t="s">
        <v>2898</v>
      </c>
      <c r="AC338" s="40"/>
      <c r="AD338" s="40"/>
      <c r="AE338" s="40"/>
      <c r="AF338" s="40"/>
      <c r="AG338" s="40"/>
      <c r="AH338" s="40"/>
      <c r="AI338" s="40"/>
      <c r="AJ338" s="41" t="s">
        <v>2976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2032</v>
      </c>
      <c r="C339" s="29">
        <v>2072</v>
      </c>
      <c r="D339" s="27" t="s">
        <v>2031</v>
      </c>
      <c r="E339" s="29" t="s">
        <v>2963</v>
      </c>
      <c r="F339" s="29" t="s">
        <v>3486</v>
      </c>
      <c r="G339" s="192" t="s">
        <v>5604</v>
      </c>
      <c r="H339" s="145" t="s">
        <v>5606</v>
      </c>
      <c r="I339" s="192" t="s">
        <v>5609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2907</v>
      </c>
      <c r="U339" s="30" t="s">
        <v>303</v>
      </c>
      <c r="V339" s="91" t="s">
        <v>2914</v>
      </c>
      <c r="W339" s="28">
        <v>109</v>
      </c>
      <c r="X339" s="29"/>
      <c r="Y339" s="29"/>
      <c r="Z339" s="29"/>
      <c r="AA339" s="29"/>
      <c r="AB339" s="29"/>
      <c r="AC339" s="29" t="s">
        <v>2939</v>
      </c>
      <c r="AD339" s="29"/>
      <c r="AE339" s="29"/>
      <c r="AF339" s="29" t="s">
        <v>2939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1874</v>
      </c>
      <c r="C340" s="40">
        <v>2068</v>
      </c>
      <c r="D340" s="38" t="s">
        <v>1873</v>
      </c>
      <c r="E340" s="40" t="s">
        <v>2963</v>
      </c>
      <c r="F340" s="40" t="s">
        <v>3487</v>
      </c>
      <c r="G340" s="50"/>
      <c r="H340" s="150" t="s">
        <v>5608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73</v>
      </c>
      <c r="U340" s="2" t="s">
        <v>3</v>
      </c>
      <c r="V340" s="93" t="s">
        <v>2914</v>
      </c>
      <c r="W340" s="39">
        <v>112</v>
      </c>
      <c r="X340" s="40" t="s">
        <v>2898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2977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1875</v>
      </c>
      <c r="C341" s="40">
        <v>2071</v>
      </c>
      <c r="D341" s="38" t="s">
        <v>1873</v>
      </c>
      <c r="E341" s="40" t="s">
        <v>2963</v>
      </c>
      <c r="F341" s="40" t="s">
        <v>3488</v>
      </c>
      <c r="G341" s="50" t="s">
        <v>5604</v>
      </c>
      <c r="H341" s="150" t="s">
        <v>5608</v>
      </c>
      <c r="I341" s="50" t="s">
        <v>5609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708</v>
      </c>
      <c r="U341" s="2" t="s">
        <v>56</v>
      </c>
      <c r="V341" s="93" t="s">
        <v>2914</v>
      </c>
      <c r="W341" s="39">
        <v>112</v>
      </c>
      <c r="X341" s="40"/>
      <c r="Y341" s="106"/>
      <c r="Z341" s="40"/>
      <c r="AA341" s="40"/>
      <c r="AB341" s="40"/>
      <c r="AC341" s="40" t="s">
        <v>2939</v>
      </c>
      <c r="AD341" s="40"/>
      <c r="AE341" s="40"/>
      <c r="AF341" s="40"/>
      <c r="AG341" s="40"/>
      <c r="AH341" s="40"/>
      <c r="AI341" s="40" t="s">
        <v>2943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2033</v>
      </c>
      <c r="C342" s="58">
        <v>2074</v>
      </c>
      <c r="D342" s="56" t="s">
        <v>2031</v>
      </c>
      <c r="E342" s="58" t="s">
        <v>2963</v>
      </c>
      <c r="F342" s="58" t="s">
        <v>3489</v>
      </c>
      <c r="G342" s="127" t="s">
        <v>5604</v>
      </c>
      <c r="H342" s="226" t="s">
        <v>5608</v>
      </c>
      <c r="I342" s="127" t="s">
        <v>5609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708</v>
      </c>
      <c r="U342" s="59" t="s">
        <v>56</v>
      </c>
      <c r="V342" s="108" t="s">
        <v>2914</v>
      </c>
      <c r="W342" s="57">
        <v>109</v>
      </c>
      <c r="X342" s="58"/>
      <c r="Y342" s="58"/>
      <c r="Z342" s="58"/>
      <c r="AA342" s="58"/>
      <c r="AB342" s="58" t="s">
        <v>2939</v>
      </c>
      <c r="AC342" s="58"/>
      <c r="AD342" s="58"/>
      <c r="AE342" s="58"/>
      <c r="AF342" s="58" t="s">
        <v>2943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1882</v>
      </c>
      <c r="C343" s="75">
        <v>2108</v>
      </c>
      <c r="D343" s="67" t="s">
        <v>1881</v>
      </c>
      <c r="E343" s="75" t="s">
        <v>2963</v>
      </c>
      <c r="F343" s="75" t="s">
        <v>3490</v>
      </c>
      <c r="G343" s="178" t="s">
        <v>5604</v>
      </c>
      <c r="H343" s="414" t="s">
        <v>5607</v>
      </c>
      <c r="I343" s="178" t="s">
        <v>5609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575</v>
      </c>
      <c r="W343" s="70">
        <v>109</v>
      </c>
      <c r="X343" s="75"/>
      <c r="Y343" s="75"/>
      <c r="Z343" s="75"/>
      <c r="AA343" s="75" t="s">
        <v>2939</v>
      </c>
      <c r="AB343" s="75"/>
      <c r="AC343" s="75"/>
      <c r="AD343" s="75"/>
      <c r="AE343" s="75"/>
      <c r="AF343" s="244" t="s">
        <v>2978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1889</v>
      </c>
      <c r="C344" s="40">
        <v>2106</v>
      </c>
      <c r="D344" s="38" t="s">
        <v>1881</v>
      </c>
      <c r="E344" s="40" t="s">
        <v>2963</v>
      </c>
      <c r="F344" s="40" t="s">
        <v>3491</v>
      </c>
      <c r="G344" s="50" t="s">
        <v>5604</v>
      </c>
      <c r="H344" s="150" t="s">
        <v>5608</v>
      </c>
      <c r="I344" s="50" t="s">
        <v>5609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306</v>
      </c>
      <c r="U344" s="2" t="str">
        <f>U343</f>
        <v>正常</v>
      </c>
      <c r="V344" s="122" t="s">
        <v>575</v>
      </c>
      <c r="W344" s="39">
        <v>109</v>
      </c>
      <c r="X344" s="40"/>
      <c r="Y344" s="40"/>
      <c r="Z344" s="40"/>
      <c r="AA344" s="40" t="s">
        <v>2939</v>
      </c>
      <c r="AB344" s="40"/>
      <c r="AC344" s="40"/>
      <c r="AD344" s="40"/>
      <c r="AE344" s="40"/>
      <c r="AF344" s="245" t="s">
        <v>2978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1890</v>
      </c>
      <c r="C345" s="40">
        <v>2107</v>
      </c>
      <c r="D345" s="38" t="s">
        <v>1881</v>
      </c>
      <c r="E345" s="40" t="s">
        <v>2963</v>
      </c>
      <c r="F345" s="40" t="s">
        <v>3492</v>
      </c>
      <c r="G345" s="50"/>
      <c r="H345" s="150" t="s">
        <v>5608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575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2978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1883</v>
      </c>
      <c r="C346" s="40">
        <v>2109</v>
      </c>
      <c r="D346" s="38" t="s">
        <v>1881</v>
      </c>
      <c r="E346" s="40" t="s">
        <v>2963</v>
      </c>
      <c r="F346" s="40" t="s">
        <v>3493</v>
      </c>
      <c r="G346" s="50" t="s">
        <v>5604</v>
      </c>
      <c r="H346" s="150" t="s">
        <v>5606</v>
      </c>
      <c r="I346" s="50" t="s">
        <v>5609</v>
      </c>
      <c r="J346" s="43">
        <v>201626.63399999999</v>
      </c>
      <c r="K346" s="43">
        <v>2664961.906</v>
      </c>
      <c r="L346" s="43" t="s">
        <v>40</v>
      </c>
      <c r="M346" s="44">
        <v>12</v>
      </c>
      <c r="N346" s="43">
        <v>50</v>
      </c>
      <c r="O346" s="43">
        <v>96</v>
      </c>
      <c r="P346" s="43" t="s">
        <v>41</v>
      </c>
      <c r="Q346" s="43">
        <v>38</v>
      </c>
      <c r="R346" s="43">
        <v>142</v>
      </c>
      <c r="S346" s="43">
        <v>122</v>
      </c>
      <c r="T346" s="2" t="s">
        <v>306</v>
      </c>
      <c r="U346" s="2" t="s">
        <v>306</v>
      </c>
      <c r="V346" s="122" t="s">
        <v>575</v>
      </c>
      <c r="W346" s="39">
        <v>113</v>
      </c>
      <c r="X346" s="40"/>
      <c r="Y346" s="40"/>
      <c r="Z346" s="40"/>
      <c r="AA346" s="40" t="s">
        <v>2939</v>
      </c>
      <c r="AB346" s="40"/>
      <c r="AC346" s="40"/>
      <c r="AD346" s="40"/>
      <c r="AE346" s="40"/>
      <c r="AF346" s="40" t="s">
        <v>2939</v>
      </c>
      <c r="AG346" s="40"/>
      <c r="AH346" s="40"/>
      <c r="AI346" s="40"/>
      <c r="AJ346" s="39"/>
      <c r="AK346" s="125"/>
      <c r="AL346" s="195" t="s">
        <v>2967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1884</v>
      </c>
      <c r="C347" s="40">
        <v>2110</v>
      </c>
      <c r="D347" s="38" t="s">
        <v>1881</v>
      </c>
      <c r="E347" s="40" t="s">
        <v>2963</v>
      </c>
      <c r="F347" s="40" t="s">
        <v>3494</v>
      </c>
      <c r="G347" s="50"/>
      <c r="H347" s="150" t="s">
        <v>5607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575</v>
      </c>
      <c r="W347" s="39">
        <v>104</v>
      </c>
      <c r="X347" s="40"/>
      <c r="Y347" s="40"/>
      <c r="Z347" s="40"/>
      <c r="AA347" s="40" t="s">
        <v>2939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1885</v>
      </c>
      <c r="C348" s="40">
        <v>2111</v>
      </c>
      <c r="D348" s="38" t="s">
        <v>1881</v>
      </c>
      <c r="E348" s="40" t="s">
        <v>2963</v>
      </c>
      <c r="F348" s="40" t="s">
        <v>3495</v>
      </c>
      <c r="G348" s="50" t="s">
        <v>5604</v>
      </c>
      <c r="H348" s="150" t="s">
        <v>5606</v>
      </c>
      <c r="I348" s="50" t="s">
        <v>5609</v>
      </c>
      <c r="J348" s="43">
        <v>201685.66399999999</v>
      </c>
      <c r="K348" s="43">
        <v>2664918.0440000002</v>
      </c>
      <c r="L348" s="43" t="s">
        <v>40</v>
      </c>
      <c r="M348" s="44">
        <v>12</v>
      </c>
      <c r="N348" s="43">
        <v>30</v>
      </c>
      <c r="O348" s="43">
        <v>74</v>
      </c>
      <c r="P348" s="43" t="s">
        <v>41</v>
      </c>
      <c r="Q348" s="43">
        <v>36</v>
      </c>
      <c r="R348" s="43">
        <v>153</v>
      </c>
      <c r="S348" s="43">
        <v>69</v>
      </c>
      <c r="T348" s="2" t="s">
        <v>306</v>
      </c>
      <c r="U348" s="2" t="s">
        <v>306</v>
      </c>
      <c r="V348" s="122" t="s">
        <v>575</v>
      </c>
      <c r="W348" s="39">
        <v>113</v>
      </c>
      <c r="X348" s="40"/>
      <c r="Y348" s="40"/>
      <c r="Z348" s="40"/>
      <c r="AA348" s="40" t="s">
        <v>2939</v>
      </c>
      <c r="AB348" s="40"/>
      <c r="AC348" s="40"/>
      <c r="AD348" s="40"/>
      <c r="AE348" s="40"/>
      <c r="AF348" s="40" t="s">
        <v>2939</v>
      </c>
      <c r="AG348" s="40"/>
      <c r="AH348" s="40"/>
      <c r="AI348" s="40"/>
      <c r="AJ348" s="39"/>
      <c r="AK348" s="125"/>
      <c r="AL348" s="195" t="s">
        <v>2967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1886</v>
      </c>
      <c r="C349" s="40">
        <v>2122</v>
      </c>
      <c r="D349" s="38" t="s">
        <v>1881</v>
      </c>
      <c r="E349" s="40" t="s">
        <v>2963</v>
      </c>
      <c r="F349" s="40" t="s">
        <v>3496</v>
      </c>
      <c r="G349" s="50" t="s">
        <v>5604</v>
      </c>
      <c r="H349" s="150" t="s">
        <v>5607</v>
      </c>
      <c r="I349" s="50" t="s">
        <v>5609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2907</v>
      </c>
      <c r="U349" s="2" t="s">
        <v>8</v>
      </c>
      <c r="V349" s="122" t="s">
        <v>575</v>
      </c>
      <c r="W349" s="39">
        <v>104</v>
      </c>
      <c r="X349" s="40"/>
      <c r="Y349" s="40"/>
      <c r="Z349" s="40"/>
      <c r="AA349" s="40" t="s">
        <v>2939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1887</v>
      </c>
      <c r="C350" s="40">
        <v>2254</v>
      </c>
      <c r="D350" s="38" t="s">
        <v>1881</v>
      </c>
      <c r="E350" s="40" t="s">
        <v>2915</v>
      </c>
      <c r="F350" s="40" t="s">
        <v>3497</v>
      </c>
      <c r="G350" s="50" t="s">
        <v>5604</v>
      </c>
      <c r="H350" s="150" t="s">
        <v>5606</v>
      </c>
      <c r="I350" s="50" t="s">
        <v>5609</v>
      </c>
      <c r="J350" s="43">
        <v>201710.91699999999</v>
      </c>
      <c r="K350" s="43">
        <v>2664867.6379999998</v>
      </c>
      <c r="L350" s="43" t="s">
        <v>40</v>
      </c>
      <c r="M350" s="44">
        <v>9</v>
      </c>
      <c r="N350" s="43">
        <v>65</v>
      </c>
      <c r="O350" s="43">
        <v>89</v>
      </c>
      <c r="P350" s="43" t="s">
        <v>41</v>
      </c>
      <c r="Q350" s="43">
        <v>38</v>
      </c>
      <c r="R350" s="43">
        <v>239</v>
      </c>
      <c r="S350" s="43">
        <v>156</v>
      </c>
      <c r="T350" s="2" t="s">
        <v>575</v>
      </c>
      <c r="U350" s="2" t="s">
        <v>8</v>
      </c>
      <c r="V350" s="122" t="s">
        <v>575</v>
      </c>
      <c r="W350" s="39">
        <v>113</v>
      </c>
      <c r="X350" s="40"/>
      <c r="Y350" s="106"/>
      <c r="Z350" s="40" t="s">
        <v>2939</v>
      </c>
      <c r="AA350" s="40"/>
      <c r="AB350" s="40"/>
      <c r="AC350" s="40"/>
      <c r="AD350" s="40"/>
      <c r="AE350" s="40" t="s">
        <v>2939</v>
      </c>
      <c r="AF350" s="40"/>
      <c r="AG350" s="40"/>
      <c r="AH350" s="40"/>
      <c r="AI350" s="40"/>
      <c r="AJ350" s="39"/>
      <c r="AK350" s="125"/>
      <c r="AL350" s="195" t="s">
        <v>2967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1888</v>
      </c>
      <c r="C351" s="83">
        <v>2273</v>
      </c>
      <c r="D351" s="113" t="s">
        <v>1881</v>
      </c>
      <c r="E351" s="83" t="s">
        <v>2915</v>
      </c>
      <c r="F351" s="83" t="s">
        <v>3498</v>
      </c>
      <c r="G351" s="138" t="s">
        <v>5604</v>
      </c>
      <c r="H351" s="150" t="s">
        <v>5607</v>
      </c>
      <c r="I351" s="138" t="s">
        <v>5609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575</v>
      </c>
      <c r="W351" s="86">
        <v>107</v>
      </c>
      <c r="X351" s="83"/>
      <c r="Y351" s="83"/>
      <c r="Z351" s="83"/>
      <c r="AA351" s="83" t="s">
        <v>2939</v>
      </c>
      <c r="AB351" s="83"/>
      <c r="AC351" s="83"/>
      <c r="AD351" s="83" t="s">
        <v>2939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1921</v>
      </c>
      <c r="C352" s="29">
        <v>1756</v>
      </c>
      <c r="D352" s="27" t="s">
        <v>2979</v>
      </c>
      <c r="E352" s="29" t="s">
        <v>2929</v>
      </c>
      <c r="F352" s="29" t="s">
        <v>3499</v>
      </c>
      <c r="G352" s="192"/>
      <c r="H352" s="145" t="s">
        <v>5607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1193</v>
      </c>
      <c r="W352" s="28">
        <v>106</v>
      </c>
      <c r="X352" s="29"/>
      <c r="Y352" s="29"/>
      <c r="Z352" s="29" t="s">
        <v>2939</v>
      </c>
      <c r="AA352" s="29"/>
      <c r="AB352" s="29"/>
      <c r="AC352" s="29" t="s">
        <v>2939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1922</v>
      </c>
      <c r="C353" s="40">
        <v>1760</v>
      </c>
      <c r="D353" s="38" t="s">
        <v>1920</v>
      </c>
      <c r="E353" s="40" t="s">
        <v>2929</v>
      </c>
      <c r="F353" s="40" t="s">
        <v>3500</v>
      </c>
      <c r="G353" s="50"/>
      <c r="H353" s="150" t="s">
        <v>5607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1193</v>
      </c>
      <c r="W353" s="39">
        <v>107</v>
      </c>
      <c r="X353" s="40"/>
      <c r="Y353" s="40"/>
      <c r="Z353" s="40" t="s">
        <v>2939</v>
      </c>
      <c r="AA353" s="40"/>
      <c r="AB353" s="40"/>
      <c r="AC353" s="40"/>
      <c r="AD353" s="40" t="s">
        <v>2939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1926</v>
      </c>
      <c r="C354" s="40">
        <v>1784</v>
      </c>
      <c r="D354" s="38" t="s">
        <v>1920</v>
      </c>
      <c r="E354" s="40" t="s">
        <v>2929</v>
      </c>
      <c r="F354" s="40" t="s">
        <v>3501</v>
      </c>
      <c r="G354" s="50" t="s">
        <v>5604</v>
      </c>
      <c r="H354" s="226" t="s">
        <v>5606</v>
      </c>
      <c r="I354" s="50" t="s">
        <v>5609</v>
      </c>
      <c r="J354" s="43">
        <v>196217.60000000001</v>
      </c>
      <c r="K354" s="43">
        <v>2665190</v>
      </c>
      <c r="L354" s="43" t="s">
        <v>831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306</v>
      </c>
      <c r="U354" s="2" t="s">
        <v>306</v>
      </c>
      <c r="V354" s="97" t="s">
        <v>1193</v>
      </c>
      <c r="W354" s="57">
        <v>113</v>
      </c>
      <c r="X354" s="40"/>
      <c r="Y354" s="40"/>
      <c r="Z354" s="40"/>
      <c r="AA354" s="40" t="s">
        <v>2939</v>
      </c>
      <c r="AB354" s="40"/>
      <c r="AC354" s="40"/>
      <c r="AD354" s="40"/>
      <c r="AE354" s="40"/>
      <c r="AF354" s="40" t="s">
        <v>2939</v>
      </c>
      <c r="AG354" s="40"/>
      <c r="AH354" s="40"/>
      <c r="AI354" s="40"/>
      <c r="AJ354" s="39" t="s">
        <v>2965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1927</v>
      </c>
      <c r="C355" s="40">
        <v>1758</v>
      </c>
      <c r="D355" s="38" t="s">
        <v>1920</v>
      </c>
      <c r="E355" s="40" t="s">
        <v>2929</v>
      </c>
      <c r="F355" s="40" t="s">
        <v>3502</v>
      </c>
      <c r="G355" s="50"/>
      <c r="H355" s="150" t="s">
        <v>5607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1193</v>
      </c>
      <c r="W355" s="39">
        <v>107</v>
      </c>
      <c r="X355" s="40"/>
      <c r="Y355" s="40"/>
      <c r="Z355" s="40" t="s">
        <v>2939</v>
      </c>
      <c r="AA355" s="40"/>
      <c r="AB355" s="40"/>
      <c r="AC355" s="40"/>
      <c r="AD355" s="40" t="s">
        <v>2898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1928</v>
      </c>
      <c r="C356" s="40">
        <v>1759</v>
      </c>
      <c r="D356" s="38" t="s">
        <v>1920</v>
      </c>
      <c r="E356" s="40" t="s">
        <v>2929</v>
      </c>
      <c r="F356" s="40" t="s">
        <v>3503</v>
      </c>
      <c r="G356" s="50" t="s">
        <v>5604</v>
      </c>
      <c r="H356" s="150" t="s">
        <v>5606</v>
      </c>
      <c r="I356" s="50" t="s">
        <v>5609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306</v>
      </c>
      <c r="U356" s="2" t="s">
        <v>306</v>
      </c>
      <c r="V356" s="97" t="s">
        <v>1193</v>
      </c>
      <c r="W356" s="39">
        <v>113</v>
      </c>
      <c r="X356" s="40"/>
      <c r="Y356" s="40"/>
      <c r="Z356" s="40" t="s">
        <v>2939</v>
      </c>
      <c r="AA356" s="40"/>
      <c r="AB356" s="40"/>
      <c r="AC356" s="40"/>
      <c r="AD356" s="40" t="s">
        <v>2898</v>
      </c>
      <c r="AE356" s="40"/>
      <c r="AF356" s="40"/>
      <c r="AG356" s="40"/>
      <c r="AH356" s="40"/>
      <c r="AI356" s="40"/>
      <c r="AJ356" s="39" t="s">
        <v>2965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1925</v>
      </c>
      <c r="C357" s="40">
        <v>1766</v>
      </c>
      <c r="D357" s="38" t="s">
        <v>1920</v>
      </c>
      <c r="E357" s="40" t="s">
        <v>2929</v>
      </c>
      <c r="F357" s="40" t="s">
        <v>3504</v>
      </c>
      <c r="G357" s="50" t="s">
        <v>5604</v>
      </c>
      <c r="H357" s="150" t="s">
        <v>5606</v>
      </c>
      <c r="I357" s="50" t="s">
        <v>5609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306</v>
      </c>
      <c r="U357" s="2" t="s">
        <v>306</v>
      </c>
      <c r="V357" s="97" t="s">
        <v>1193</v>
      </c>
      <c r="W357" s="39">
        <v>113</v>
      </c>
      <c r="X357" s="40"/>
      <c r="Y357" s="40"/>
      <c r="Z357" s="40" t="s">
        <v>2939</v>
      </c>
      <c r="AA357" s="40"/>
      <c r="AB357" s="40"/>
      <c r="AC357" s="40"/>
      <c r="AD357" s="40"/>
      <c r="AE357" s="40" t="s">
        <v>2939</v>
      </c>
      <c r="AF357" s="40" t="s">
        <v>2939</v>
      </c>
      <c r="AG357" s="40"/>
      <c r="AH357" s="40"/>
      <c r="AI357" s="40"/>
      <c r="AJ357" s="39" t="s">
        <v>2965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1920</v>
      </c>
      <c r="E358" s="40" t="s">
        <v>2929</v>
      </c>
      <c r="F358" s="40" t="s">
        <v>3505</v>
      </c>
      <c r="G358" s="50" t="s">
        <v>5604</v>
      </c>
      <c r="H358" s="150" t="s">
        <v>5608</v>
      </c>
      <c r="I358" s="50" t="s">
        <v>5609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102</v>
      </c>
      <c r="Q358" s="43">
        <v>26.4</v>
      </c>
      <c r="R358" s="43">
        <v>326</v>
      </c>
      <c r="S358" s="43">
        <v>94.5</v>
      </c>
      <c r="T358" s="2" t="s">
        <v>306</v>
      </c>
      <c r="U358" s="2" t="str">
        <f>U357</f>
        <v>正常</v>
      </c>
      <c r="V358" s="97" t="s">
        <v>1193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2939</v>
      </c>
      <c r="AF358" s="40" t="s">
        <v>2939</v>
      </c>
      <c r="AG358" s="40"/>
      <c r="AH358" s="40"/>
      <c r="AI358" s="40"/>
      <c r="AJ358" s="39" t="s">
        <v>2965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1920</v>
      </c>
      <c r="E359" s="40" t="s">
        <v>2929</v>
      </c>
      <c r="F359" s="40" t="s">
        <v>3506</v>
      </c>
      <c r="G359" s="50" t="s">
        <v>5604</v>
      </c>
      <c r="H359" s="150" t="s">
        <v>5608</v>
      </c>
      <c r="I359" s="50" t="s">
        <v>5609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102</v>
      </c>
      <c r="Q359" s="43">
        <v>26.4</v>
      </c>
      <c r="R359" s="43">
        <v>326</v>
      </c>
      <c r="S359" s="43">
        <v>94.5</v>
      </c>
      <c r="T359" s="2" t="s">
        <v>306</v>
      </c>
      <c r="U359" s="2" t="str">
        <f>U357</f>
        <v>正常</v>
      </c>
      <c r="V359" s="97" t="s">
        <v>1193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2939</v>
      </c>
      <c r="AF359" s="40" t="s">
        <v>2939</v>
      </c>
      <c r="AG359" s="40"/>
      <c r="AH359" s="40"/>
      <c r="AI359" s="40"/>
      <c r="AJ359" s="39" t="s">
        <v>2965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1923</v>
      </c>
      <c r="C360" s="40">
        <v>1761</v>
      </c>
      <c r="D360" s="38" t="s">
        <v>1920</v>
      </c>
      <c r="E360" s="40" t="s">
        <v>2929</v>
      </c>
      <c r="F360" s="40" t="s">
        <v>3507</v>
      </c>
      <c r="G360" s="50"/>
      <c r="H360" s="150" t="s">
        <v>5608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1193</v>
      </c>
      <c r="W360" s="39">
        <v>103</v>
      </c>
      <c r="X360" s="40"/>
      <c r="Y360" s="40"/>
      <c r="Z360" s="40" t="s">
        <v>2939</v>
      </c>
      <c r="AA360" s="40"/>
      <c r="AB360" s="40"/>
      <c r="AC360" s="40"/>
      <c r="AD360" s="40" t="s">
        <v>2898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1924</v>
      </c>
      <c r="C361" s="40">
        <v>1762</v>
      </c>
      <c r="D361" s="38" t="s">
        <v>1920</v>
      </c>
      <c r="E361" s="40" t="s">
        <v>2929</v>
      </c>
      <c r="F361" s="40" t="s">
        <v>3508</v>
      </c>
      <c r="G361" s="50"/>
      <c r="H361" s="150" t="s">
        <v>5607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1193</v>
      </c>
      <c r="W361" s="39">
        <v>107</v>
      </c>
      <c r="X361" s="40"/>
      <c r="Y361" s="40"/>
      <c r="Z361" s="40" t="s">
        <v>2939</v>
      </c>
      <c r="AA361" s="40"/>
      <c r="AB361" s="40"/>
      <c r="AC361" s="40"/>
      <c r="AD361" s="40" t="s">
        <v>2898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2091</v>
      </c>
      <c r="C362" s="58">
        <v>1733</v>
      </c>
      <c r="D362" s="56" t="s">
        <v>2979</v>
      </c>
      <c r="E362" s="58" t="s">
        <v>2929</v>
      </c>
      <c r="F362" s="58" t="s">
        <v>3509</v>
      </c>
      <c r="G362" s="127" t="s">
        <v>5604</v>
      </c>
      <c r="H362" s="150" t="s">
        <v>5608</v>
      </c>
      <c r="I362" s="127" t="s">
        <v>5609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306</v>
      </c>
      <c r="U362" s="59" t="s">
        <v>306</v>
      </c>
      <c r="V362" s="117" t="s">
        <v>1193</v>
      </c>
      <c r="W362" s="57">
        <v>113</v>
      </c>
      <c r="X362" s="58"/>
      <c r="Y362" s="109"/>
      <c r="Z362" s="58"/>
      <c r="AA362" s="58" t="s">
        <v>2939</v>
      </c>
      <c r="AB362" s="58"/>
      <c r="AC362" s="58"/>
      <c r="AD362" s="58"/>
      <c r="AE362" s="58"/>
      <c r="AF362" s="58" t="s">
        <v>2939</v>
      </c>
      <c r="AG362" s="58"/>
      <c r="AH362" s="58"/>
      <c r="AI362" s="58"/>
      <c r="AJ362" s="57" t="s">
        <v>2965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2980</v>
      </c>
      <c r="C363" s="75">
        <v>1737</v>
      </c>
      <c r="D363" s="67" t="s">
        <v>1929</v>
      </c>
      <c r="E363" s="75" t="s">
        <v>2929</v>
      </c>
      <c r="F363" s="75" t="s">
        <v>3510</v>
      </c>
      <c r="G363" s="178" t="s">
        <v>5604</v>
      </c>
      <c r="H363" s="414" t="s">
        <v>5606</v>
      </c>
      <c r="I363" s="178" t="s">
        <v>5609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575</v>
      </c>
      <c r="U363" s="69" t="s">
        <v>8</v>
      </c>
      <c r="V363" s="122" t="s">
        <v>575</v>
      </c>
      <c r="W363" s="70">
        <v>114</v>
      </c>
      <c r="X363" s="75"/>
      <c r="Y363" s="75"/>
      <c r="Z363" s="75" t="s">
        <v>2939</v>
      </c>
      <c r="AA363" s="75"/>
      <c r="AB363" s="75"/>
      <c r="AC363" s="75" t="s">
        <v>2939</v>
      </c>
      <c r="AD363" s="75"/>
      <c r="AE363" s="75"/>
      <c r="AF363" s="75" t="s">
        <v>2939</v>
      </c>
      <c r="AG363" s="75" t="s">
        <v>2939</v>
      </c>
      <c r="AH363" s="75"/>
      <c r="AI363" s="75"/>
      <c r="AJ363" s="70"/>
      <c r="AK363" s="247" t="s">
        <v>303</v>
      </c>
      <c r="AL363" s="248" t="s">
        <v>2908</v>
      </c>
      <c r="AM363" s="37">
        <v>114</v>
      </c>
    </row>
    <row r="364" spans="1:39" s="15" customFormat="1" x14ac:dyDescent="0.3">
      <c r="A364" s="15">
        <v>363</v>
      </c>
      <c r="B364" s="40" t="s">
        <v>1930</v>
      </c>
      <c r="C364" s="40">
        <v>1755</v>
      </c>
      <c r="D364" s="38" t="s">
        <v>1929</v>
      </c>
      <c r="E364" s="40" t="s">
        <v>2929</v>
      </c>
      <c r="F364" s="40" t="s">
        <v>3511</v>
      </c>
      <c r="G364" s="50" t="s">
        <v>5604</v>
      </c>
      <c r="H364" s="150" t="s">
        <v>5608</v>
      </c>
      <c r="I364" s="50" t="s">
        <v>5609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2907</v>
      </c>
      <c r="U364" s="2" t="str">
        <f>U367</f>
        <v>監測</v>
      </c>
      <c r="V364" s="97" t="s">
        <v>575</v>
      </c>
      <c r="W364" s="39">
        <v>109</v>
      </c>
      <c r="X364" s="40"/>
      <c r="Y364" s="40"/>
      <c r="Z364" s="40" t="s">
        <v>2939</v>
      </c>
      <c r="AA364" s="40"/>
      <c r="AB364" s="40"/>
      <c r="AC364" s="40" t="s">
        <v>2939</v>
      </c>
      <c r="AD364" s="40"/>
      <c r="AE364" s="40"/>
      <c r="AF364" s="40" t="s">
        <v>2939</v>
      </c>
      <c r="AG364" s="40"/>
      <c r="AH364" s="40"/>
      <c r="AI364" s="40"/>
      <c r="AJ364" s="39"/>
      <c r="AK364" s="196"/>
      <c r="AL364" s="54" t="s">
        <v>2908</v>
      </c>
      <c r="AM364" s="37">
        <v>114</v>
      </c>
    </row>
    <row r="365" spans="1:39" s="15" customFormat="1" x14ac:dyDescent="0.3">
      <c r="A365" s="15">
        <v>364</v>
      </c>
      <c r="B365" s="40" t="s">
        <v>1933</v>
      </c>
      <c r="C365" s="40">
        <v>1720</v>
      </c>
      <c r="D365" s="38" t="s">
        <v>1929</v>
      </c>
      <c r="E365" s="40" t="s">
        <v>2929</v>
      </c>
      <c r="F365" s="40" t="s">
        <v>3512</v>
      </c>
      <c r="G365" s="50"/>
      <c r="H365" s="150" t="s">
        <v>5607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575</v>
      </c>
      <c r="W365" s="39">
        <v>105</v>
      </c>
      <c r="X365" s="40"/>
      <c r="Y365" s="40"/>
      <c r="Z365" s="40"/>
      <c r="AA365" s="40"/>
      <c r="AB365" s="40" t="s">
        <v>2939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2908</v>
      </c>
      <c r="AM365" s="37">
        <v>114</v>
      </c>
    </row>
    <row r="366" spans="1:39" s="15" customFormat="1" x14ac:dyDescent="0.3">
      <c r="A366" s="15">
        <v>365</v>
      </c>
      <c r="B366" s="40" t="s">
        <v>2981</v>
      </c>
      <c r="C366" s="40">
        <v>1754</v>
      </c>
      <c r="D366" s="38" t="s">
        <v>1929</v>
      </c>
      <c r="E366" s="40" t="s">
        <v>2929</v>
      </c>
      <c r="F366" s="40" t="s">
        <v>3513</v>
      </c>
      <c r="G366" s="50" t="s">
        <v>5604</v>
      </c>
      <c r="H366" s="150" t="s">
        <v>5606</v>
      </c>
      <c r="I366" s="50" t="s">
        <v>5609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306</v>
      </c>
      <c r="U366" s="2" t="s">
        <v>306</v>
      </c>
      <c r="V366" s="97" t="s">
        <v>575</v>
      </c>
      <c r="W366" s="39">
        <v>114</v>
      </c>
      <c r="X366" s="40"/>
      <c r="Y366" s="40"/>
      <c r="Z366" s="40" t="s">
        <v>2939</v>
      </c>
      <c r="AA366" s="40"/>
      <c r="AB366" s="40"/>
      <c r="AC366" s="40" t="s">
        <v>2939</v>
      </c>
      <c r="AD366" s="40"/>
      <c r="AE366" s="40"/>
      <c r="AF366" s="40" t="s">
        <v>2939</v>
      </c>
      <c r="AG366" s="40"/>
      <c r="AH366" s="40" t="s">
        <v>2939</v>
      </c>
      <c r="AI366" s="40"/>
      <c r="AJ366" s="39"/>
      <c r="AK366" s="196" t="s">
        <v>306</v>
      </c>
      <c r="AL366" s="54" t="s">
        <v>2908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1929</v>
      </c>
      <c r="E367" s="83" t="s">
        <v>2929</v>
      </c>
      <c r="F367" s="83" t="s">
        <v>3514</v>
      </c>
      <c r="G367" s="138" t="s">
        <v>5604</v>
      </c>
      <c r="H367" s="340" t="s">
        <v>5606</v>
      </c>
      <c r="I367" s="138" t="s">
        <v>5609</v>
      </c>
      <c r="J367" s="88">
        <v>196339.70038299999</v>
      </c>
      <c r="K367" s="88">
        <v>2665267.9901899998</v>
      </c>
      <c r="L367" s="88" t="s">
        <v>40</v>
      </c>
      <c r="M367" s="89">
        <v>9</v>
      </c>
      <c r="N367" s="88">
        <v>115</v>
      </c>
      <c r="O367" s="88">
        <v>91</v>
      </c>
      <c r="P367" s="88" t="s">
        <v>41</v>
      </c>
      <c r="Q367" s="88">
        <v>24</v>
      </c>
      <c r="R367" s="88">
        <v>303</v>
      </c>
      <c r="S367" s="88">
        <v>107</v>
      </c>
      <c r="T367" s="85" t="s">
        <v>575</v>
      </c>
      <c r="U367" s="85" t="s">
        <v>8</v>
      </c>
      <c r="V367" s="84" t="s">
        <v>575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2939</v>
      </c>
      <c r="AG367" s="83"/>
      <c r="AH367" s="83"/>
      <c r="AI367" s="83"/>
      <c r="AJ367" s="86"/>
      <c r="AK367" s="197" t="s">
        <v>303</v>
      </c>
      <c r="AL367" s="157" t="s">
        <v>2908</v>
      </c>
      <c r="AM367" s="82">
        <v>114</v>
      </c>
    </row>
    <row r="368" spans="1:39" s="15" customFormat="1" x14ac:dyDescent="0.3">
      <c r="A368" s="15">
        <v>367</v>
      </c>
      <c r="B368" s="29" t="s">
        <v>1956</v>
      </c>
      <c r="C368" s="29">
        <v>1699</v>
      </c>
      <c r="D368" s="27" t="s">
        <v>2982</v>
      </c>
      <c r="E368" s="29" t="s">
        <v>2929</v>
      </c>
      <c r="F368" s="29" t="s">
        <v>3515</v>
      </c>
      <c r="G368" s="192" t="s">
        <v>5604</v>
      </c>
      <c r="H368" s="145" t="s">
        <v>5606</v>
      </c>
      <c r="I368" s="192" t="s">
        <v>5609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575</v>
      </c>
      <c r="U368" s="30" t="s">
        <v>8</v>
      </c>
      <c r="V368" s="95" t="s">
        <v>575</v>
      </c>
      <c r="W368" s="28">
        <v>113</v>
      </c>
      <c r="X368" s="29"/>
      <c r="Y368" s="29"/>
      <c r="Z368" s="29" t="s">
        <v>2939</v>
      </c>
      <c r="AA368" s="29"/>
      <c r="AB368" s="29"/>
      <c r="AC368" s="29" t="s">
        <v>2939</v>
      </c>
      <c r="AD368" s="29"/>
      <c r="AE368" s="29"/>
      <c r="AF368" s="29" t="s">
        <v>2939</v>
      </c>
      <c r="AG368" s="29"/>
      <c r="AH368" s="29"/>
      <c r="AI368" s="29"/>
      <c r="AJ368" s="28" t="s">
        <v>2968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1957</v>
      </c>
      <c r="C369" s="40">
        <v>1716</v>
      </c>
      <c r="D369" s="38" t="s">
        <v>1955</v>
      </c>
      <c r="E369" s="40" t="s">
        <v>2929</v>
      </c>
      <c r="F369" s="40" t="s">
        <v>3516</v>
      </c>
      <c r="G369" s="50" t="s">
        <v>5604</v>
      </c>
      <c r="H369" s="150" t="s">
        <v>5606</v>
      </c>
      <c r="I369" s="50" t="s">
        <v>5609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886</v>
      </c>
      <c r="Q369" s="43">
        <v>23.1</v>
      </c>
      <c r="R369" s="43">
        <v>243</v>
      </c>
      <c r="S369" s="43">
        <v>74.900000000000006</v>
      </c>
      <c r="T369" s="2" t="s">
        <v>575</v>
      </c>
      <c r="U369" s="2" t="s">
        <v>8</v>
      </c>
      <c r="V369" s="97" t="s">
        <v>575</v>
      </c>
      <c r="W369" s="39">
        <v>113</v>
      </c>
      <c r="X369" s="40"/>
      <c r="Y369" s="40"/>
      <c r="Z369" s="40"/>
      <c r="AA369" s="40"/>
      <c r="AB369" s="40"/>
      <c r="AC369" s="40" t="s">
        <v>2939</v>
      </c>
      <c r="AD369" s="40"/>
      <c r="AE369" s="40"/>
      <c r="AF369" s="40" t="s">
        <v>2939</v>
      </c>
      <c r="AG369" s="40"/>
      <c r="AH369" s="40"/>
      <c r="AI369" s="40"/>
      <c r="AJ369" s="39" t="s">
        <v>2968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1958</v>
      </c>
      <c r="C370" s="40">
        <v>2410</v>
      </c>
      <c r="D370" s="38" t="s">
        <v>1955</v>
      </c>
      <c r="E370" s="40" t="s">
        <v>2929</v>
      </c>
      <c r="F370" s="40" t="s">
        <v>3517</v>
      </c>
      <c r="G370" s="50" t="s">
        <v>5604</v>
      </c>
      <c r="H370" s="150" t="s">
        <v>5606</v>
      </c>
      <c r="I370" s="50" t="s">
        <v>5609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306</v>
      </c>
      <c r="U370" s="2" t="s">
        <v>306</v>
      </c>
      <c r="V370" s="97" t="s">
        <v>575</v>
      </c>
      <c r="W370" s="39">
        <v>113</v>
      </c>
      <c r="X370" s="40"/>
      <c r="Y370" s="40"/>
      <c r="Z370" s="40" t="s">
        <v>2939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2965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1968</v>
      </c>
      <c r="C371" s="40">
        <v>1479</v>
      </c>
      <c r="D371" s="38" t="s">
        <v>2983</v>
      </c>
      <c r="E371" s="40" t="s">
        <v>2929</v>
      </c>
      <c r="F371" s="40" t="s">
        <v>3518</v>
      </c>
      <c r="G371" s="50" t="s">
        <v>5604</v>
      </c>
      <c r="H371" s="150" t="s">
        <v>5606</v>
      </c>
      <c r="I371" s="50" t="s">
        <v>5609</v>
      </c>
      <c r="J371" s="43">
        <v>198070.92600000001</v>
      </c>
      <c r="K371" s="43">
        <v>2665127.3470000001</v>
      </c>
      <c r="L371" s="43" t="s">
        <v>40</v>
      </c>
      <c r="M371" s="44">
        <v>10</v>
      </c>
      <c r="N371" s="43">
        <v>126</v>
      </c>
      <c r="O371" s="43">
        <v>89</v>
      </c>
      <c r="P371" s="43" t="s">
        <v>41</v>
      </c>
      <c r="Q371" s="43">
        <v>38</v>
      </c>
      <c r="R371" s="43">
        <v>237</v>
      </c>
      <c r="S371" s="43">
        <v>71</v>
      </c>
      <c r="T371" s="2" t="s">
        <v>575</v>
      </c>
      <c r="U371" s="69" t="s">
        <v>8</v>
      </c>
      <c r="V371" s="97" t="s">
        <v>575</v>
      </c>
      <c r="W371" s="39">
        <v>113</v>
      </c>
      <c r="X371" s="40"/>
      <c r="Y371" s="40"/>
      <c r="Z371" s="40" t="s">
        <v>2898</v>
      </c>
      <c r="AA371" s="40"/>
      <c r="AB371" s="40"/>
      <c r="AC371" s="40"/>
      <c r="AD371" s="40"/>
      <c r="AE371" s="40"/>
      <c r="AF371" s="40" t="s">
        <v>2939</v>
      </c>
      <c r="AG371" s="40"/>
      <c r="AH371" s="40"/>
      <c r="AI371" s="40"/>
      <c r="AJ371" s="39" t="s">
        <v>2968</v>
      </c>
      <c r="AK371" s="125"/>
      <c r="AL371" s="195" t="s">
        <v>2967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2016</v>
      </c>
      <c r="C372" s="29">
        <v>298</v>
      </c>
      <c r="D372" s="27" t="s">
        <v>2984</v>
      </c>
      <c r="E372" s="29" t="s">
        <v>2963</v>
      </c>
      <c r="F372" s="29" t="s">
        <v>3519</v>
      </c>
      <c r="G372" s="192" t="s">
        <v>5604</v>
      </c>
      <c r="H372" s="145" t="s">
        <v>5606</v>
      </c>
      <c r="I372" s="192" t="s">
        <v>5609</v>
      </c>
      <c r="J372" s="33">
        <v>199849.13800000001</v>
      </c>
      <c r="K372" s="33">
        <v>2665218.2779999999</v>
      </c>
      <c r="L372" s="33" t="s">
        <v>40</v>
      </c>
      <c r="M372" s="34">
        <v>11</v>
      </c>
      <c r="N372" s="33">
        <v>128</v>
      </c>
      <c r="O372" s="33">
        <v>125</v>
      </c>
      <c r="P372" s="33" t="s">
        <v>41</v>
      </c>
      <c r="Q372" s="33">
        <v>32</v>
      </c>
      <c r="R372" s="33">
        <v>297</v>
      </c>
      <c r="S372" s="33">
        <v>193</v>
      </c>
      <c r="T372" s="30" t="s">
        <v>575</v>
      </c>
      <c r="U372" s="30" t="s">
        <v>8</v>
      </c>
      <c r="V372" s="95" t="s">
        <v>575</v>
      </c>
      <c r="W372" s="28">
        <v>113</v>
      </c>
      <c r="X372" s="29"/>
      <c r="Y372" s="29"/>
      <c r="Z372" s="29"/>
      <c r="AA372" s="29"/>
      <c r="AB372" s="29"/>
      <c r="AC372" s="29" t="s">
        <v>2939</v>
      </c>
      <c r="AD372" s="29"/>
      <c r="AE372" s="29"/>
      <c r="AF372" s="29" t="s">
        <v>2939</v>
      </c>
      <c r="AG372" s="29"/>
      <c r="AH372" s="29" t="s">
        <v>2939</v>
      </c>
      <c r="AI372" s="29"/>
      <c r="AJ372" s="28" t="s">
        <v>2968</v>
      </c>
      <c r="AK372" s="216"/>
      <c r="AL372" s="195" t="s">
        <v>2967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1601</v>
      </c>
      <c r="C373" s="83">
        <v>1046</v>
      </c>
      <c r="D373" s="113" t="s">
        <v>1600</v>
      </c>
      <c r="E373" s="83" t="s">
        <v>2915</v>
      </c>
      <c r="F373" s="83" t="s">
        <v>3520</v>
      </c>
      <c r="G373" s="50" t="s">
        <v>5604</v>
      </c>
      <c r="H373" s="340" t="s">
        <v>5607</v>
      </c>
      <c r="I373" s="50" t="s">
        <v>5609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575</v>
      </c>
      <c r="U373" s="85" t="s">
        <v>8</v>
      </c>
      <c r="V373" s="84" t="s">
        <v>575</v>
      </c>
      <c r="W373" s="86">
        <v>113</v>
      </c>
      <c r="X373" s="83"/>
      <c r="Y373" s="83"/>
      <c r="Z373" s="83"/>
      <c r="AA373" s="83" t="s">
        <v>2939</v>
      </c>
      <c r="AB373" s="83"/>
      <c r="AC373" s="83"/>
      <c r="AD373" s="83" t="s">
        <v>2939</v>
      </c>
      <c r="AE373" s="83"/>
      <c r="AF373" s="83"/>
      <c r="AG373" s="83"/>
      <c r="AH373" s="83"/>
      <c r="AI373" s="83"/>
      <c r="AJ373" s="86" t="s">
        <v>2968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1202</v>
      </c>
      <c r="C374" s="29">
        <v>232</v>
      </c>
      <c r="D374" s="27" t="s">
        <v>1201</v>
      </c>
      <c r="E374" s="29" t="s">
        <v>2963</v>
      </c>
      <c r="F374" s="29" t="s">
        <v>3521</v>
      </c>
      <c r="G374" s="31" t="s">
        <v>5604</v>
      </c>
      <c r="H374" s="145" t="s">
        <v>5606</v>
      </c>
      <c r="I374" s="31" t="s">
        <v>5609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2907</v>
      </c>
      <c r="U374" s="30" t="s">
        <v>8</v>
      </c>
      <c r="V374" s="91" t="s">
        <v>2914</v>
      </c>
      <c r="W374" s="28">
        <v>109</v>
      </c>
      <c r="X374" s="29"/>
      <c r="Y374" s="29"/>
      <c r="Z374" s="29"/>
      <c r="AA374" s="29" t="s">
        <v>2939</v>
      </c>
      <c r="AB374" s="29"/>
      <c r="AC374" s="29"/>
      <c r="AD374" s="29"/>
      <c r="AE374" s="29"/>
      <c r="AF374" s="29" t="s">
        <v>2939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2023</v>
      </c>
      <c r="C375" s="40">
        <v>219</v>
      </c>
      <c r="D375" s="38" t="s">
        <v>2022</v>
      </c>
      <c r="E375" s="40" t="s">
        <v>2963</v>
      </c>
      <c r="F375" s="40" t="s">
        <v>3522</v>
      </c>
      <c r="G375" s="50" t="s">
        <v>5604</v>
      </c>
      <c r="H375" s="150" t="s">
        <v>5607</v>
      </c>
      <c r="I375" s="50" t="s">
        <v>5609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2914</v>
      </c>
      <c r="W375" s="39">
        <v>110</v>
      </c>
      <c r="X375" s="40"/>
      <c r="Y375" s="40"/>
      <c r="Z375" s="40"/>
      <c r="AA375" s="40" t="s">
        <v>2939</v>
      </c>
      <c r="AB375" s="40"/>
      <c r="AC375" s="40"/>
      <c r="AD375" s="40"/>
      <c r="AE375" s="40" t="s">
        <v>2898</v>
      </c>
      <c r="AF375" s="40" t="s">
        <v>2939</v>
      </c>
      <c r="AG375" s="40" t="s">
        <v>2939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2024</v>
      </c>
      <c r="C376" s="40">
        <v>220</v>
      </c>
      <c r="D376" s="38" t="s">
        <v>2022</v>
      </c>
      <c r="E376" s="40" t="s">
        <v>2963</v>
      </c>
      <c r="F376" s="40" t="s">
        <v>3523</v>
      </c>
      <c r="G376" s="50"/>
      <c r="H376" s="150" t="s">
        <v>5607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575</v>
      </c>
      <c r="U376" s="2" t="s">
        <v>8</v>
      </c>
      <c r="V376" s="93" t="s">
        <v>2914</v>
      </c>
      <c r="W376" s="39">
        <v>111</v>
      </c>
      <c r="X376" s="40"/>
      <c r="Y376" s="40"/>
      <c r="Z376" s="40"/>
      <c r="AA376" s="40" t="s">
        <v>2939</v>
      </c>
      <c r="AB376" s="40"/>
      <c r="AC376" s="40"/>
      <c r="AD376" s="40"/>
      <c r="AE376" s="40" t="s">
        <v>2898</v>
      </c>
      <c r="AF376" s="40" t="s">
        <v>2939</v>
      </c>
      <c r="AG376" s="40"/>
      <c r="AH376" s="40" t="s">
        <v>2939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2025</v>
      </c>
      <c r="C377" s="40">
        <v>223</v>
      </c>
      <c r="D377" s="38" t="s">
        <v>2022</v>
      </c>
      <c r="E377" s="40" t="s">
        <v>2963</v>
      </c>
      <c r="F377" s="40" t="s">
        <v>3524</v>
      </c>
      <c r="G377" s="50"/>
      <c r="H377" s="150" t="s">
        <v>5606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575</v>
      </c>
      <c r="U377" s="2" t="s">
        <v>8</v>
      </c>
      <c r="V377" s="93" t="s">
        <v>2914</v>
      </c>
      <c r="W377" s="39">
        <v>111</v>
      </c>
      <c r="X377" s="40"/>
      <c r="Y377" s="40"/>
      <c r="Z377" s="40"/>
      <c r="AA377" s="40" t="s">
        <v>2939</v>
      </c>
      <c r="AB377" s="40"/>
      <c r="AC377" s="40"/>
      <c r="AD377" s="40"/>
      <c r="AE377" s="40" t="s">
        <v>2898</v>
      </c>
      <c r="AF377" s="40" t="s">
        <v>2939</v>
      </c>
      <c r="AG377" s="40"/>
      <c r="AH377" s="40" t="s">
        <v>2939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2026</v>
      </c>
      <c r="C378" s="40">
        <v>224</v>
      </c>
      <c r="D378" s="38" t="s">
        <v>2022</v>
      </c>
      <c r="E378" s="40" t="s">
        <v>2963</v>
      </c>
      <c r="F378" s="40" t="s">
        <v>3525</v>
      </c>
      <c r="G378" s="50"/>
      <c r="H378" s="150" t="s">
        <v>5607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2914</v>
      </c>
      <c r="W378" s="39">
        <v>108</v>
      </c>
      <c r="X378" s="40"/>
      <c r="Y378" s="40"/>
      <c r="Z378" s="40"/>
      <c r="AA378" s="40" t="s">
        <v>2939</v>
      </c>
      <c r="AB378" s="40"/>
      <c r="AC378" s="40"/>
      <c r="AD378" s="40"/>
      <c r="AE378" s="40" t="s">
        <v>2898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2027</v>
      </c>
      <c r="C379" s="40">
        <v>231</v>
      </c>
      <c r="D379" s="38" t="s">
        <v>2022</v>
      </c>
      <c r="E379" s="40" t="s">
        <v>2963</v>
      </c>
      <c r="F379" s="40" t="s">
        <v>3526</v>
      </c>
      <c r="G379" s="50"/>
      <c r="H379" s="150" t="s">
        <v>5608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2914</v>
      </c>
      <c r="W379" s="39">
        <v>108</v>
      </c>
      <c r="X379" s="40"/>
      <c r="Y379" s="40"/>
      <c r="Z379" s="40"/>
      <c r="AA379" s="40" t="s">
        <v>2939</v>
      </c>
      <c r="AB379" s="40"/>
      <c r="AC379" s="40"/>
      <c r="AD379" s="40"/>
      <c r="AE379" s="40" t="s">
        <v>2939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2028</v>
      </c>
      <c r="C380" s="40">
        <v>233</v>
      </c>
      <c r="D380" s="38" t="s">
        <v>2022</v>
      </c>
      <c r="E380" s="40" t="s">
        <v>2963</v>
      </c>
      <c r="F380" s="40" t="s">
        <v>3527</v>
      </c>
      <c r="G380" s="50" t="s">
        <v>5604</v>
      </c>
      <c r="H380" s="150" t="s">
        <v>5606</v>
      </c>
      <c r="I380" s="50" t="s">
        <v>5609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575</v>
      </c>
      <c r="U380" s="2" t="s">
        <v>8</v>
      </c>
      <c r="V380" s="93" t="s">
        <v>2914</v>
      </c>
      <c r="W380" s="39">
        <v>111</v>
      </c>
      <c r="X380" s="40"/>
      <c r="Y380" s="40"/>
      <c r="Z380" s="40"/>
      <c r="AA380" s="40" t="s">
        <v>2939</v>
      </c>
      <c r="AB380" s="40"/>
      <c r="AC380" s="40"/>
      <c r="AD380" s="40"/>
      <c r="AE380" s="40" t="s">
        <v>2898</v>
      </c>
      <c r="AF380" s="40"/>
      <c r="AG380" s="40"/>
      <c r="AH380" s="40" t="s">
        <v>2939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2029</v>
      </c>
      <c r="C381" s="40">
        <v>221</v>
      </c>
      <c r="D381" s="38" t="s">
        <v>2022</v>
      </c>
      <c r="E381" s="40" t="s">
        <v>2963</v>
      </c>
      <c r="F381" s="40" t="s">
        <v>3528</v>
      </c>
      <c r="G381" s="50" t="s">
        <v>5604</v>
      </c>
      <c r="H381" s="150" t="s">
        <v>5608</v>
      </c>
      <c r="I381" s="50" t="s">
        <v>5609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575</v>
      </c>
      <c r="U381" s="2" t="s">
        <v>8</v>
      </c>
      <c r="V381" s="93" t="s">
        <v>2914</v>
      </c>
      <c r="W381" s="39">
        <v>111</v>
      </c>
      <c r="X381" s="40"/>
      <c r="Y381" s="40"/>
      <c r="Z381" s="40"/>
      <c r="AA381" s="40" t="s">
        <v>2939</v>
      </c>
      <c r="AB381" s="40"/>
      <c r="AC381" s="40"/>
      <c r="AD381" s="40"/>
      <c r="AE381" s="40"/>
      <c r="AF381" s="40" t="s">
        <v>2939</v>
      </c>
      <c r="AG381" s="40"/>
      <c r="AH381" s="40" t="s">
        <v>2939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2030</v>
      </c>
      <c r="C382" s="83">
        <v>222</v>
      </c>
      <c r="D382" s="113" t="s">
        <v>2022</v>
      </c>
      <c r="E382" s="83" t="s">
        <v>2963</v>
      </c>
      <c r="F382" s="83" t="s">
        <v>3529</v>
      </c>
      <c r="G382" s="138" t="s">
        <v>5604</v>
      </c>
      <c r="H382" s="340" t="s">
        <v>5608</v>
      </c>
      <c r="I382" s="138" t="s">
        <v>5609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575</v>
      </c>
      <c r="U382" s="85" t="s">
        <v>8</v>
      </c>
      <c r="V382" s="94" t="s">
        <v>2914</v>
      </c>
      <c r="W382" s="86">
        <v>111</v>
      </c>
      <c r="X382" s="83"/>
      <c r="Y382" s="83"/>
      <c r="Z382" s="83"/>
      <c r="AA382" s="83" t="s">
        <v>2939</v>
      </c>
      <c r="AB382" s="83"/>
      <c r="AC382" s="83"/>
      <c r="AD382" s="83"/>
      <c r="AE382" s="83"/>
      <c r="AF382" s="83" t="s">
        <v>2939</v>
      </c>
      <c r="AG382" s="83"/>
      <c r="AH382" s="83" t="s">
        <v>2939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2075</v>
      </c>
      <c r="C383" s="29">
        <v>2210</v>
      </c>
      <c r="D383" s="27" t="s">
        <v>2073</v>
      </c>
      <c r="E383" s="29" t="s">
        <v>2915</v>
      </c>
      <c r="F383" s="29" t="s">
        <v>3530</v>
      </c>
      <c r="G383" s="192"/>
      <c r="H383" s="145" t="s">
        <v>5606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2907</v>
      </c>
      <c r="U383" s="30" t="s">
        <v>8</v>
      </c>
      <c r="V383" s="91" t="s">
        <v>2914</v>
      </c>
      <c r="W383" s="28">
        <v>112</v>
      </c>
      <c r="X383" s="29"/>
      <c r="Y383" s="102"/>
      <c r="Z383" s="29" t="s">
        <v>2898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2961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2210</v>
      </c>
      <c r="C384" s="40">
        <v>2034</v>
      </c>
      <c r="D384" s="38" t="s">
        <v>2985</v>
      </c>
      <c r="E384" s="40" t="s">
        <v>2963</v>
      </c>
      <c r="F384" s="40" t="s">
        <v>3531</v>
      </c>
      <c r="G384" s="50" t="s">
        <v>5604</v>
      </c>
      <c r="H384" s="150" t="s">
        <v>5606</v>
      </c>
      <c r="I384" s="50" t="s">
        <v>5609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575</v>
      </c>
      <c r="U384" s="2" t="s">
        <v>8</v>
      </c>
      <c r="V384" s="93" t="s">
        <v>2914</v>
      </c>
      <c r="W384" s="39">
        <v>109</v>
      </c>
      <c r="X384" s="40"/>
      <c r="Y384" s="106"/>
      <c r="Z384" s="40"/>
      <c r="AA384" s="40"/>
      <c r="AB384" s="40" t="s">
        <v>2939</v>
      </c>
      <c r="AC384" s="40"/>
      <c r="AD384" s="40"/>
      <c r="AE384" s="40"/>
      <c r="AF384" s="40" t="s">
        <v>2939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2076</v>
      </c>
      <c r="C385" s="40">
        <v>2211</v>
      </c>
      <c r="D385" s="38" t="s">
        <v>2073</v>
      </c>
      <c r="E385" s="40" t="s">
        <v>2915</v>
      </c>
      <c r="F385" s="40" t="s">
        <v>3532</v>
      </c>
      <c r="G385" s="50"/>
      <c r="H385" s="150" t="s">
        <v>5608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708</v>
      </c>
      <c r="U385" s="2" t="s">
        <v>56</v>
      </c>
      <c r="V385" s="93" t="s">
        <v>2914</v>
      </c>
      <c r="W385" s="81">
        <v>105</v>
      </c>
      <c r="X385" s="40"/>
      <c r="Y385" s="106"/>
      <c r="Z385" s="40"/>
      <c r="AA385" s="40"/>
      <c r="AB385" s="40" t="s">
        <v>2943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2209</v>
      </c>
      <c r="C386" s="58">
        <v>2033</v>
      </c>
      <c r="D386" s="56" t="s">
        <v>2985</v>
      </c>
      <c r="E386" s="58" t="s">
        <v>2963</v>
      </c>
      <c r="F386" s="58" t="s">
        <v>3533</v>
      </c>
      <c r="G386" s="127" t="s">
        <v>5604</v>
      </c>
      <c r="H386" s="226" t="s">
        <v>5608</v>
      </c>
      <c r="I386" s="127" t="s">
        <v>5609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708</v>
      </c>
      <c r="U386" s="59" t="s">
        <v>56</v>
      </c>
      <c r="V386" s="108" t="s">
        <v>2914</v>
      </c>
      <c r="W386" s="57">
        <v>109</v>
      </c>
      <c r="X386" s="58"/>
      <c r="Y386" s="109"/>
      <c r="Z386" s="58"/>
      <c r="AA386" s="58"/>
      <c r="AB386" s="58" t="s">
        <v>2939</v>
      </c>
      <c r="AC386" s="58"/>
      <c r="AD386" s="58"/>
      <c r="AE386" s="58"/>
      <c r="AF386" s="58" t="s">
        <v>2943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2096</v>
      </c>
      <c r="C387" s="75">
        <v>1732</v>
      </c>
      <c r="D387" s="67" t="s">
        <v>2095</v>
      </c>
      <c r="E387" s="75" t="s">
        <v>2929</v>
      </c>
      <c r="F387" s="75" t="s">
        <v>3534</v>
      </c>
      <c r="G387" s="178" t="s">
        <v>5604</v>
      </c>
      <c r="H387" s="414" t="s">
        <v>5607</v>
      </c>
      <c r="I387" s="178" t="s">
        <v>5609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306</v>
      </c>
      <c r="U387" s="69" t="s">
        <v>3</v>
      </c>
      <c r="V387" s="122" t="s">
        <v>575</v>
      </c>
      <c r="W387" s="70">
        <v>110</v>
      </c>
      <c r="X387" s="75"/>
      <c r="Y387" s="215"/>
      <c r="Z387" s="75"/>
      <c r="AA387" s="75" t="s">
        <v>2939</v>
      </c>
      <c r="AB387" s="75"/>
      <c r="AC387" s="75"/>
      <c r="AD387" s="75"/>
      <c r="AE387" s="75"/>
      <c r="AF387" s="75"/>
      <c r="AG387" s="75" t="s">
        <v>2898</v>
      </c>
      <c r="AH387" s="75"/>
      <c r="AI387" s="75"/>
      <c r="AJ387" s="70"/>
      <c r="AK387" s="239"/>
      <c r="AL387" s="251" t="s">
        <v>2908</v>
      </c>
      <c r="AM387" s="250">
        <v>114</v>
      </c>
    </row>
    <row r="388" spans="1:39" s="15" customFormat="1" x14ac:dyDescent="0.3">
      <c r="A388" s="15">
        <v>387</v>
      </c>
      <c r="B388" s="40" t="s">
        <v>2097</v>
      </c>
      <c r="C388" s="40">
        <v>1783</v>
      </c>
      <c r="D388" s="38" t="s">
        <v>2095</v>
      </c>
      <c r="E388" s="40" t="s">
        <v>2929</v>
      </c>
      <c r="F388" s="40" t="s">
        <v>3535</v>
      </c>
      <c r="G388" s="50"/>
      <c r="H388" s="150" t="s">
        <v>5608</v>
      </c>
      <c r="I388" s="50"/>
      <c r="J388" s="43">
        <v>196084</v>
      </c>
      <c r="K388" s="43">
        <v>2665449</v>
      </c>
      <c r="L388" s="43" t="s">
        <v>831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306</v>
      </c>
      <c r="U388" s="2" t="s">
        <v>3</v>
      </c>
      <c r="V388" s="97" t="s">
        <v>575</v>
      </c>
      <c r="W388" s="39">
        <v>110</v>
      </c>
      <c r="X388" s="40"/>
      <c r="Y388" s="40"/>
      <c r="Z388" s="40"/>
      <c r="AA388" s="40" t="s">
        <v>2939</v>
      </c>
      <c r="AB388" s="40"/>
      <c r="AC388" s="40"/>
      <c r="AD388" s="40"/>
      <c r="AE388" s="40"/>
      <c r="AF388" s="40"/>
      <c r="AG388" s="40" t="s">
        <v>2898</v>
      </c>
      <c r="AH388" s="40"/>
      <c r="AI388" s="40"/>
      <c r="AJ388" s="39"/>
      <c r="AK388" s="191"/>
      <c r="AL388" s="157" t="s">
        <v>2908</v>
      </c>
      <c r="AM388" s="167">
        <v>114</v>
      </c>
    </row>
    <row r="389" spans="1:39" s="15" customFormat="1" x14ac:dyDescent="0.3">
      <c r="A389" s="15">
        <v>388</v>
      </c>
      <c r="B389" s="40" t="s">
        <v>2102</v>
      </c>
      <c r="C389" s="40">
        <v>1747</v>
      </c>
      <c r="D389" s="38" t="s">
        <v>2100</v>
      </c>
      <c r="E389" s="40" t="s">
        <v>2929</v>
      </c>
      <c r="F389" s="40" t="s">
        <v>3536</v>
      </c>
      <c r="G389" s="50" t="s">
        <v>5604</v>
      </c>
      <c r="H389" s="150" t="s">
        <v>5606</v>
      </c>
      <c r="I389" s="50" t="s">
        <v>5609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575</v>
      </c>
      <c r="U389" s="2" t="s">
        <v>8</v>
      </c>
      <c r="V389" s="97" t="s">
        <v>575</v>
      </c>
      <c r="W389" s="39">
        <v>110</v>
      </c>
      <c r="X389" s="40"/>
      <c r="Y389" s="40"/>
      <c r="Z389" s="40" t="s">
        <v>2939</v>
      </c>
      <c r="AA389" s="40"/>
      <c r="AB389" s="40"/>
      <c r="AC389" s="40" t="s">
        <v>2939</v>
      </c>
      <c r="AD389" s="40"/>
      <c r="AE389" s="40"/>
      <c r="AF389" s="40" t="s">
        <v>2939</v>
      </c>
      <c r="AG389" s="40" t="s">
        <v>2939</v>
      </c>
      <c r="AH389" s="40"/>
      <c r="AI389" s="40"/>
      <c r="AJ389" s="39"/>
      <c r="AK389" s="191"/>
      <c r="AL389" s="157" t="s">
        <v>2908</v>
      </c>
      <c r="AM389" s="53">
        <v>114</v>
      </c>
    </row>
    <row r="390" spans="1:39" s="15" customFormat="1" x14ac:dyDescent="0.3">
      <c r="A390" s="15">
        <v>389</v>
      </c>
      <c r="B390" s="40" t="s">
        <v>2986</v>
      </c>
      <c r="C390" s="40">
        <v>1767</v>
      </c>
      <c r="D390" s="38" t="s">
        <v>2100</v>
      </c>
      <c r="E390" s="40" t="s">
        <v>2929</v>
      </c>
      <c r="F390" s="40" t="s">
        <v>3537</v>
      </c>
      <c r="G390" s="50" t="s">
        <v>5604</v>
      </c>
      <c r="H390" s="150" t="s">
        <v>5606</v>
      </c>
      <c r="I390" s="50" t="s">
        <v>5609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575</v>
      </c>
      <c r="U390" s="2" t="s">
        <v>8</v>
      </c>
      <c r="V390" s="97" t="s">
        <v>575</v>
      </c>
      <c r="W390" s="39">
        <v>114</v>
      </c>
      <c r="X390" s="40"/>
      <c r="Y390" s="40"/>
      <c r="Z390" s="40" t="s">
        <v>2939</v>
      </c>
      <c r="AA390" s="40"/>
      <c r="AB390" s="40"/>
      <c r="AC390" s="40"/>
      <c r="AD390" s="40" t="s">
        <v>2939</v>
      </c>
      <c r="AE390" s="40"/>
      <c r="AF390" s="40"/>
      <c r="AG390" s="40" t="s">
        <v>2939</v>
      </c>
      <c r="AH390" s="40"/>
      <c r="AI390" s="40"/>
      <c r="AJ390" s="39"/>
      <c r="AK390" s="197" t="s">
        <v>303</v>
      </c>
      <c r="AL390" s="157" t="s">
        <v>2908</v>
      </c>
      <c r="AM390" s="167">
        <v>114</v>
      </c>
    </row>
    <row r="391" spans="1:39" s="15" customFormat="1" x14ac:dyDescent="0.3">
      <c r="A391" s="15">
        <v>390</v>
      </c>
      <c r="B391" s="40" t="s">
        <v>2987</v>
      </c>
      <c r="C391" s="40">
        <v>1768</v>
      </c>
      <c r="D391" s="38" t="s">
        <v>2100</v>
      </c>
      <c r="E391" s="40" t="s">
        <v>2929</v>
      </c>
      <c r="F391" s="40" t="s">
        <v>3538</v>
      </c>
      <c r="G391" s="50" t="s">
        <v>5604</v>
      </c>
      <c r="H391" s="150" t="s">
        <v>5607</v>
      </c>
      <c r="I391" s="50" t="s">
        <v>5609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575</v>
      </c>
      <c r="U391" s="2" t="s">
        <v>8</v>
      </c>
      <c r="V391" s="97" t="s">
        <v>575</v>
      </c>
      <c r="W391" s="39">
        <v>114</v>
      </c>
      <c r="X391" s="40"/>
      <c r="Y391" s="40"/>
      <c r="Z391" s="40" t="s">
        <v>2939</v>
      </c>
      <c r="AA391" s="40"/>
      <c r="AB391" s="40"/>
      <c r="AC391" s="40"/>
      <c r="AD391" s="40" t="s">
        <v>2939</v>
      </c>
      <c r="AE391" s="40"/>
      <c r="AF391" s="40"/>
      <c r="AG391" s="40" t="s">
        <v>2939</v>
      </c>
      <c r="AH391" s="40"/>
      <c r="AI391" s="40"/>
      <c r="AJ391" s="39"/>
      <c r="AK391" s="197" t="s">
        <v>303</v>
      </c>
      <c r="AL391" s="157" t="s">
        <v>2908</v>
      </c>
      <c r="AM391" s="53">
        <v>114</v>
      </c>
    </row>
    <row r="392" spans="1:39" s="15" customFormat="1" x14ac:dyDescent="0.3">
      <c r="A392" s="15">
        <v>391</v>
      </c>
      <c r="B392" s="40" t="s">
        <v>2109</v>
      </c>
      <c r="C392" s="40">
        <v>1769</v>
      </c>
      <c r="D392" s="38" t="s">
        <v>2100</v>
      </c>
      <c r="E392" s="40" t="s">
        <v>2929</v>
      </c>
      <c r="F392" s="40" t="s">
        <v>3539</v>
      </c>
      <c r="G392" s="50"/>
      <c r="H392" s="150" t="s">
        <v>5607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575</v>
      </c>
      <c r="W392" s="39">
        <v>107</v>
      </c>
      <c r="X392" s="40"/>
      <c r="Y392" s="40"/>
      <c r="Z392" s="40" t="s">
        <v>2939</v>
      </c>
      <c r="AA392" s="40"/>
      <c r="AB392" s="40"/>
      <c r="AC392" s="40"/>
      <c r="AD392" s="40" t="s">
        <v>2939</v>
      </c>
      <c r="AE392" s="40"/>
      <c r="AF392" s="40"/>
      <c r="AG392" s="40"/>
      <c r="AH392" s="40"/>
      <c r="AI392" s="40"/>
      <c r="AJ392" s="39"/>
      <c r="AK392" s="197"/>
      <c r="AL392" s="157" t="s">
        <v>2908</v>
      </c>
      <c r="AM392" s="167">
        <v>114</v>
      </c>
    </row>
    <row r="393" spans="1:39" s="15" customFormat="1" x14ac:dyDescent="0.3">
      <c r="A393" s="15">
        <v>392</v>
      </c>
      <c r="B393" s="40" t="s">
        <v>2110</v>
      </c>
      <c r="C393" s="40">
        <v>1770</v>
      </c>
      <c r="D393" s="38" t="s">
        <v>2100</v>
      </c>
      <c r="E393" s="40" t="s">
        <v>2929</v>
      </c>
      <c r="F393" s="40" t="s">
        <v>3540</v>
      </c>
      <c r="G393" s="50"/>
      <c r="H393" s="150" t="s">
        <v>5607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134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575</v>
      </c>
      <c r="W393" s="39">
        <v>108</v>
      </c>
      <c r="X393" s="40"/>
      <c r="Y393" s="40"/>
      <c r="Z393" s="40" t="s">
        <v>2939</v>
      </c>
      <c r="AA393" s="40"/>
      <c r="AB393" s="40"/>
      <c r="AC393" s="40"/>
      <c r="AD393" s="40"/>
      <c r="AE393" s="40" t="s">
        <v>2939</v>
      </c>
      <c r="AF393" s="40"/>
      <c r="AG393" s="40"/>
      <c r="AH393" s="40"/>
      <c r="AI393" s="40"/>
      <c r="AJ393" s="39"/>
      <c r="AK393" s="197"/>
      <c r="AL393" s="157" t="s">
        <v>2908</v>
      </c>
      <c r="AM393" s="53">
        <v>114</v>
      </c>
    </row>
    <row r="394" spans="1:39" s="15" customFormat="1" x14ac:dyDescent="0.3">
      <c r="A394" s="15">
        <v>393</v>
      </c>
      <c r="B394" s="40" t="s">
        <v>2988</v>
      </c>
      <c r="C394" s="40">
        <v>1781</v>
      </c>
      <c r="D394" s="38" t="s">
        <v>2100</v>
      </c>
      <c r="E394" s="40" t="s">
        <v>2929</v>
      </c>
      <c r="F394" s="40" t="s">
        <v>3541</v>
      </c>
      <c r="G394" s="50" t="s">
        <v>5604</v>
      </c>
      <c r="H394" s="150" t="s">
        <v>5607</v>
      </c>
      <c r="I394" s="50" t="s">
        <v>5609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575</v>
      </c>
      <c r="U394" s="2" t="s">
        <v>8</v>
      </c>
      <c r="V394" s="97" t="s">
        <v>575</v>
      </c>
      <c r="W394" s="39">
        <v>114</v>
      </c>
      <c r="X394" s="40"/>
      <c r="Y394" s="40"/>
      <c r="Z394" s="40" t="s">
        <v>2939</v>
      </c>
      <c r="AA394" s="40"/>
      <c r="AB394" s="40"/>
      <c r="AC394" s="40"/>
      <c r="AD394" s="40" t="s">
        <v>2939</v>
      </c>
      <c r="AE394" s="40"/>
      <c r="AF394" s="40"/>
      <c r="AG394" s="40" t="s">
        <v>2939</v>
      </c>
      <c r="AH394" s="40"/>
      <c r="AI394" s="40"/>
      <c r="AJ394" s="39"/>
      <c r="AK394" s="197" t="s">
        <v>303</v>
      </c>
      <c r="AL394" s="157" t="s">
        <v>2908</v>
      </c>
      <c r="AM394" s="167">
        <v>114</v>
      </c>
    </row>
    <row r="395" spans="1:39" s="15" customFormat="1" x14ac:dyDescent="0.3">
      <c r="A395" s="15">
        <v>394</v>
      </c>
      <c r="B395" s="40" t="s">
        <v>2113</v>
      </c>
      <c r="C395" s="40">
        <v>1808</v>
      </c>
      <c r="D395" s="38" t="s">
        <v>2100</v>
      </c>
      <c r="E395" s="40" t="s">
        <v>2929</v>
      </c>
      <c r="F395" s="40" t="s">
        <v>3542</v>
      </c>
      <c r="G395" s="50" t="s">
        <v>5604</v>
      </c>
      <c r="H395" s="150" t="s">
        <v>5606</v>
      </c>
      <c r="I395" s="50" t="s">
        <v>5609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886</v>
      </c>
      <c r="Q395" s="43">
        <v>28.1</v>
      </c>
      <c r="R395" s="43">
        <v>454</v>
      </c>
      <c r="S395" s="43">
        <v>50</v>
      </c>
      <c r="T395" s="2" t="s">
        <v>2907</v>
      </c>
      <c r="U395" s="2" t="s">
        <v>8</v>
      </c>
      <c r="V395" s="97" t="s">
        <v>575</v>
      </c>
      <c r="W395" s="39">
        <v>109</v>
      </c>
      <c r="X395" s="40"/>
      <c r="Y395" s="40"/>
      <c r="Z395" s="40"/>
      <c r="AA395" s="40"/>
      <c r="AB395" s="40"/>
      <c r="AC395" s="40" t="s">
        <v>2939</v>
      </c>
      <c r="AD395" s="40"/>
      <c r="AE395" s="40"/>
      <c r="AF395" s="40" t="s">
        <v>2939</v>
      </c>
      <c r="AG395" s="40"/>
      <c r="AH395" s="40"/>
      <c r="AI395" s="40"/>
      <c r="AJ395" s="39"/>
      <c r="AK395" s="191"/>
      <c r="AL395" s="157" t="s">
        <v>2908</v>
      </c>
      <c r="AM395" s="53">
        <v>114</v>
      </c>
    </row>
    <row r="396" spans="1:39" s="15" customFormat="1" x14ac:dyDescent="0.3">
      <c r="A396" s="15">
        <v>395</v>
      </c>
      <c r="B396" s="40" t="s">
        <v>2114</v>
      </c>
      <c r="C396" s="40">
        <v>1809</v>
      </c>
      <c r="D396" s="38" t="s">
        <v>2100</v>
      </c>
      <c r="E396" s="40" t="s">
        <v>2929</v>
      </c>
      <c r="F396" s="40" t="s">
        <v>3543</v>
      </c>
      <c r="G396" s="50" t="s">
        <v>5604</v>
      </c>
      <c r="H396" s="150" t="s">
        <v>5608</v>
      </c>
      <c r="I396" s="50" t="s">
        <v>5609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886</v>
      </c>
      <c r="Q396" s="43">
        <v>28.1</v>
      </c>
      <c r="R396" s="43">
        <v>454</v>
      </c>
      <c r="S396" s="43">
        <v>50</v>
      </c>
      <c r="T396" s="2" t="s">
        <v>2907</v>
      </c>
      <c r="U396" s="2" t="str">
        <f>U395</f>
        <v>監測</v>
      </c>
      <c r="V396" s="97" t="s">
        <v>575</v>
      </c>
      <c r="W396" s="39">
        <v>109</v>
      </c>
      <c r="X396" s="40"/>
      <c r="Y396" s="40"/>
      <c r="Z396" s="40"/>
      <c r="AA396" s="40"/>
      <c r="AB396" s="40"/>
      <c r="AC396" s="40" t="s">
        <v>2939</v>
      </c>
      <c r="AD396" s="40"/>
      <c r="AE396" s="40"/>
      <c r="AF396" s="40" t="s">
        <v>2939</v>
      </c>
      <c r="AG396" s="40"/>
      <c r="AH396" s="40"/>
      <c r="AI396" s="40"/>
      <c r="AJ396" s="39"/>
      <c r="AK396" s="191"/>
      <c r="AL396" s="157" t="s">
        <v>2908</v>
      </c>
      <c r="AM396" s="167">
        <v>114</v>
      </c>
    </row>
    <row r="397" spans="1:39" s="15" customFormat="1" x14ac:dyDescent="0.3">
      <c r="A397" s="15">
        <v>396</v>
      </c>
      <c r="B397" s="40" t="s">
        <v>2115</v>
      </c>
      <c r="C397" s="40">
        <v>1810</v>
      </c>
      <c r="D397" s="38" t="s">
        <v>2100</v>
      </c>
      <c r="E397" s="40" t="s">
        <v>2929</v>
      </c>
      <c r="F397" s="40" t="s">
        <v>3544</v>
      </c>
      <c r="G397" s="50" t="s">
        <v>5604</v>
      </c>
      <c r="H397" s="150" t="s">
        <v>5608</v>
      </c>
      <c r="I397" s="50" t="s">
        <v>5609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886</v>
      </c>
      <c r="Q397" s="43">
        <v>28.1</v>
      </c>
      <c r="R397" s="43">
        <v>454</v>
      </c>
      <c r="S397" s="43">
        <v>50</v>
      </c>
      <c r="T397" s="2" t="s">
        <v>2907</v>
      </c>
      <c r="U397" s="2" t="str">
        <f>U395</f>
        <v>監測</v>
      </c>
      <c r="V397" s="97" t="s">
        <v>575</v>
      </c>
      <c r="W397" s="39">
        <v>109</v>
      </c>
      <c r="X397" s="40"/>
      <c r="Y397" s="40"/>
      <c r="Z397" s="40"/>
      <c r="AA397" s="40"/>
      <c r="AB397" s="40"/>
      <c r="AC397" s="40" t="s">
        <v>2939</v>
      </c>
      <c r="AD397" s="40"/>
      <c r="AE397" s="40"/>
      <c r="AF397" s="40" t="s">
        <v>2939</v>
      </c>
      <c r="AG397" s="40"/>
      <c r="AH397" s="40"/>
      <c r="AI397" s="40"/>
      <c r="AJ397" s="39"/>
      <c r="AK397" s="191"/>
      <c r="AL397" s="157" t="s">
        <v>2908</v>
      </c>
      <c r="AM397" s="53">
        <v>114</v>
      </c>
    </row>
    <row r="398" spans="1:39" s="15" customFormat="1" x14ac:dyDescent="0.3">
      <c r="A398" s="15">
        <v>397</v>
      </c>
      <c r="B398" s="40" t="s">
        <v>2116</v>
      </c>
      <c r="C398" s="40">
        <v>1811</v>
      </c>
      <c r="D398" s="38" t="s">
        <v>2100</v>
      </c>
      <c r="E398" s="40" t="s">
        <v>2929</v>
      </c>
      <c r="F398" s="40" t="s">
        <v>3545</v>
      </c>
      <c r="G398" s="50" t="s">
        <v>5604</v>
      </c>
      <c r="H398" s="150" t="s">
        <v>5608</v>
      </c>
      <c r="I398" s="50" t="s">
        <v>5609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886</v>
      </c>
      <c r="Q398" s="43">
        <v>28.1</v>
      </c>
      <c r="R398" s="43">
        <v>454</v>
      </c>
      <c r="S398" s="43">
        <v>50</v>
      </c>
      <c r="T398" s="2" t="s">
        <v>2907</v>
      </c>
      <c r="U398" s="2" t="str">
        <f>U395</f>
        <v>監測</v>
      </c>
      <c r="V398" s="97" t="s">
        <v>575</v>
      </c>
      <c r="W398" s="39">
        <v>109</v>
      </c>
      <c r="X398" s="40"/>
      <c r="Y398" s="40"/>
      <c r="Z398" s="40"/>
      <c r="AA398" s="40"/>
      <c r="AB398" s="40"/>
      <c r="AC398" s="40" t="s">
        <v>2939</v>
      </c>
      <c r="AD398" s="40"/>
      <c r="AE398" s="40"/>
      <c r="AF398" s="40" t="s">
        <v>2939</v>
      </c>
      <c r="AG398" s="40"/>
      <c r="AH398" s="40"/>
      <c r="AI398" s="40"/>
      <c r="AJ398" s="39"/>
      <c r="AK398" s="191"/>
      <c r="AL398" s="157" t="s">
        <v>2908</v>
      </c>
      <c r="AM398" s="167">
        <v>114</v>
      </c>
    </row>
    <row r="399" spans="1:39" s="15" customFormat="1" x14ac:dyDescent="0.3">
      <c r="A399" s="15">
        <v>398</v>
      </c>
      <c r="B399" s="40" t="s">
        <v>2121</v>
      </c>
      <c r="C399" s="40">
        <v>2413</v>
      </c>
      <c r="D399" s="40" t="s">
        <v>2120</v>
      </c>
      <c r="E399" s="40" t="s">
        <v>2929</v>
      </c>
      <c r="F399" s="40" t="s">
        <v>3546</v>
      </c>
      <c r="G399" s="38"/>
      <c r="H399" s="150" t="s">
        <v>5608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575</v>
      </c>
      <c r="W399" s="39">
        <v>103</v>
      </c>
      <c r="X399" s="40"/>
      <c r="Y399" s="38"/>
      <c r="Z399" s="40" t="s">
        <v>2939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2908</v>
      </c>
      <c r="AM399" s="53">
        <v>114</v>
      </c>
    </row>
    <row r="400" spans="1:39" s="15" customFormat="1" x14ac:dyDescent="0.3">
      <c r="A400" s="15">
        <v>399</v>
      </c>
      <c r="B400" s="40" t="s">
        <v>2122</v>
      </c>
      <c r="C400" s="40">
        <v>2414</v>
      </c>
      <c r="D400" s="38" t="s">
        <v>2100</v>
      </c>
      <c r="E400" s="40" t="s">
        <v>2929</v>
      </c>
      <c r="F400" s="40" t="s">
        <v>3547</v>
      </c>
      <c r="G400" s="38"/>
      <c r="H400" s="150" t="s">
        <v>5607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575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2908</v>
      </c>
      <c r="AM400" s="167">
        <v>114</v>
      </c>
    </row>
    <row r="401" spans="1:56" s="15" customFormat="1" x14ac:dyDescent="0.3">
      <c r="A401" s="15">
        <v>400</v>
      </c>
      <c r="B401" s="40" t="s">
        <v>2121</v>
      </c>
      <c r="C401" s="40">
        <v>1779</v>
      </c>
      <c r="D401" s="38" t="s">
        <v>2100</v>
      </c>
      <c r="E401" s="40" t="s">
        <v>2929</v>
      </c>
      <c r="F401" s="40" t="s">
        <v>3548</v>
      </c>
      <c r="G401" s="50"/>
      <c r="H401" s="150" t="s">
        <v>5607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575</v>
      </c>
      <c r="W401" s="39">
        <v>108</v>
      </c>
      <c r="X401" s="40"/>
      <c r="Y401" s="40"/>
      <c r="Z401" s="40" t="s">
        <v>2939</v>
      </c>
      <c r="AA401" s="40"/>
      <c r="AB401" s="40"/>
      <c r="AC401" s="40"/>
      <c r="AD401" s="40"/>
      <c r="AE401" s="40" t="s">
        <v>2898</v>
      </c>
      <c r="AF401" s="40"/>
      <c r="AG401" s="40"/>
      <c r="AH401" s="40"/>
      <c r="AI401" s="40"/>
      <c r="AJ401" s="39"/>
      <c r="AK401" s="197"/>
      <c r="AL401" s="157" t="s">
        <v>2908</v>
      </c>
      <c r="AM401" s="53">
        <v>114</v>
      </c>
    </row>
    <row r="402" spans="1:56" s="15" customFormat="1" x14ac:dyDescent="0.3">
      <c r="A402" s="15">
        <v>401</v>
      </c>
      <c r="B402" s="40" t="s">
        <v>2989</v>
      </c>
      <c r="C402" s="40">
        <v>1806</v>
      </c>
      <c r="D402" s="38" t="s">
        <v>2095</v>
      </c>
      <c r="E402" s="40" t="s">
        <v>2929</v>
      </c>
      <c r="F402" s="40" t="s">
        <v>3549</v>
      </c>
      <c r="G402" s="50" t="s">
        <v>5604</v>
      </c>
      <c r="H402" s="150" t="s">
        <v>5608</v>
      </c>
      <c r="I402" s="50" t="s">
        <v>5609</v>
      </c>
      <c r="J402" s="43">
        <v>196323</v>
      </c>
      <c r="K402" s="43">
        <v>2665487</v>
      </c>
      <c r="L402" s="43" t="s">
        <v>2931</v>
      </c>
      <c r="M402" s="44">
        <v>9</v>
      </c>
      <c r="N402" s="43">
        <v>130</v>
      </c>
      <c r="O402" s="43">
        <v>71</v>
      </c>
      <c r="P402" s="43" t="s">
        <v>2932</v>
      </c>
      <c r="Q402" s="43">
        <v>35</v>
      </c>
      <c r="R402" s="43">
        <v>436</v>
      </c>
      <c r="S402" s="43">
        <v>37</v>
      </c>
      <c r="T402" s="2" t="s">
        <v>575</v>
      </c>
      <c r="U402" s="2" t="str">
        <f>U389</f>
        <v>監測</v>
      </c>
      <c r="V402" s="97" t="s">
        <v>575</v>
      </c>
      <c r="W402" s="39">
        <v>114</v>
      </c>
      <c r="X402" s="40"/>
      <c r="Y402" s="40"/>
      <c r="Z402" s="40"/>
      <c r="AA402" s="40"/>
      <c r="AB402" s="40"/>
      <c r="AC402" s="40" t="s">
        <v>2939</v>
      </c>
      <c r="AD402" s="40"/>
      <c r="AE402" s="40"/>
      <c r="AF402" s="40" t="s">
        <v>2939</v>
      </c>
      <c r="AG402" s="40" t="s">
        <v>2939</v>
      </c>
      <c r="AH402" s="40"/>
      <c r="AI402" s="40"/>
      <c r="AJ402" s="39"/>
      <c r="AK402" s="197" t="s">
        <v>303</v>
      </c>
      <c r="AL402" s="157" t="s">
        <v>2908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2990</v>
      </c>
      <c r="C403" s="83">
        <v>1807</v>
      </c>
      <c r="D403" s="113" t="s">
        <v>2095</v>
      </c>
      <c r="E403" s="83" t="s">
        <v>2929</v>
      </c>
      <c r="F403" s="83" t="s">
        <v>3550</v>
      </c>
      <c r="G403" s="138" t="s">
        <v>5604</v>
      </c>
      <c r="H403" s="340" t="s">
        <v>5608</v>
      </c>
      <c r="I403" s="138" t="s">
        <v>5609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886</v>
      </c>
      <c r="Q403" s="88">
        <v>24.4</v>
      </c>
      <c r="R403" s="88">
        <v>239</v>
      </c>
      <c r="S403" s="88">
        <v>20.2</v>
      </c>
      <c r="T403" s="85" t="s">
        <v>575</v>
      </c>
      <c r="U403" s="85" t="str">
        <f>U389</f>
        <v>監測</v>
      </c>
      <c r="V403" s="84" t="s">
        <v>575</v>
      </c>
      <c r="W403" s="86">
        <v>114</v>
      </c>
      <c r="X403" s="83"/>
      <c r="Y403" s="83"/>
      <c r="Z403" s="83"/>
      <c r="AA403" s="83"/>
      <c r="AB403" s="83"/>
      <c r="AC403" s="83" t="s">
        <v>2939</v>
      </c>
      <c r="AD403" s="83"/>
      <c r="AE403" s="83"/>
      <c r="AF403" s="83" t="s">
        <v>2939</v>
      </c>
      <c r="AG403" s="83" t="s">
        <v>2939</v>
      </c>
      <c r="AH403" s="83"/>
      <c r="AI403" s="83"/>
      <c r="AJ403" s="86"/>
      <c r="AK403" s="197" t="s">
        <v>303</v>
      </c>
      <c r="AL403" s="157" t="s">
        <v>2908</v>
      </c>
      <c r="AM403" s="252">
        <v>114</v>
      </c>
    </row>
    <row r="404" spans="1:56" s="15" customFormat="1" ht="26.4" x14ac:dyDescent="0.3">
      <c r="A404" s="15">
        <v>403</v>
      </c>
      <c r="B404" s="29" t="s">
        <v>1603</v>
      </c>
      <c r="C404" s="29">
        <v>1049</v>
      </c>
      <c r="D404" s="27" t="s">
        <v>1600</v>
      </c>
      <c r="E404" s="29" t="s">
        <v>2915</v>
      </c>
      <c r="F404" s="29" t="s">
        <v>3551</v>
      </c>
      <c r="G404" s="178" t="s">
        <v>5604</v>
      </c>
      <c r="H404" s="145" t="s">
        <v>5606</v>
      </c>
      <c r="I404" s="178" t="s">
        <v>5609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2991</v>
      </c>
      <c r="Q404" s="33">
        <v>37.5</v>
      </c>
      <c r="R404" s="33">
        <v>434</v>
      </c>
      <c r="S404" s="33">
        <v>198</v>
      </c>
      <c r="T404" s="243" t="s">
        <v>575</v>
      </c>
      <c r="U404" s="30" t="s">
        <v>8</v>
      </c>
      <c r="V404" s="95" t="s">
        <v>575</v>
      </c>
      <c r="W404" s="28">
        <v>113</v>
      </c>
      <c r="X404" s="29"/>
      <c r="Y404" s="29"/>
      <c r="Z404" s="29"/>
      <c r="AA404" s="29" t="s">
        <v>2939</v>
      </c>
      <c r="AB404" s="29"/>
      <c r="AC404" s="29"/>
      <c r="AD404" s="29" t="s">
        <v>2939</v>
      </c>
      <c r="AE404" s="29"/>
      <c r="AF404" s="29"/>
      <c r="AG404" s="29"/>
      <c r="AH404" s="29"/>
      <c r="AI404" s="29"/>
      <c r="AJ404" s="28" t="s">
        <v>2968</v>
      </c>
      <c r="AK404" s="190"/>
      <c r="AL404" s="253" t="s">
        <v>2967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2137</v>
      </c>
      <c r="C405" s="40">
        <v>1612</v>
      </c>
      <c r="D405" s="38" t="s">
        <v>2133</v>
      </c>
      <c r="E405" s="40" t="s">
        <v>2929</v>
      </c>
      <c r="F405" s="40" t="s">
        <v>3552</v>
      </c>
      <c r="G405" s="50"/>
      <c r="H405" s="150" t="s">
        <v>5607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575</v>
      </c>
      <c r="W405" s="39">
        <v>106</v>
      </c>
      <c r="X405" s="40"/>
      <c r="Y405" s="40"/>
      <c r="Z405" s="40" t="s">
        <v>2939</v>
      </c>
      <c r="AA405" s="40"/>
      <c r="AB405" s="40"/>
      <c r="AC405" s="40" t="s">
        <v>2898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2908</v>
      </c>
      <c r="AM405" s="37">
        <v>113</v>
      </c>
    </row>
    <row r="406" spans="1:56" s="15" customFormat="1" x14ac:dyDescent="0.3">
      <c r="A406" s="15">
        <v>405</v>
      </c>
      <c r="B406" s="40" t="s">
        <v>2138</v>
      </c>
      <c r="C406" s="40">
        <v>1613</v>
      </c>
      <c r="D406" s="38" t="s">
        <v>2133</v>
      </c>
      <c r="E406" s="40" t="s">
        <v>2929</v>
      </c>
      <c r="F406" s="40" t="s">
        <v>3553</v>
      </c>
      <c r="G406" s="50" t="s">
        <v>5604</v>
      </c>
      <c r="H406" s="150" t="s">
        <v>5606</v>
      </c>
      <c r="I406" s="50" t="s">
        <v>5609</v>
      </c>
      <c r="J406" s="43">
        <v>196960.2</v>
      </c>
      <c r="K406" s="43">
        <v>2665422.58</v>
      </c>
      <c r="L406" s="43" t="s">
        <v>40</v>
      </c>
      <c r="M406" s="44">
        <v>7</v>
      </c>
      <c r="N406" s="43">
        <v>59</v>
      </c>
      <c r="O406" s="43">
        <v>71</v>
      </c>
      <c r="P406" s="43" t="s">
        <v>41</v>
      </c>
      <c r="Q406" s="43">
        <v>25</v>
      </c>
      <c r="R406" s="43">
        <v>117</v>
      </c>
      <c r="S406" s="43">
        <v>49</v>
      </c>
      <c r="T406" s="2" t="s">
        <v>306</v>
      </c>
      <c r="U406" s="2" t="s">
        <v>306</v>
      </c>
      <c r="V406" s="97" t="s">
        <v>575</v>
      </c>
      <c r="W406" s="39">
        <v>113</v>
      </c>
      <c r="X406" s="40"/>
      <c r="Y406" s="40"/>
      <c r="Z406" s="40" t="s">
        <v>2939</v>
      </c>
      <c r="AA406" s="40"/>
      <c r="AB406" s="40"/>
      <c r="AC406" s="40" t="s">
        <v>2898</v>
      </c>
      <c r="AD406" s="40"/>
      <c r="AE406" s="40"/>
      <c r="AF406" s="40" t="s">
        <v>2939</v>
      </c>
      <c r="AG406" s="40"/>
      <c r="AH406" s="40"/>
      <c r="AI406" s="40"/>
      <c r="AJ406" s="40" t="s">
        <v>2898</v>
      </c>
      <c r="AK406" s="51"/>
      <c r="AL406" s="189" t="s">
        <v>2964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2139</v>
      </c>
      <c r="C407" s="40">
        <v>1614</v>
      </c>
      <c r="D407" s="38" t="s">
        <v>2133</v>
      </c>
      <c r="E407" s="40" t="s">
        <v>2929</v>
      </c>
      <c r="F407" s="40" t="s">
        <v>3554</v>
      </c>
      <c r="G407" s="50" t="s">
        <v>5604</v>
      </c>
      <c r="H407" s="150" t="s">
        <v>5606</v>
      </c>
      <c r="I407" s="50" t="s">
        <v>5609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575</v>
      </c>
      <c r="U407" s="2" t="s">
        <v>8</v>
      </c>
      <c r="V407" s="97" t="s">
        <v>575</v>
      </c>
      <c r="W407" s="39">
        <v>113</v>
      </c>
      <c r="X407" s="40"/>
      <c r="Y407" s="40"/>
      <c r="Z407" s="40" t="s">
        <v>2939</v>
      </c>
      <c r="AA407" s="40"/>
      <c r="AB407" s="40"/>
      <c r="AC407" s="40" t="s">
        <v>2898</v>
      </c>
      <c r="AD407" s="40"/>
      <c r="AE407" s="40"/>
      <c r="AF407" s="40" t="s">
        <v>2939</v>
      </c>
      <c r="AG407" s="40"/>
      <c r="AH407" s="40"/>
      <c r="AI407" s="40"/>
      <c r="AJ407" s="40" t="s">
        <v>2939</v>
      </c>
      <c r="AK407" s="51"/>
      <c r="AL407" s="54" t="s">
        <v>2908</v>
      </c>
      <c r="AM407" s="37">
        <v>113</v>
      </c>
    </row>
    <row r="408" spans="1:56" s="15" customFormat="1" x14ac:dyDescent="0.3">
      <c r="A408" s="15">
        <v>407</v>
      </c>
      <c r="B408" s="40" t="s">
        <v>2992</v>
      </c>
      <c r="C408" s="40">
        <v>1616</v>
      </c>
      <c r="D408" s="38" t="s">
        <v>2133</v>
      </c>
      <c r="E408" s="40" t="s">
        <v>2929</v>
      </c>
      <c r="F408" s="40" t="s">
        <v>3555</v>
      </c>
      <c r="G408" s="50"/>
      <c r="H408" s="150" t="s">
        <v>5607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575</v>
      </c>
      <c r="W408" s="39">
        <v>107</v>
      </c>
      <c r="X408" s="40"/>
      <c r="Y408" s="40"/>
      <c r="Z408" s="40" t="s">
        <v>2939</v>
      </c>
      <c r="AA408" s="40"/>
      <c r="AB408" s="40"/>
      <c r="AC408" s="40"/>
      <c r="AD408" s="40" t="s">
        <v>2898</v>
      </c>
      <c r="AE408" s="40"/>
      <c r="AF408" s="40"/>
      <c r="AG408" s="40"/>
      <c r="AH408" s="40"/>
      <c r="AI408" s="40"/>
      <c r="AJ408" s="39"/>
      <c r="AK408" s="125"/>
      <c r="AL408" s="54" t="s">
        <v>2908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2133</v>
      </c>
      <c r="E409" s="40" t="s">
        <v>2929</v>
      </c>
      <c r="F409" s="40" t="s">
        <v>3556</v>
      </c>
      <c r="G409" s="50" t="s">
        <v>5604</v>
      </c>
      <c r="H409" s="150" t="s">
        <v>5608</v>
      </c>
      <c r="I409" s="50" t="s">
        <v>5609</v>
      </c>
      <c r="J409" s="43">
        <v>196959</v>
      </c>
      <c r="K409" s="43">
        <v>2665451</v>
      </c>
      <c r="L409" s="43" t="s">
        <v>40</v>
      </c>
      <c r="M409" s="44">
        <v>8</v>
      </c>
      <c r="N409" s="43">
        <v>143</v>
      </c>
      <c r="O409" s="43">
        <v>85</v>
      </c>
      <c r="P409" s="43" t="s">
        <v>41</v>
      </c>
      <c r="Q409" s="43">
        <v>28</v>
      </c>
      <c r="R409" s="43">
        <v>214</v>
      </c>
      <c r="S409" s="43">
        <v>123</v>
      </c>
      <c r="T409" s="2" t="s">
        <v>306</v>
      </c>
      <c r="U409" s="2" t="str">
        <f>U406</f>
        <v>正常</v>
      </c>
      <c r="V409" s="97" t="s">
        <v>575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2939</v>
      </c>
      <c r="AG409" s="40"/>
      <c r="AH409" s="40"/>
      <c r="AI409" s="40"/>
      <c r="AJ409" s="40" t="s">
        <v>2898</v>
      </c>
      <c r="AK409" s="51"/>
      <c r="AL409" s="54" t="s">
        <v>2908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2133</v>
      </c>
      <c r="E410" s="83" t="s">
        <v>2929</v>
      </c>
      <c r="F410" s="83" t="s">
        <v>3557</v>
      </c>
      <c r="G410" s="138" t="s">
        <v>5604</v>
      </c>
      <c r="H410" s="340" t="s">
        <v>5608</v>
      </c>
      <c r="I410" s="138" t="s">
        <v>5609</v>
      </c>
      <c r="J410" s="88">
        <v>196959</v>
      </c>
      <c r="K410" s="88">
        <v>2665451</v>
      </c>
      <c r="L410" s="88" t="s">
        <v>40</v>
      </c>
      <c r="M410" s="89">
        <v>8</v>
      </c>
      <c r="N410" s="88">
        <v>143</v>
      </c>
      <c r="O410" s="88">
        <v>85</v>
      </c>
      <c r="P410" s="88" t="s">
        <v>41</v>
      </c>
      <c r="Q410" s="88">
        <v>28</v>
      </c>
      <c r="R410" s="88">
        <v>214</v>
      </c>
      <c r="S410" s="88">
        <v>123</v>
      </c>
      <c r="T410" s="85" t="s">
        <v>306</v>
      </c>
      <c r="U410" s="85" t="str">
        <f>U406</f>
        <v>正常</v>
      </c>
      <c r="V410" s="97" t="s">
        <v>575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2939</v>
      </c>
      <c r="AG410" s="83"/>
      <c r="AH410" s="83"/>
      <c r="AI410" s="40"/>
      <c r="AJ410" s="40" t="s">
        <v>2898</v>
      </c>
      <c r="AK410" s="99"/>
      <c r="AL410" s="157" t="s">
        <v>2908</v>
      </c>
      <c r="AM410" s="66">
        <v>113</v>
      </c>
    </row>
    <row r="411" spans="1:56" s="15" customFormat="1" x14ac:dyDescent="0.3">
      <c r="A411" s="15">
        <v>410</v>
      </c>
      <c r="B411" s="29" t="s">
        <v>2993</v>
      </c>
      <c r="C411" s="29">
        <v>1571</v>
      </c>
      <c r="D411" s="27" t="s">
        <v>2140</v>
      </c>
      <c r="E411" s="29" t="s">
        <v>2929</v>
      </c>
      <c r="F411" s="29" t="s">
        <v>3558</v>
      </c>
      <c r="G411" s="200" t="s">
        <v>5604</v>
      </c>
      <c r="H411" s="145" t="s">
        <v>5606</v>
      </c>
      <c r="I411" s="200" t="s">
        <v>5609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306</v>
      </c>
      <c r="U411" s="30" t="s">
        <v>8</v>
      </c>
      <c r="V411" s="141" t="s">
        <v>1114</v>
      </c>
      <c r="W411" s="28">
        <v>114</v>
      </c>
      <c r="X411" s="29"/>
      <c r="Y411" s="29" t="s">
        <v>2939</v>
      </c>
      <c r="Z411" s="29"/>
      <c r="AA411" s="29"/>
      <c r="AB411" s="29" t="s">
        <v>2939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306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2994</v>
      </c>
      <c r="C412" s="40">
        <v>1577</v>
      </c>
      <c r="D412" s="38" t="s">
        <v>2140</v>
      </c>
      <c r="E412" s="40" t="s">
        <v>2929</v>
      </c>
      <c r="F412" s="40" t="s">
        <v>3559</v>
      </c>
      <c r="G412" s="50" t="s">
        <v>5604</v>
      </c>
      <c r="H412" s="150" t="s">
        <v>5606</v>
      </c>
      <c r="I412" s="50" t="s">
        <v>5609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306</v>
      </c>
      <c r="U412" s="2" t="s">
        <v>306</v>
      </c>
      <c r="V412" s="79" t="s">
        <v>1114</v>
      </c>
      <c r="W412" s="39">
        <v>114</v>
      </c>
      <c r="X412" s="40"/>
      <c r="Y412" s="40"/>
      <c r="Z412" s="40" t="s">
        <v>2939</v>
      </c>
      <c r="AA412" s="40"/>
      <c r="AB412" s="40" t="s">
        <v>2939</v>
      </c>
      <c r="AC412" s="40"/>
      <c r="AD412" s="40"/>
      <c r="AE412" s="40"/>
      <c r="AF412" s="40" t="s">
        <v>2939</v>
      </c>
      <c r="AG412" s="40"/>
      <c r="AH412" s="40"/>
      <c r="AI412" s="40"/>
      <c r="AJ412" s="39"/>
      <c r="AK412" s="196" t="s">
        <v>306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2141</v>
      </c>
      <c r="C413" s="40">
        <v>1578</v>
      </c>
      <c r="D413" s="38" t="s">
        <v>2140</v>
      </c>
      <c r="E413" s="40" t="s">
        <v>2929</v>
      </c>
      <c r="F413" s="40" t="s">
        <v>3560</v>
      </c>
      <c r="G413" s="50"/>
      <c r="H413" s="150" t="s">
        <v>5607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1114</v>
      </c>
      <c r="W413" s="39">
        <v>105</v>
      </c>
      <c r="X413" s="40"/>
      <c r="Y413" s="40"/>
      <c r="Z413" s="40" t="s">
        <v>2939</v>
      </c>
      <c r="AA413" s="40"/>
      <c r="AB413" s="40" t="s">
        <v>2939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2142</v>
      </c>
      <c r="C414" s="40">
        <v>1601</v>
      </c>
      <c r="D414" s="38" t="s">
        <v>2140</v>
      </c>
      <c r="E414" s="40" t="s">
        <v>2929</v>
      </c>
      <c r="F414" s="40" t="s">
        <v>3561</v>
      </c>
      <c r="G414" s="50"/>
      <c r="H414" s="150" t="s">
        <v>5607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1114</v>
      </c>
      <c r="W414" s="39">
        <v>106</v>
      </c>
      <c r="X414" s="40"/>
      <c r="Y414" s="40"/>
      <c r="Z414" s="40" t="s">
        <v>2939</v>
      </c>
      <c r="AA414" s="40"/>
      <c r="AB414" s="40"/>
      <c r="AC414" s="40" t="s">
        <v>2939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2143</v>
      </c>
      <c r="C415" s="40">
        <v>1602</v>
      </c>
      <c r="D415" s="38" t="s">
        <v>2140</v>
      </c>
      <c r="E415" s="40" t="s">
        <v>2929</v>
      </c>
      <c r="F415" s="40" t="s">
        <v>3562</v>
      </c>
      <c r="G415" s="50"/>
      <c r="H415" s="150" t="s">
        <v>5607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1114</v>
      </c>
      <c r="W415" s="39">
        <v>106</v>
      </c>
      <c r="X415" s="40"/>
      <c r="Y415" s="40"/>
      <c r="Z415" s="40" t="s">
        <v>2939</v>
      </c>
      <c r="AA415" s="40"/>
      <c r="AB415" s="40"/>
      <c r="AC415" s="40" t="s">
        <v>2939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2144</v>
      </c>
      <c r="C416" s="40">
        <v>1607</v>
      </c>
      <c r="D416" s="38" t="s">
        <v>2140</v>
      </c>
      <c r="E416" s="40" t="s">
        <v>2929</v>
      </c>
      <c r="F416" s="40" t="s">
        <v>3563</v>
      </c>
      <c r="G416" s="50"/>
      <c r="H416" s="150" t="s">
        <v>5607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1114</v>
      </c>
      <c r="W416" s="39">
        <v>106</v>
      </c>
      <c r="X416" s="40"/>
      <c r="Y416" s="40"/>
      <c r="Z416" s="40" t="s">
        <v>2939</v>
      </c>
      <c r="AA416" s="40"/>
      <c r="AB416" s="40"/>
      <c r="AC416" s="40" t="s">
        <v>2939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2145</v>
      </c>
      <c r="C417" s="40">
        <v>1608</v>
      </c>
      <c r="D417" s="38" t="s">
        <v>2140</v>
      </c>
      <c r="E417" s="40" t="s">
        <v>2929</v>
      </c>
      <c r="F417" s="40" t="s">
        <v>3564</v>
      </c>
      <c r="G417" s="50"/>
      <c r="H417" s="150" t="s">
        <v>5607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1114</v>
      </c>
      <c r="W417" s="39">
        <v>105</v>
      </c>
      <c r="X417" s="40"/>
      <c r="Y417" s="40"/>
      <c r="Z417" s="40" t="s">
        <v>2939</v>
      </c>
      <c r="AA417" s="40"/>
      <c r="AB417" s="40" t="s">
        <v>2939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2146</v>
      </c>
      <c r="C418" s="40">
        <v>1694</v>
      </c>
      <c r="D418" s="38" t="s">
        <v>2140</v>
      </c>
      <c r="E418" s="40" t="s">
        <v>2929</v>
      </c>
      <c r="F418" s="40" t="s">
        <v>3565</v>
      </c>
      <c r="G418" s="50" t="s">
        <v>5604</v>
      </c>
      <c r="H418" s="150" t="s">
        <v>5606</v>
      </c>
      <c r="I418" s="50" t="s">
        <v>5609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306</v>
      </c>
      <c r="U418" s="2" t="s">
        <v>306</v>
      </c>
      <c r="V418" s="79" t="s">
        <v>1114</v>
      </c>
      <c r="W418" s="39">
        <v>114</v>
      </c>
      <c r="X418" s="40"/>
      <c r="Y418" s="40"/>
      <c r="Z418" s="40" t="s">
        <v>2939</v>
      </c>
      <c r="AA418" s="40"/>
      <c r="AB418" s="40"/>
      <c r="AC418" s="40" t="s">
        <v>2939</v>
      </c>
      <c r="AD418" s="40"/>
      <c r="AE418" s="40"/>
      <c r="AF418" s="40" t="s">
        <v>2939</v>
      </c>
      <c r="AG418" s="40"/>
      <c r="AH418" s="40"/>
      <c r="AI418" s="40"/>
      <c r="AJ418" s="39"/>
      <c r="AK418" s="196" t="s">
        <v>306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2995</v>
      </c>
      <c r="C419" s="40">
        <v>1715</v>
      </c>
      <c r="D419" s="38" t="s">
        <v>2140</v>
      </c>
      <c r="E419" s="40" t="s">
        <v>2929</v>
      </c>
      <c r="F419" s="40" t="s">
        <v>3566</v>
      </c>
      <c r="G419" s="50" t="s">
        <v>5604</v>
      </c>
      <c r="H419" s="150" t="s">
        <v>5608</v>
      </c>
      <c r="I419" s="50" t="s">
        <v>5609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886</v>
      </c>
      <c r="Q419" s="43">
        <v>25.6</v>
      </c>
      <c r="R419" s="43">
        <v>255</v>
      </c>
      <c r="S419" s="43">
        <v>93.8</v>
      </c>
      <c r="T419" s="2" t="s">
        <v>306</v>
      </c>
      <c r="U419" s="2" t="s">
        <v>306</v>
      </c>
      <c r="V419" s="79" t="s">
        <v>1114</v>
      </c>
      <c r="W419" s="39">
        <v>114</v>
      </c>
      <c r="X419" s="40"/>
      <c r="Y419" s="40"/>
      <c r="Z419" s="40"/>
      <c r="AA419" s="40"/>
      <c r="AB419" s="40"/>
      <c r="AC419" s="40" t="s">
        <v>2939</v>
      </c>
      <c r="AD419" s="40"/>
      <c r="AE419" s="40"/>
      <c r="AF419" s="40" t="s">
        <v>2939</v>
      </c>
      <c r="AG419" s="40"/>
      <c r="AH419" s="40"/>
      <c r="AI419" s="40"/>
      <c r="AJ419" s="39"/>
      <c r="AK419" s="196" t="s">
        <v>306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2147</v>
      </c>
      <c r="C420" s="40">
        <v>1600</v>
      </c>
      <c r="D420" s="38" t="s">
        <v>2140</v>
      </c>
      <c r="E420" s="40" t="s">
        <v>2929</v>
      </c>
      <c r="F420" s="40" t="s">
        <v>3567</v>
      </c>
      <c r="G420" s="50" t="s">
        <v>5604</v>
      </c>
      <c r="H420" s="150" t="s">
        <v>5607</v>
      </c>
      <c r="I420" s="50" t="s">
        <v>5609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708</v>
      </c>
      <c r="U420" s="2" t="s">
        <v>56</v>
      </c>
      <c r="V420" s="79" t="s">
        <v>1114</v>
      </c>
      <c r="W420" s="39">
        <v>109</v>
      </c>
      <c r="X420" s="40"/>
      <c r="Y420" s="40"/>
      <c r="Z420" s="40" t="s">
        <v>2939</v>
      </c>
      <c r="AA420" s="40"/>
      <c r="AB420" s="40"/>
      <c r="AC420" s="40" t="s">
        <v>2939</v>
      </c>
      <c r="AD420" s="40"/>
      <c r="AE420" s="40"/>
      <c r="AF420" s="40" t="s">
        <v>2943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2148</v>
      </c>
      <c r="C421" s="40">
        <v>1638</v>
      </c>
      <c r="D421" s="38" t="s">
        <v>2140</v>
      </c>
      <c r="E421" s="40" t="s">
        <v>2929</v>
      </c>
      <c r="F421" s="40" t="s">
        <v>3568</v>
      </c>
      <c r="G421" s="50" t="s">
        <v>5604</v>
      </c>
      <c r="H421" s="150" t="s">
        <v>5607</v>
      </c>
      <c r="I421" s="50" t="s">
        <v>5609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575</v>
      </c>
      <c r="U421" s="2" t="s">
        <v>8</v>
      </c>
      <c r="V421" s="79" t="s">
        <v>1114</v>
      </c>
      <c r="W421" s="39">
        <v>109</v>
      </c>
      <c r="X421" s="40"/>
      <c r="Y421" s="40"/>
      <c r="Z421" s="40" t="s">
        <v>2939</v>
      </c>
      <c r="AA421" s="40"/>
      <c r="AB421" s="40"/>
      <c r="AC421" s="40"/>
      <c r="AD421" s="40" t="s">
        <v>2898</v>
      </c>
      <c r="AE421" s="40"/>
      <c r="AF421" s="40" t="s">
        <v>2939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2149</v>
      </c>
      <c r="C422" s="83">
        <v>1695</v>
      </c>
      <c r="D422" s="113" t="s">
        <v>2140</v>
      </c>
      <c r="E422" s="83" t="s">
        <v>2929</v>
      </c>
      <c r="F422" s="83" t="s">
        <v>3569</v>
      </c>
      <c r="G422" s="138"/>
      <c r="H422" s="340" t="s">
        <v>5607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303</v>
      </c>
      <c r="V422" s="112" t="s">
        <v>1114</v>
      </c>
      <c r="W422" s="86">
        <v>106</v>
      </c>
      <c r="X422" s="83"/>
      <c r="Y422" s="83"/>
      <c r="Z422" s="83" t="s">
        <v>2939</v>
      </c>
      <c r="AA422" s="83"/>
      <c r="AB422" s="83"/>
      <c r="AC422" s="83" t="s">
        <v>2898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2997</v>
      </c>
      <c r="C423" s="19">
        <v>1495</v>
      </c>
      <c r="D423" s="17" t="s">
        <v>2153</v>
      </c>
      <c r="E423" s="19" t="s">
        <v>2929</v>
      </c>
      <c r="F423" s="19" t="s">
        <v>3570</v>
      </c>
      <c r="G423" s="255" t="s">
        <v>5604</v>
      </c>
      <c r="H423" s="434" t="s">
        <v>5606</v>
      </c>
      <c r="I423" s="255" t="s">
        <v>5609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575</v>
      </c>
      <c r="U423" s="20" t="s">
        <v>8</v>
      </c>
      <c r="V423" s="18" t="s">
        <v>2996</v>
      </c>
      <c r="W423" s="222">
        <v>114</v>
      </c>
      <c r="X423" s="19"/>
      <c r="Y423" s="19"/>
      <c r="Z423" s="19" t="s">
        <v>2939</v>
      </c>
      <c r="AA423" s="19"/>
      <c r="AB423" s="19" t="s">
        <v>2898</v>
      </c>
      <c r="AC423" s="19"/>
      <c r="AD423" s="19"/>
      <c r="AE423" s="19"/>
      <c r="AF423" s="19" t="s">
        <v>2939</v>
      </c>
      <c r="AG423" s="19"/>
      <c r="AH423" s="19"/>
      <c r="AI423" s="19"/>
      <c r="AJ423" s="222"/>
      <c r="AK423" s="256" t="s">
        <v>303</v>
      </c>
      <c r="AL423" s="257" t="s">
        <v>2908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2998</v>
      </c>
      <c r="C424" s="19">
        <v>445</v>
      </c>
      <c r="D424" s="17" t="s">
        <v>2159</v>
      </c>
      <c r="E424" s="19" t="s">
        <v>2963</v>
      </c>
      <c r="F424" s="19" t="s">
        <v>3571</v>
      </c>
      <c r="G424" s="255" t="s">
        <v>5604</v>
      </c>
      <c r="H424" s="434" t="s">
        <v>5606</v>
      </c>
      <c r="I424" s="255" t="s">
        <v>5609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306</v>
      </c>
      <c r="U424" s="20" t="s">
        <v>306</v>
      </c>
      <c r="V424" s="18" t="s">
        <v>1114</v>
      </c>
      <c r="W424" s="222">
        <v>114</v>
      </c>
      <c r="X424" s="19"/>
      <c r="Y424" s="130"/>
      <c r="Z424" s="19" t="s">
        <v>2939</v>
      </c>
      <c r="AA424" s="19"/>
      <c r="AB424" s="19"/>
      <c r="AC424" s="19" t="s">
        <v>2939</v>
      </c>
      <c r="AD424" s="19"/>
      <c r="AE424" s="19"/>
      <c r="AF424" s="19" t="s">
        <v>2939</v>
      </c>
      <c r="AG424" s="19"/>
      <c r="AH424" s="19"/>
      <c r="AI424" s="19"/>
      <c r="AJ424" s="222"/>
      <c r="AK424" s="256" t="s">
        <v>306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2192</v>
      </c>
      <c r="C425" s="29">
        <v>211</v>
      </c>
      <c r="D425" s="27" t="s">
        <v>2191</v>
      </c>
      <c r="E425" s="29" t="s">
        <v>2963</v>
      </c>
      <c r="F425" s="29" t="s">
        <v>3572</v>
      </c>
      <c r="G425" s="192"/>
      <c r="H425" s="145" t="s">
        <v>5607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2996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2999</v>
      </c>
      <c r="C426" s="40">
        <v>235</v>
      </c>
      <c r="D426" s="38" t="s">
        <v>2191</v>
      </c>
      <c r="E426" s="40" t="s">
        <v>2963</v>
      </c>
      <c r="F426" s="40" t="s">
        <v>3573</v>
      </c>
      <c r="G426" s="50" t="s">
        <v>5604</v>
      </c>
      <c r="H426" s="150" t="s">
        <v>5606</v>
      </c>
      <c r="I426" s="50" t="s">
        <v>5609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306</v>
      </c>
      <c r="U426" s="2" t="s">
        <v>306</v>
      </c>
      <c r="V426" s="79" t="s">
        <v>2996</v>
      </c>
      <c r="W426" s="39">
        <v>114</v>
      </c>
      <c r="X426" s="40"/>
      <c r="Y426" s="40"/>
      <c r="Z426" s="40"/>
      <c r="AA426" s="40" t="s">
        <v>2939</v>
      </c>
      <c r="AB426" s="40"/>
      <c r="AC426" s="40"/>
      <c r="AD426" s="40"/>
      <c r="AE426" s="40"/>
      <c r="AF426" s="40"/>
      <c r="AG426" s="40" t="s">
        <v>2898</v>
      </c>
      <c r="AH426" s="40"/>
      <c r="AI426" s="40"/>
      <c r="AJ426" s="39"/>
      <c r="AK426" s="196" t="s">
        <v>306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2193</v>
      </c>
      <c r="C427" s="40">
        <v>236</v>
      </c>
      <c r="D427" s="38" t="s">
        <v>2191</v>
      </c>
      <c r="E427" s="40" t="s">
        <v>2963</v>
      </c>
      <c r="F427" s="40" t="s">
        <v>3574</v>
      </c>
      <c r="G427" s="50" t="s">
        <v>5604</v>
      </c>
      <c r="H427" s="150" t="s">
        <v>5608</v>
      </c>
      <c r="I427" s="50" t="s">
        <v>5609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306</v>
      </c>
      <c r="U427" s="2" t="s">
        <v>306</v>
      </c>
      <c r="V427" s="79" t="s">
        <v>2996</v>
      </c>
      <c r="W427" s="39">
        <v>110</v>
      </c>
      <c r="X427" s="40"/>
      <c r="Y427" s="40"/>
      <c r="Z427" s="40"/>
      <c r="AA427" s="40" t="s">
        <v>2939</v>
      </c>
      <c r="AB427" s="40"/>
      <c r="AC427" s="40"/>
      <c r="AD427" s="40" t="s">
        <v>2898</v>
      </c>
      <c r="AE427" s="40"/>
      <c r="AF427" s="40"/>
      <c r="AG427" s="40" t="s">
        <v>2898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3000</v>
      </c>
      <c r="C428" s="40">
        <v>200</v>
      </c>
      <c r="D428" s="38" t="s">
        <v>2191</v>
      </c>
      <c r="E428" s="40" t="s">
        <v>2963</v>
      </c>
      <c r="F428" s="40" t="s">
        <v>3575</v>
      </c>
      <c r="G428" s="50" t="s">
        <v>5604</v>
      </c>
      <c r="H428" s="150" t="s">
        <v>5606</v>
      </c>
      <c r="I428" s="50" t="s">
        <v>5609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306</v>
      </c>
      <c r="U428" s="2" t="s">
        <v>306</v>
      </c>
      <c r="V428" s="79" t="s">
        <v>2996</v>
      </c>
      <c r="W428" s="39">
        <v>114</v>
      </c>
      <c r="X428" s="40"/>
      <c r="Y428" s="40" t="s">
        <v>2939</v>
      </c>
      <c r="Z428" s="40"/>
      <c r="AA428" s="40"/>
      <c r="AB428" s="40"/>
      <c r="AC428" s="40" t="s">
        <v>2898</v>
      </c>
      <c r="AD428" s="40"/>
      <c r="AE428" s="40"/>
      <c r="AF428" s="40" t="s">
        <v>2939</v>
      </c>
      <c r="AG428" s="40"/>
      <c r="AH428" s="40"/>
      <c r="AI428" s="40"/>
      <c r="AJ428" s="39"/>
      <c r="AK428" s="196" t="s">
        <v>306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2194</v>
      </c>
      <c r="C429" s="40">
        <v>234</v>
      </c>
      <c r="D429" s="38" t="s">
        <v>2191</v>
      </c>
      <c r="E429" s="40" t="s">
        <v>2963</v>
      </c>
      <c r="F429" s="40" t="s">
        <v>3576</v>
      </c>
      <c r="G429" s="50" t="s">
        <v>5604</v>
      </c>
      <c r="H429" s="150" t="s">
        <v>5608</v>
      </c>
      <c r="I429" s="50" t="s">
        <v>5609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306</v>
      </c>
      <c r="U429" s="2" t="s">
        <v>306</v>
      </c>
      <c r="V429" s="79" t="s">
        <v>2996</v>
      </c>
      <c r="W429" s="39">
        <v>114</v>
      </c>
      <c r="X429" s="40"/>
      <c r="Y429" s="40"/>
      <c r="Z429" s="40"/>
      <c r="AA429" s="40" t="s">
        <v>2939</v>
      </c>
      <c r="AB429" s="40"/>
      <c r="AC429" s="40"/>
      <c r="AD429" s="40"/>
      <c r="AE429" s="40"/>
      <c r="AF429" s="40"/>
      <c r="AG429" s="40" t="s">
        <v>2898</v>
      </c>
      <c r="AH429" s="40"/>
      <c r="AI429" s="40"/>
      <c r="AJ429" s="39"/>
      <c r="AK429" s="196" t="s">
        <v>306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3001</v>
      </c>
      <c r="C430" s="40">
        <v>241</v>
      </c>
      <c r="D430" s="38" t="s">
        <v>2191</v>
      </c>
      <c r="E430" s="40" t="s">
        <v>2963</v>
      </c>
      <c r="F430" s="40" t="s">
        <v>3577</v>
      </c>
      <c r="G430" s="223" t="s">
        <v>5604</v>
      </c>
      <c r="H430" s="150" t="s">
        <v>5607</v>
      </c>
      <c r="I430" s="223" t="s">
        <v>5609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306</v>
      </c>
      <c r="U430" s="2" t="s">
        <v>306</v>
      </c>
      <c r="V430" s="79" t="s">
        <v>2996</v>
      </c>
      <c r="W430" s="39">
        <v>114</v>
      </c>
      <c r="X430" s="40"/>
      <c r="Y430" s="40"/>
      <c r="Z430" s="40"/>
      <c r="AA430" s="40"/>
      <c r="AB430" s="40"/>
      <c r="AC430" s="40" t="s">
        <v>2939</v>
      </c>
      <c r="AD430" s="40"/>
      <c r="AE430" s="40"/>
      <c r="AF430" s="40"/>
      <c r="AG430" s="40" t="s">
        <v>2898</v>
      </c>
      <c r="AH430" s="40"/>
      <c r="AI430" s="40"/>
      <c r="AJ430" s="39"/>
      <c r="AK430" s="196" t="s">
        <v>306</v>
      </c>
      <c r="AL430" s="49"/>
      <c r="AM430" s="37">
        <v>114</v>
      </c>
    </row>
    <row r="431" spans="1:39" x14ac:dyDescent="0.3">
      <c r="A431" s="15">
        <v>430</v>
      </c>
      <c r="B431" s="40" t="s">
        <v>2301</v>
      </c>
      <c r="C431" s="40">
        <v>210</v>
      </c>
      <c r="D431" s="38" t="s">
        <v>2195</v>
      </c>
      <c r="E431" s="40" t="s">
        <v>2963</v>
      </c>
      <c r="F431" s="40" t="s">
        <v>3578</v>
      </c>
      <c r="G431" s="50" t="s">
        <v>5604</v>
      </c>
      <c r="H431" s="150" t="s">
        <v>5608</v>
      </c>
      <c r="I431" s="50" t="s">
        <v>5609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306</v>
      </c>
      <c r="U431" s="2" t="s">
        <v>306</v>
      </c>
      <c r="V431" s="79" t="s">
        <v>2996</v>
      </c>
      <c r="W431" s="39">
        <v>114</v>
      </c>
      <c r="X431" s="40"/>
      <c r="Y431" s="106"/>
      <c r="Z431" s="40"/>
      <c r="AA431" s="40" t="s">
        <v>2939</v>
      </c>
      <c r="AB431" s="40"/>
      <c r="AC431" s="40"/>
      <c r="AD431" s="40" t="s">
        <v>2898</v>
      </c>
      <c r="AE431" s="40"/>
      <c r="AF431" s="40"/>
      <c r="AG431" s="40" t="s">
        <v>2898</v>
      </c>
      <c r="AH431" s="40"/>
      <c r="AI431" s="40"/>
      <c r="AJ431" s="39"/>
      <c r="AK431" s="196" t="s">
        <v>306</v>
      </c>
      <c r="AL431" s="153"/>
      <c r="AM431" s="37">
        <v>114</v>
      </c>
    </row>
    <row r="432" spans="1:39" x14ac:dyDescent="0.3">
      <c r="A432" s="15">
        <v>431</v>
      </c>
      <c r="B432" s="40" t="s">
        <v>2297</v>
      </c>
      <c r="C432" s="40">
        <v>207</v>
      </c>
      <c r="D432" s="38" t="s">
        <v>2195</v>
      </c>
      <c r="E432" s="40" t="s">
        <v>2963</v>
      </c>
      <c r="F432" s="40" t="s">
        <v>3579</v>
      </c>
      <c r="G432" s="50"/>
      <c r="H432" s="150" t="s">
        <v>5607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2996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3002</v>
      </c>
      <c r="C433" s="40">
        <v>208</v>
      </c>
      <c r="D433" s="38" t="s">
        <v>2195</v>
      </c>
      <c r="E433" s="40" t="s">
        <v>2963</v>
      </c>
      <c r="F433" s="40" t="s">
        <v>3580</v>
      </c>
      <c r="G433" s="50"/>
      <c r="H433" s="150" t="s">
        <v>5607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306</v>
      </c>
      <c r="U433" s="2" t="s">
        <v>306</v>
      </c>
      <c r="V433" s="79" t="s">
        <v>2996</v>
      </c>
      <c r="W433" s="39">
        <v>114</v>
      </c>
      <c r="X433" s="40"/>
      <c r="Y433" s="106"/>
      <c r="Z433" s="40"/>
      <c r="AA433" s="40" t="s">
        <v>2939</v>
      </c>
      <c r="AB433" s="40"/>
      <c r="AC433" s="40"/>
      <c r="AD433" s="40" t="s">
        <v>2939</v>
      </c>
      <c r="AE433" s="40"/>
      <c r="AF433" s="40"/>
      <c r="AG433" s="40"/>
      <c r="AH433" s="40"/>
      <c r="AI433" s="40"/>
      <c r="AJ433" s="39"/>
      <c r="AK433" s="196" t="s">
        <v>306</v>
      </c>
      <c r="AL433" s="153"/>
      <c r="AM433" s="37">
        <v>114</v>
      </c>
    </row>
    <row r="434" spans="1:56" x14ac:dyDescent="0.3">
      <c r="A434" s="15">
        <v>433</v>
      </c>
      <c r="B434" s="40" t="s">
        <v>3003</v>
      </c>
      <c r="C434" s="40">
        <v>209</v>
      </c>
      <c r="D434" s="38" t="s">
        <v>2195</v>
      </c>
      <c r="E434" s="40" t="s">
        <v>2963</v>
      </c>
      <c r="F434" s="40" t="s">
        <v>3581</v>
      </c>
      <c r="G434" s="50" t="s">
        <v>5604</v>
      </c>
      <c r="H434" s="150" t="s">
        <v>5606</v>
      </c>
      <c r="I434" s="50" t="s">
        <v>5609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575</v>
      </c>
      <c r="U434" s="2" t="s">
        <v>8</v>
      </c>
      <c r="V434" s="79" t="s">
        <v>2996</v>
      </c>
      <c r="W434" s="39">
        <v>114</v>
      </c>
      <c r="X434" s="40"/>
      <c r="Y434" s="106"/>
      <c r="Z434" s="40"/>
      <c r="AA434" s="40" t="s">
        <v>2939</v>
      </c>
      <c r="AB434" s="40"/>
      <c r="AC434" s="40"/>
      <c r="AD434" s="40"/>
      <c r="AE434" s="40"/>
      <c r="AF434" s="40"/>
      <c r="AG434" s="40" t="s">
        <v>2939</v>
      </c>
      <c r="AH434" s="40"/>
      <c r="AI434" s="40"/>
      <c r="AJ434" s="39"/>
      <c r="AK434" s="196" t="s">
        <v>303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2303</v>
      </c>
      <c r="C435" s="58">
        <v>240</v>
      </c>
      <c r="D435" s="56" t="s">
        <v>2195</v>
      </c>
      <c r="E435" s="58" t="s">
        <v>2963</v>
      </c>
      <c r="F435" s="58" t="s">
        <v>3582</v>
      </c>
      <c r="G435" s="127"/>
      <c r="H435" s="226" t="s">
        <v>5607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2996</v>
      </c>
      <c r="W435" s="57">
        <v>107</v>
      </c>
      <c r="X435" s="58"/>
      <c r="Y435" s="58"/>
      <c r="Z435" s="58"/>
      <c r="AA435" s="58" t="s">
        <v>2939</v>
      </c>
      <c r="AB435" s="58"/>
      <c r="AC435" s="58"/>
      <c r="AD435" s="58" t="s">
        <v>2939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3005</v>
      </c>
      <c r="C436" s="75">
        <v>1805</v>
      </c>
      <c r="D436" s="67" t="s">
        <v>2240</v>
      </c>
      <c r="E436" s="260" t="s">
        <v>2929</v>
      </c>
      <c r="F436" s="260" t="s">
        <v>3583</v>
      </c>
      <c r="G436" s="178" t="s">
        <v>5604</v>
      </c>
      <c r="H436" s="414" t="s">
        <v>5606</v>
      </c>
      <c r="I436" s="178" t="s">
        <v>5609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575</v>
      </c>
      <c r="U436" s="69" t="s">
        <v>303</v>
      </c>
      <c r="V436" s="70" t="s">
        <v>3004</v>
      </c>
      <c r="W436" s="70">
        <v>114</v>
      </c>
      <c r="X436" s="75"/>
      <c r="Y436" s="75"/>
      <c r="Z436" s="75"/>
      <c r="AA436" s="75"/>
      <c r="AB436" s="75" t="s">
        <v>2939</v>
      </c>
      <c r="AC436" s="75"/>
      <c r="AD436" s="75"/>
      <c r="AE436" s="75" t="s">
        <v>2898</v>
      </c>
      <c r="AF436" s="75"/>
      <c r="AG436" s="75" t="s">
        <v>2939</v>
      </c>
      <c r="AH436" s="75"/>
      <c r="AI436" s="75"/>
      <c r="AJ436" s="70"/>
      <c r="AK436" s="247" t="s">
        <v>303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3006</v>
      </c>
      <c r="C437" s="40">
        <v>2417</v>
      </c>
      <c r="D437" s="38" t="s">
        <v>2240</v>
      </c>
      <c r="E437" s="40" t="s">
        <v>2929</v>
      </c>
      <c r="F437" s="40" t="s">
        <v>3584</v>
      </c>
      <c r="G437" s="50" t="s">
        <v>5604</v>
      </c>
      <c r="H437" s="150" t="s">
        <v>5606</v>
      </c>
      <c r="I437" s="50" t="s">
        <v>5609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2907</v>
      </c>
      <c r="U437" s="2" t="s">
        <v>303</v>
      </c>
      <c r="V437" s="39" t="s">
        <v>3004</v>
      </c>
      <c r="W437" s="39">
        <v>114</v>
      </c>
      <c r="X437" s="38"/>
      <c r="Y437" s="38"/>
      <c r="Z437" s="40"/>
      <c r="AA437" s="40"/>
      <c r="AB437" s="38" t="s">
        <v>2939</v>
      </c>
      <c r="AC437" s="38"/>
      <c r="AD437" s="38"/>
      <c r="AE437" s="38"/>
      <c r="AF437" s="40"/>
      <c r="AG437" s="40" t="s">
        <v>2898</v>
      </c>
      <c r="AH437" s="40"/>
      <c r="AI437" s="40"/>
      <c r="AJ437" s="39"/>
      <c r="AK437" s="196" t="s">
        <v>303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3007</v>
      </c>
      <c r="C438" s="83">
        <v>1567</v>
      </c>
      <c r="D438" s="113" t="s">
        <v>2240</v>
      </c>
      <c r="E438" s="218" t="s">
        <v>2929</v>
      </c>
      <c r="F438" s="218" t="s">
        <v>3585</v>
      </c>
      <c r="G438" s="138" t="s">
        <v>5604</v>
      </c>
      <c r="H438" s="340" t="s">
        <v>5606</v>
      </c>
      <c r="I438" s="138" t="s">
        <v>5609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138</v>
      </c>
      <c r="Q438" s="88">
        <v>37.5</v>
      </c>
      <c r="R438" s="88">
        <v>364</v>
      </c>
      <c r="S438" s="88">
        <v>189</v>
      </c>
      <c r="T438" s="85" t="s">
        <v>306</v>
      </c>
      <c r="U438" s="85" t="s">
        <v>3</v>
      </c>
      <c r="V438" s="86" t="s">
        <v>3004</v>
      </c>
      <c r="W438" s="86">
        <v>114</v>
      </c>
      <c r="X438" s="83"/>
      <c r="Y438" s="83"/>
      <c r="Z438" s="83"/>
      <c r="AA438" s="83"/>
      <c r="AB438" s="83" t="s">
        <v>2939</v>
      </c>
      <c r="AC438" s="83"/>
      <c r="AD438" s="83" t="s">
        <v>2898</v>
      </c>
      <c r="AE438" s="83"/>
      <c r="AF438" s="83"/>
      <c r="AG438" s="83" t="s">
        <v>2939</v>
      </c>
      <c r="AH438" s="83"/>
      <c r="AI438" s="83"/>
      <c r="AJ438" s="86"/>
      <c r="AK438" s="197" t="s">
        <v>306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3009</v>
      </c>
      <c r="C439" s="29">
        <v>1772</v>
      </c>
      <c r="D439" s="27" t="s">
        <v>3008</v>
      </c>
      <c r="E439" s="29" t="s">
        <v>2929</v>
      </c>
      <c r="F439" s="29" t="s">
        <v>3586</v>
      </c>
      <c r="G439" s="192" t="s">
        <v>5604</v>
      </c>
      <c r="H439" s="145" t="s">
        <v>5606</v>
      </c>
      <c r="I439" s="192" t="s">
        <v>5609</v>
      </c>
      <c r="J439" s="33" t="s">
        <v>3010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306</v>
      </c>
      <c r="U439" s="85" t="s">
        <v>3</v>
      </c>
      <c r="V439" s="18" t="s">
        <v>1114</v>
      </c>
      <c r="W439" s="28">
        <v>113</v>
      </c>
      <c r="X439" s="29"/>
      <c r="Y439" s="29"/>
      <c r="Z439" s="29" t="s">
        <v>2939</v>
      </c>
      <c r="AA439" s="29"/>
      <c r="AB439" s="29"/>
      <c r="AC439" s="29"/>
      <c r="AD439" s="29"/>
      <c r="AE439" s="29"/>
      <c r="AF439" s="29" t="s">
        <v>2939</v>
      </c>
      <c r="AG439" s="29"/>
      <c r="AH439" s="29"/>
      <c r="AI439" s="29"/>
      <c r="AJ439" s="141" t="s">
        <v>306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2254</v>
      </c>
      <c r="C440" s="40">
        <v>1774</v>
      </c>
      <c r="D440" s="38" t="s">
        <v>2252</v>
      </c>
      <c r="E440" s="40" t="s">
        <v>2929</v>
      </c>
      <c r="F440" s="40" t="s">
        <v>3587</v>
      </c>
      <c r="G440" s="50" t="s">
        <v>5604</v>
      </c>
      <c r="H440" s="150" t="s">
        <v>5606</v>
      </c>
      <c r="I440" s="50" t="s">
        <v>5609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306</v>
      </c>
      <c r="U440" s="2" t="s">
        <v>3</v>
      </c>
      <c r="V440" s="79" t="s">
        <v>1114</v>
      </c>
      <c r="W440" s="39">
        <v>113</v>
      </c>
      <c r="X440" s="40"/>
      <c r="Y440" s="40"/>
      <c r="Z440" s="40" t="s">
        <v>2939</v>
      </c>
      <c r="AA440" s="40"/>
      <c r="AB440" s="40"/>
      <c r="AC440" s="40"/>
      <c r="AD440" s="40" t="s">
        <v>2898</v>
      </c>
      <c r="AE440" s="40"/>
      <c r="AF440" s="40" t="s">
        <v>2939</v>
      </c>
      <c r="AG440" s="40"/>
      <c r="AH440" s="40"/>
      <c r="AI440" s="40"/>
      <c r="AJ440" s="40" t="s">
        <v>2898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2255</v>
      </c>
      <c r="C441" s="40">
        <v>1775</v>
      </c>
      <c r="D441" s="38" t="s">
        <v>2252</v>
      </c>
      <c r="E441" s="40" t="s">
        <v>2929</v>
      </c>
      <c r="F441" s="40" t="s">
        <v>3588</v>
      </c>
      <c r="G441" s="50"/>
      <c r="H441" s="150" t="s">
        <v>5607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1114</v>
      </c>
      <c r="W441" s="39">
        <v>107</v>
      </c>
      <c r="X441" s="40"/>
      <c r="Y441" s="40"/>
      <c r="Z441" s="40" t="s">
        <v>2939</v>
      </c>
      <c r="AA441" s="40"/>
      <c r="AB441" s="40"/>
      <c r="AC441" s="40"/>
      <c r="AD441" s="40" t="s">
        <v>2898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2256</v>
      </c>
      <c r="C442" s="40">
        <v>1776</v>
      </c>
      <c r="D442" s="38" t="s">
        <v>2252</v>
      </c>
      <c r="E442" s="40" t="s">
        <v>2929</v>
      </c>
      <c r="F442" s="40" t="s">
        <v>3589</v>
      </c>
      <c r="G442" s="50"/>
      <c r="H442" s="150" t="s">
        <v>5607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1114</v>
      </c>
      <c r="W442" s="39">
        <v>107</v>
      </c>
      <c r="X442" s="40"/>
      <c r="Y442" s="40"/>
      <c r="Z442" s="40" t="s">
        <v>2939</v>
      </c>
      <c r="AA442" s="40"/>
      <c r="AB442" s="40"/>
      <c r="AC442" s="40"/>
      <c r="AD442" s="40" t="s">
        <v>2898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2257</v>
      </c>
      <c r="C443" s="40">
        <v>1777</v>
      </c>
      <c r="D443" s="38" t="s">
        <v>2252</v>
      </c>
      <c r="E443" s="40" t="s">
        <v>2929</v>
      </c>
      <c r="F443" s="40" t="s">
        <v>3590</v>
      </c>
      <c r="G443" s="223"/>
      <c r="H443" s="150" t="s">
        <v>5606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306</v>
      </c>
      <c r="U443" s="2" t="s">
        <v>3</v>
      </c>
      <c r="V443" s="79" t="s">
        <v>1114</v>
      </c>
      <c r="W443" s="39">
        <v>113</v>
      </c>
      <c r="X443" s="40"/>
      <c r="Y443" s="40"/>
      <c r="Z443" s="40" t="s">
        <v>2939</v>
      </c>
      <c r="AA443" s="40"/>
      <c r="AB443" s="40"/>
      <c r="AC443" s="40"/>
      <c r="AD443" s="40" t="s">
        <v>2898</v>
      </c>
      <c r="AE443" s="40"/>
      <c r="AF443" s="40"/>
      <c r="AG443" s="40"/>
      <c r="AH443" s="40"/>
      <c r="AI443" s="40"/>
      <c r="AJ443" s="40" t="s">
        <v>2898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3011</v>
      </c>
      <c r="C444" s="83">
        <v>1816</v>
      </c>
      <c r="D444" s="113" t="s">
        <v>2252</v>
      </c>
      <c r="E444" s="83" t="s">
        <v>2929</v>
      </c>
      <c r="F444" s="83" t="s">
        <v>3591</v>
      </c>
      <c r="G444" s="138" t="s">
        <v>5604</v>
      </c>
      <c r="H444" s="340" t="s">
        <v>5608</v>
      </c>
      <c r="I444" s="138" t="s">
        <v>5609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306</v>
      </c>
      <c r="U444" s="85" t="str">
        <f>U439</f>
        <v>正常</v>
      </c>
      <c r="V444" s="68" t="s">
        <v>1114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2939</v>
      </c>
      <c r="AE444" s="83"/>
      <c r="AF444" s="83" t="s">
        <v>2939</v>
      </c>
      <c r="AG444" s="83"/>
      <c r="AH444" s="83"/>
      <c r="AI444" s="83"/>
      <c r="AJ444" s="112" t="s">
        <v>306</v>
      </c>
      <c r="AK444" s="197"/>
      <c r="AL444" s="90"/>
      <c r="AM444" s="82">
        <v>113</v>
      </c>
      <c r="BD444" s="15" t="s">
        <v>3012</v>
      </c>
    </row>
    <row r="445" spans="1:56" s="15" customFormat="1" x14ac:dyDescent="0.3">
      <c r="A445" s="15">
        <v>444</v>
      </c>
      <c r="B445" s="29" t="s">
        <v>2259</v>
      </c>
      <c r="C445" s="29">
        <v>1744</v>
      </c>
      <c r="D445" s="27" t="s">
        <v>2258</v>
      </c>
      <c r="E445" s="29" t="s">
        <v>2929</v>
      </c>
      <c r="F445" s="29" t="s">
        <v>3592</v>
      </c>
      <c r="G445" s="192"/>
      <c r="H445" s="145" t="s">
        <v>5607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2996</v>
      </c>
      <c r="W445" s="28">
        <v>107</v>
      </c>
      <c r="X445" s="29"/>
      <c r="Y445" s="29"/>
      <c r="Z445" s="29" t="s">
        <v>2939</v>
      </c>
      <c r="AA445" s="29"/>
      <c r="AB445" s="29"/>
      <c r="AC445" s="29"/>
      <c r="AD445" s="29" t="s">
        <v>2939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3013</v>
      </c>
      <c r="C446" s="40">
        <v>1745</v>
      </c>
      <c r="D446" s="38" t="s">
        <v>2258</v>
      </c>
      <c r="E446" s="40" t="s">
        <v>2929</v>
      </c>
      <c r="F446" s="40" t="s">
        <v>3593</v>
      </c>
      <c r="G446" s="50" t="s">
        <v>5604</v>
      </c>
      <c r="H446" s="150" t="s">
        <v>5606</v>
      </c>
      <c r="I446" s="50" t="s">
        <v>5609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575</v>
      </c>
      <c r="U446" s="2" t="s">
        <v>8</v>
      </c>
      <c r="V446" s="79" t="s">
        <v>2996</v>
      </c>
      <c r="W446" s="39">
        <v>114</v>
      </c>
      <c r="X446" s="40"/>
      <c r="Y446" s="40"/>
      <c r="Z446" s="40" t="s">
        <v>2939</v>
      </c>
      <c r="AA446" s="40"/>
      <c r="AB446" s="40"/>
      <c r="AC446" s="40" t="s">
        <v>2939</v>
      </c>
      <c r="AD446" s="40"/>
      <c r="AE446" s="40"/>
      <c r="AF446" s="40"/>
      <c r="AG446" s="40" t="s">
        <v>2939</v>
      </c>
      <c r="AH446" s="40"/>
      <c r="AI446" s="40"/>
      <c r="AJ446" s="39"/>
      <c r="AK446" s="196" t="s">
        <v>303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2260</v>
      </c>
      <c r="C447" s="40">
        <v>1814</v>
      </c>
      <c r="D447" s="38" t="s">
        <v>2258</v>
      </c>
      <c r="E447" s="40" t="s">
        <v>2929</v>
      </c>
      <c r="F447" s="40" t="s">
        <v>3594</v>
      </c>
      <c r="G447" s="50"/>
      <c r="H447" s="150" t="s">
        <v>5607</v>
      </c>
      <c r="I447" s="50"/>
      <c r="J447" s="43">
        <v>196373</v>
      </c>
      <c r="K447" s="43">
        <v>2665611</v>
      </c>
      <c r="L447" s="43" t="s">
        <v>391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2996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2939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2261</v>
      </c>
      <c r="C448" s="40">
        <v>1569</v>
      </c>
      <c r="D448" s="38" t="s">
        <v>2258</v>
      </c>
      <c r="E448" s="40" t="s">
        <v>2929</v>
      </c>
      <c r="F448" s="40" t="s">
        <v>3595</v>
      </c>
      <c r="G448" s="50"/>
      <c r="H448" s="150" t="s">
        <v>5608</v>
      </c>
      <c r="I448" s="50"/>
      <c r="J448" s="43" t="s">
        <v>3014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130</v>
      </c>
      <c r="U448" s="2" t="s">
        <v>2916</v>
      </c>
      <c r="V448" s="79" t="s">
        <v>2996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2262</v>
      </c>
      <c r="C449" s="40">
        <v>1621</v>
      </c>
      <c r="D449" s="38" t="s">
        <v>2258</v>
      </c>
      <c r="E449" s="40" t="s">
        <v>2929</v>
      </c>
      <c r="F449" s="40" t="s">
        <v>3596</v>
      </c>
      <c r="G449" s="50"/>
      <c r="H449" s="150" t="s">
        <v>5607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303</v>
      </c>
      <c r="V449" s="79" t="s">
        <v>2996</v>
      </c>
      <c r="W449" s="39">
        <v>107</v>
      </c>
      <c r="X449" s="40"/>
      <c r="Y449" s="40"/>
      <c r="Z449" s="40" t="s">
        <v>2939</v>
      </c>
      <c r="AA449" s="40"/>
      <c r="AB449" s="40"/>
      <c r="AC449" s="40"/>
      <c r="AD449" s="40" t="s">
        <v>2898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3015</v>
      </c>
      <c r="C450" s="40">
        <v>1634</v>
      </c>
      <c r="D450" s="38" t="s">
        <v>2258</v>
      </c>
      <c r="E450" s="40" t="s">
        <v>2929</v>
      </c>
      <c r="F450" s="40" t="s">
        <v>3597</v>
      </c>
      <c r="G450" s="50"/>
      <c r="H450" s="150" t="s">
        <v>5607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306</v>
      </c>
      <c r="U450" s="2" t="s">
        <v>306</v>
      </c>
      <c r="V450" s="79" t="s">
        <v>2996</v>
      </c>
      <c r="W450" s="39">
        <v>114</v>
      </c>
      <c r="X450" s="40"/>
      <c r="Y450" s="40"/>
      <c r="Z450" s="40" t="s">
        <v>2939</v>
      </c>
      <c r="AA450" s="40"/>
      <c r="AB450" s="40"/>
      <c r="AC450" s="40"/>
      <c r="AD450" s="40" t="s">
        <v>2898</v>
      </c>
      <c r="AE450" s="40"/>
      <c r="AF450" s="40"/>
      <c r="AG450" s="40"/>
      <c r="AH450" s="40"/>
      <c r="AI450" s="40"/>
      <c r="AJ450" s="39"/>
      <c r="AK450" s="196" t="s">
        <v>306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2263</v>
      </c>
      <c r="C451" s="40">
        <v>1653</v>
      </c>
      <c r="D451" s="38" t="s">
        <v>2258</v>
      </c>
      <c r="E451" s="40" t="s">
        <v>2929</v>
      </c>
      <c r="F451" s="40" t="s">
        <v>3598</v>
      </c>
      <c r="G451" s="50" t="s">
        <v>5604</v>
      </c>
      <c r="H451" s="150" t="s">
        <v>5606</v>
      </c>
      <c r="I451" s="50" t="s">
        <v>5609</v>
      </c>
      <c r="J451" s="43">
        <v>196529.71854100001</v>
      </c>
      <c r="K451" s="43">
        <v>2665761.5101100001</v>
      </c>
      <c r="L451" s="43" t="s">
        <v>40</v>
      </c>
      <c r="M451" s="44">
        <v>14</v>
      </c>
      <c r="N451" s="43">
        <v>162</v>
      </c>
      <c r="O451" s="43">
        <v>110</v>
      </c>
      <c r="P451" s="43" t="s">
        <v>41</v>
      </c>
      <c r="Q451" s="43">
        <v>40</v>
      </c>
      <c r="R451" s="43">
        <v>330</v>
      </c>
      <c r="S451" s="43">
        <v>70</v>
      </c>
      <c r="T451" s="2" t="s">
        <v>2907</v>
      </c>
      <c r="U451" s="2" t="s">
        <v>8</v>
      </c>
      <c r="V451" s="79" t="s">
        <v>2996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2939</v>
      </c>
      <c r="AG451" s="40" t="s">
        <v>2939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3016</v>
      </c>
      <c r="C452" s="83">
        <v>1773</v>
      </c>
      <c r="D452" s="113" t="s">
        <v>2258</v>
      </c>
      <c r="E452" s="83" t="s">
        <v>2929</v>
      </c>
      <c r="F452" s="83" t="s">
        <v>3599</v>
      </c>
      <c r="G452" s="138" t="s">
        <v>5604</v>
      </c>
      <c r="H452" s="340" t="s">
        <v>5606</v>
      </c>
      <c r="I452" s="138" t="s">
        <v>5609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306</v>
      </c>
      <c r="U452" s="85" t="s">
        <v>306</v>
      </c>
      <c r="V452" s="79" t="s">
        <v>2996</v>
      </c>
      <c r="W452" s="86">
        <v>114</v>
      </c>
      <c r="X452" s="83"/>
      <c r="Y452" s="83"/>
      <c r="Z452" s="83" t="s">
        <v>2939</v>
      </c>
      <c r="AA452" s="83"/>
      <c r="AB452" s="83"/>
      <c r="AC452" s="83"/>
      <c r="AD452" s="83" t="s">
        <v>2898</v>
      </c>
      <c r="AE452" s="83"/>
      <c r="AF452" s="83" t="s">
        <v>2939</v>
      </c>
      <c r="AG452" s="83"/>
      <c r="AH452" s="83"/>
      <c r="AI452" s="83"/>
      <c r="AJ452" s="86"/>
      <c r="AK452" s="197" t="s">
        <v>306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2286</v>
      </c>
      <c r="C453" s="40">
        <v>1690</v>
      </c>
      <c r="D453" s="38" t="s">
        <v>2285</v>
      </c>
      <c r="E453" s="40" t="s">
        <v>2929</v>
      </c>
      <c r="F453" s="40" t="s">
        <v>3600</v>
      </c>
      <c r="G453" s="50" t="s">
        <v>5604</v>
      </c>
      <c r="H453" s="150" t="s">
        <v>5606</v>
      </c>
      <c r="I453" s="50" t="s">
        <v>5609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306</v>
      </c>
      <c r="U453" s="2" t="s">
        <v>3</v>
      </c>
      <c r="V453" s="79" t="s">
        <v>1114</v>
      </c>
      <c r="W453" s="39">
        <v>113</v>
      </c>
      <c r="X453" s="40"/>
      <c r="Y453" s="40"/>
      <c r="Z453" s="40" t="s">
        <v>2939</v>
      </c>
      <c r="AA453" s="40"/>
      <c r="AB453" s="40"/>
      <c r="AC453" s="40" t="s">
        <v>2898</v>
      </c>
      <c r="AD453" s="40"/>
      <c r="AE453" s="40"/>
      <c r="AF453" s="40"/>
      <c r="AG453" s="40"/>
      <c r="AH453" s="40"/>
      <c r="AI453" s="40"/>
      <c r="AJ453" s="40" t="s">
        <v>2898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2287</v>
      </c>
      <c r="C454" s="40">
        <v>1691</v>
      </c>
      <c r="D454" s="38" t="s">
        <v>2285</v>
      </c>
      <c r="E454" s="40" t="s">
        <v>2929</v>
      </c>
      <c r="F454" s="40" t="s">
        <v>3601</v>
      </c>
      <c r="G454" s="50" t="s">
        <v>5604</v>
      </c>
      <c r="H454" s="150" t="s">
        <v>5606</v>
      </c>
      <c r="I454" s="50" t="s">
        <v>5609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306</v>
      </c>
      <c r="U454" s="2" t="s">
        <v>3</v>
      </c>
      <c r="V454" s="79" t="s">
        <v>1114</v>
      </c>
      <c r="W454" s="39">
        <v>113</v>
      </c>
      <c r="X454" s="40"/>
      <c r="Y454" s="40"/>
      <c r="Z454" s="40" t="s">
        <v>2939</v>
      </c>
      <c r="AA454" s="40"/>
      <c r="AB454" s="40"/>
      <c r="AC454" s="40" t="s">
        <v>2898</v>
      </c>
      <c r="AD454" s="40"/>
      <c r="AE454" s="40"/>
      <c r="AF454" s="40"/>
      <c r="AG454" s="40"/>
      <c r="AH454" s="40"/>
      <c r="AI454" s="40"/>
      <c r="AJ454" s="40" t="s">
        <v>2898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2288</v>
      </c>
      <c r="C455" s="83">
        <v>1692</v>
      </c>
      <c r="D455" s="113" t="s">
        <v>2285</v>
      </c>
      <c r="E455" s="83" t="s">
        <v>2929</v>
      </c>
      <c r="F455" s="83" t="s">
        <v>3602</v>
      </c>
      <c r="G455" s="138" t="s">
        <v>5604</v>
      </c>
      <c r="H455" s="340" t="s">
        <v>5607</v>
      </c>
      <c r="I455" s="138" t="s">
        <v>5609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306</v>
      </c>
      <c r="U455" s="85" t="s">
        <v>3</v>
      </c>
      <c r="V455" s="112" t="s">
        <v>1114</v>
      </c>
      <c r="W455" s="86">
        <v>111</v>
      </c>
      <c r="X455" s="83"/>
      <c r="Y455" s="83"/>
      <c r="Z455" s="83" t="s">
        <v>2939</v>
      </c>
      <c r="AA455" s="83"/>
      <c r="AB455" s="83"/>
      <c r="AC455" s="83" t="s">
        <v>2898</v>
      </c>
      <c r="AD455" s="83"/>
      <c r="AE455" s="83"/>
      <c r="AF455" s="83" t="s">
        <v>2939</v>
      </c>
      <c r="AG455" s="83"/>
      <c r="AH455" s="83" t="s">
        <v>2898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2295</v>
      </c>
      <c r="C456" s="29">
        <v>509</v>
      </c>
      <c r="D456" s="27" t="s">
        <v>2294</v>
      </c>
      <c r="E456" s="29" t="s">
        <v>2963</v>
      </c>
      <c r="F456" s="29" t="s">
        <v>3603</v>
      </c>
      <c r="G456" s="192" t="s">
        <v>5604</v>
      </c>
      <c r="H456" s="145" t="s">
        <v>5606</v>
      </c>
      <c r="I456" s="192" t="s">
        <v>5609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209</v>
      </c>
      <c r="Q456" s="33">
        <v>33.799999999999997</v>
      </c>
      <c r="R456" s="33">
        <v>302</v>
      </c>
      <c r="S456" s="33">
        <v>24.1</v>
      </c>
      <c r="T456" s="30" t="s">
        <v>2907</v>
      </c>
      <c r="U456" s="30" t="s">
        <v>8</v>
      </c>
      <c r="V456" s="28" t="s">
        <v>3004</v>
      </c>
      <c r="W456" s="28">
        <v>109</v>
      </c>
      <c r="X456" s="29"/>
      <c r="Y456" s="29"/>
      <c r="Z456" s="29"/>
      <c r="AA456" s="29" t="s">
        <v>2939</v>
      </c>
      <c r="AB456" s="29"/>
      <c r="AC456" s="29"/>
      <c r="AD456" s="29"/>
      <c r="AE456" s="29"/>
      <c r="AF456" s="29" t="s">
        <v>2939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2296</v>
      </c>
      <c r="C457" s="83">
        <v>510</v>
      </c>
      <c r="D457" s="113" t="s">
        <v>2294</v>
      </c>
      <c r="E457" s="83" t="s">
        <v>2963</v>
      </c>
      <c r="F457" s="83" t="s">
        <v>3604</v>
      </c>
      <c r="G457" s="138" t="s">
        <v>5604</v>
      </c>
      <c r="H457" s="340" t="s">
        <v>5606</v>
      </c>
      <c r="I457" s="138" t="s">
        <v>5609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566</v>
      </c>
      <c r="Q457" s="88">
        <v>31.6</v>
      </c>
      <c r="R457" s="88">
        <v>297</v>
      </c>
      <c r="S457" s="88">
        <v>59.5</v>
      </c>
      <c r="T457" s="85" t="s">
        <v>575</v>
      </c>
      <c r="U457" s="85" t="s">
        <v>8</v>
      </c>
      <c r="V457" s="86" t="s">
        <v>3004</v>
      </c>
      <c r="W457" s="86">
        <v>109</v>
      </c>
      <c r="X457" s="83"/>
      <c r="Y457" s="83"/>
      <c r="Z457" s="83"/>
      <c r="AA457" s="83" t="s">
        <v>2939</v>
      </c>
      <c r="AB457" s="83"/>
      <c r="AC457" s="83"/>
      <c r="AD457" s="83"/>
      <c r="AE457" s="83"/>
      <c r="AF457" s="83" t="s">
        <v>2939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2429</v>
      </c>
      <c r="C458" s="40">
        <v>195</v>
      </c>
      <c r="D458" s="38" t="s">
        <v>1548</v>
      </c>
      <c r="E458" s="40" t="s">
        <v>2963</v>
      </c>
      <c r="F458" s="40" t="s">
        <v>3605</v>
      </c>
      <c r="G458" s="50" t="s">
        <v>5604</v>
      </c>
      <c r="H458" s="150" t="s">
        <v>5606</v>
      </c>
      <c r="I458" s="50" t="s">
        <v>5609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2907</v>
      </c>
      <c r="U458" s="2" t="s">
        <v>8</v>
      </c>
      <c r="V458" s="39" t="s">
        <v>3004</v>
      </c>
      <c r="W458" s="39">
        <v>109</v>
      </c>
      <c r="X458" s="40"/>
      <c r="Y458" s="106"/>
      <c r="Z458" s="40"/>
      <c r="AA458" s="40"/>
      <c r="AB458" s="40" t="s">
        <v>2939</v>
      </c>
      <c r="AC458" s="40"/>
      <c r="AD458" s="40"/>
      <c r="AE458" s="40"/>
      <c r="AF458" s="40" t="s">
        <v>2939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1549</v>
      </c>
      <c r="C459" s="58">
        <v>238</v>
      </c>
      <c r="D459" s="56" t="s">
        <v>1548</v>
      </c>
      <c r="E459" s="109" t="s">
        <v>2963</v>
      </c>
      <c r="F459" s="109" t="s">
        <v>3606</v>
      </c>
      <c r="G459" s="127"/>
      <c r="H459" s="226" t="s">
        <v>5607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3004</v>
      </c>
      <c r="W459" s="57">
        <v>108</v>
      </c>
      <c r="X459" s="58"/>
      <c r="Y459" s="58" t="s">
        <v>2943</v>
      </c>
      <c r="Z459" s="58"/>
      <c r="AA459" s="58"/>
      <c r="AB459" s="58" t="s">
        <v>2939</v>
      </c>
      <c r="AC459" s="58"/>
      <c r="AD459" s="58"/>
      <c r="AE459" s="58" t="s">
        <v>2898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2344</v>
      </c>
      <c r="C460" s="262">
        <v>2029</v>
      </c>
      <c r="D460" s="67" t="s">
        <v>2343</v>
      </c>
      <c r="E460" s="215" t="s">
        <v>2963</v>
      </c>
      <c r="F460" s="215" t="s">
        <v>3607</v>
      </c>
      <c r="G460" s="178"/>
      <c r="H460" s="414" t="s">
        <v>5606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2907</v>
      </c>
      <c r="U460" s="69" t="s">
        <v>8</v>
      </c>
      <c r="V460" s="70" t="s">
        <v>3004</v>
      </c>
      <c r="W460" s="70">
        <v>112</v>
      </c>
      <c r="X460" s="75"/>
      <c r="Y460" s="75" t="s">
        <v>2943</v>
      </c>
      <c r="Z460" s="75"/>
      <c r="AA460" s="75"/>
      <c r="AB460" s="75" t="s">
        <v>2939</v>
      </c>
      <c r="AC460" s="75" t="s">
        <v>2898</v>
      </c>
      <c r="AD460" s="75"/>
      <c r="AE460" s="75"/>
      <c r="AF460" s="75"/>
      <c r="AG460" s="75"/>
      <c r="AH460" s="75"/>
      <c r="AI460" s="75" t="s">
        <v>2961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2484</v>
      </c>
      <c r="C461" s="58">
        <v>2017</v>
      </c>
      <c r="D461" s="56" t="s">
        <v>2483</v>
      </c>
      <c r="E461" s="58" t="s">
        <v>2963</v>
      </c>
      <c r="F461" s="58" t="s">
        <v>3608</v>
      </c>
      <c r="G461" s="127" t="s">
        <v>5604</v>
      </c>
      <c r="H461" s="226" t="s">
        <v>5606</v>
      </c>
      <c r="I461" s="127" t="s">
        <v>5609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306</v>
      </c>
      <c r="U461" s="59" t="s">
        <v>3</v>
      </c>
      <c r="V461" s="57" t="s">
        <v>3004</v>
      </c>
      <c r="W461" s="57">
        <v>109</v>
      </c>
      <c r="X461" s="58"/>
      <c r="Y461" s="109"/>
      <c r="Z461" s="58"/>
      <c r="AA461" s="58"/>
      <c r="AB461" s="58" t="s">
        <v>2898</v>
      </c>
      <c r="AC461" s="58"/>
      <c r="AD461" s="58"/>
      <c r="AE461" s="58"/>
      <c r="AF461" s="263" t="s">
        <v>2978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2352</v>
      </c>
      <c r="C462" s="231">
        <v>663</v>
      </c>
      <c r="D462" s="229" t="s">
        <v>2351</v>
      </c>
      <c r="E462" s="231" t="s">
        <v>2915</v>
      </c>
      <c r="F462" s="231" t="s">
        <v>3609</v>
      </c>
      <c r="G462" s="233" t="s">
        <v>5604</v>
      </c>
      <c r="H462" s="435" t="s">
        <v>5606</v>
      </c>
      <c r="I462" s="233" t="s">
        <v>5609</v>
      </c>
      <c r="J462" s="235">
        <v>203594</v>
      </c>
      <c r="K462" s="235">
        <v>2665780</v>
      </c>
      <c r="L462" s="235" t="s">
        <v>391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575</v>
      </c>
      <c r="U462" s="232" t="s">
        <v>8</v>
      </c>
      <c r="V462" s="265" t="s">
        <v>2996</v>
      </c>
      <c r="W462" s="234">
        <v>114</v>
      </c>
      <c r="X462" s="231"/>
      <c r="Y462" s="231"/>
      <c r="Z462" s="231" t="s">
        <v>2939</v>
      </c>
      <c r="AA462" s="231"/>
      <c r="AB462" s="231"/>
      <c r="AC462" s="231"/>
      <c r="AD462" s="231" t="s">
        <v>2939</v>
      </c>
      <c r="AE462" s="231"/>
      <c r="AF462" s="231"/>
      <c r="AG462" s="231" t="s">
        <v>2939</v>
      </c>
      <c r="AH462" s="231"/>
      <c r="AI462" s="231"/>
      <c r="AJ462" s="234"/>
      <c r="AK462" s="266" t="s">
        <v>303</v>
      </c>
      <c r="AL462" s="267"/>
      <c r="AM462" s="264">
        <v>114</v>
      </c>
    </row>
    <row r="463" spans="1:39" x14ac:dyDescent="0.3">
      <c r="A463" s="15">
        <v>462</v>
      </c>
      <c r="B463" s="29" t="s">
        <v>2371</v>
      </c>
      <c r="C463" s="29">
        <v>1591</v>
      </c>
      <c r="D463" s="27" t="s">
        <v>2370</v>
      </c>
      <c r="E463" s="29" t="s">
        <v>2929</v>
      </c>
      <c r="F463" s="29" t="s">
        <v>3610</v>
      </c>
      <c r="G463" s="192" t="s">
        <v>5604</v>
      </c>
      <c r="H463" s="145" t="s">
        <v>5607</v>
      </c>
      <c r="I463" s="192" t="s">
        <v>5609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575</v>
      </c>
      <c r="U463" s="30" t="s">
        <v>8</v>
      </c>
      <c r="V463" s="28" t="s">
        <v>3004</v>
      </c>
      <c r="W463" s="28">
        <v>109</v>
      </c>
      <c r="X463" s="29"/>
      <c r="Y463" s="29"/>
      <c r="Z463" s="29" t="s">
        <v>2939</v>
      </c>
      <c r="AA463" s="29"/>
      <c r="AB463" s="29"/>
      <c r="AC463" s="29" t="s">
        <v>2939</v>
      </c>
      <c r="AD463" s="29"/>
      <c r="AE463" s="29"/>
      <c r="AF463" s="29" t="s">
        <v>2939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2372</v>
      </c>
      <c r="C464" s="40">
        <v>1624</v>
      </c>
      <c r="D464" s="38" t="s">
        <v>2370</v>
      </c>
      <c r="E464" s="40" t="s">
        <v>2929</v>
      </c>
      <c r="F464" s="40" t="s">
        <v>3611</v>
      </c>
      <c r="G464" s="50" t="s">
        <v>5604</v>
      </c>
      <c r="H464" s="150" t="s">
        <v>5606</v>
      </c>
      <c r="I464" s="50" t="s">
        <v>5609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2907</v>
      </c>
      <c r="U464" s="2" t="s">
        <v>8</v>
      </c>
      <c r="V464" s="39" t="s">
        <v>3004</v>
      </c>
      <c r="W464" s="39">
        <v>109</v>
      </c>
      <c r="X464" s="40"/>
      <c r="Y464" s="40"/>
      <c r="Z464" s="40" t="s">
        <v>2939</v>
      </c>
      <c r="AA464" s="40"/>
      <c r="AB464" s="40"/>
      <c r="AC464" s="40"/>
      <c r="AD464" s="40"/>
      <c r="AE464" s="40" t="s">
        <v>2939</v>
      </c>
      <c r="AF464" s="40" t="s">
        <v>2939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2373</v>
      </c>
      <c r="C465" s="40">
        <v>2420</v>
      </c>
      <c r="D465" s="38" t="s">
        <v>2370</v>
      </c>
      <c r="E465" s="40" t="s">
        <v>2929</v>
      </c>
      <c r="F465" s="40" t="s">
        <v>3612</v>
      </c>
      <c r="G465" s="38"/>
      <c r="H465" s="150" t="s">
        <v>5607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3004</v>
      </c>
      <c r="W465" s="39">
        <v>103</v>
      </c>
      <c r="X465" s="38"/>
      <c r="Y465" s="38"/>
      <c r="Z465" s="40" t="s">
        <v>2939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2374</v>
      </c>
      <c r="C466" s="40">
        <v>1593</v>
      </c>
      <c r="D466" s="38" t="s">
        <v>2370</v>
      </c>
      <c r="E466" s="40" t="s">
        <v>2929</v>
      </c>
      <c r="F466" s="40" t="s">
        <v>3613</v>
      </c>
      <c r="G466" s="50" t="s">
        <v>5604</v>
      </c>
      <c r="H466" s="150" t="s">
        <v>5607</v>
      </c>
      <c r="I466" s="50" t="s">
        <v>5609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575</v>
      </c>
      <c r="U466" s="2" t="s">
        <v>8</v>
      </c>
      <c r="V466" s="39" t="s">
        <v>3004</v>
      </c>
      <c r="W466" s="39">
        <v>109</v>
      </c>
      <c r="X466" s="40"/>
      <c r="Y466" s="40"/>
      <c r="Z466" s="40" t="s">
        <v>2939</v>
      </c>
      <c r="AA466" s="40"/>
      <c r="AB466" s="40"/>
      <c r="AC466" s="40" t="s">
        <v>2898</v>
      </c>
      <c r="AD466" s="40"/>
      <c r="AE466" s="40"/>
      <c r="AF466" s="40" t="s">
        <v>2939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2375</v>
      </c>
      <c r="C467" s="40">
        <v>1594</v>
      </c>
      <c r="D467" s="38" t="s">
        <v>2370</v>
      </c>
      <c r="E467" s="40" t="s">
        <v>2929</v>
      </c>
      <c r="F467" s="40" t="s">
        <v>3614</v>
      </c>
      <c r="G467" s="50" t="s">
        <v>5604</v>
      </c>
      <c r="H467" s="150" t="s">
        <v>5606</v>
      </c>
      <c r="I467" s="50" t="s">
        <v>5609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575</v>
      </c>
      <c r="U467" s="2" t="s">
        <v>8</v>
      </c>
      <c r="V467" s="39" t="s">
        <v>3004</v>
      </c>
      <c r="W467" s="39">
        <v>109</v>
      </c>
      <c r="X467" s="40"/>
      <c r="Y467" s="40"/>
      <c r="Z467" s="40" t="s">
        <v>2939</v>
      </c>
      <c r="AA467" s="40"/>
      <c r="AB467" s="40"/>
      <c r="AC467" s="40" t="s">
        <v>2898</v>
      </c>
      <c r="AD467" s="40"/>
      <c r="AE467" s="40"/>
      <c r="AF467" s="40" t="s">
        <v>2939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2376</v>
      </c>
      <c r="C468" s="40">
        <v>1595</v>
      </c>
      <c r="D468" s="38" t="s">
        <v>2370</v>
      </c>
      <c r="E468" s="40" t="s">
        <v>2929</v>
      </c>
      <c r="F468" s="40" t="s">
        <v>3615</v>
      </c>
      <c r="G468" s="50" t="s">
        <v>5604</v>
      </c>
      <c r="H468" s="150" t="s">
        <v>5608</v>
      </c>
      <c r="I468" s="50" t="s">
        <v>5609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306</v>
      </c>
      <c r="U468" s="2" t="s">
        <v>3</v>
      </c>
      <c r="V468" s="39" t="s">
        <v>3004</v>
      </c>
      <c r="W468" s="39">
        <v>106</v>
      </c>
      <c r="X468" s="40"/>
      <c r="Y468" s="40"/>
      <c r="Z468" s="40" t="s">
        <v>2939</v>
      </c>
      <c r="AA468" s="40"/>
      <c r="AB468" s="40"/>
      <c r="AC468" s="40" t="s">
        <v>2898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2377</v>
      </c>
      <c r="C469" s="40">
        <v>1625</v>
      </c>
      <c r="D469" s="38" t="s">
        <v>2370</v>
      </c>
      <c r="E469" s="40" t="s">
        <v>2929</v>
      </c>
      <c r="F469" s="40" t="s">
        <v>3616</v>
      </c>
      <c r="G469" s="50" t="s">
        <v>5604</v>
      </c>
      <c r="H469" s="150" t="s">
        <v>5607</v>
      </c>
      <c r="I469" s="50" t="s">
        <v>5609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306</v>
      </c>
      <c r="U469" s="2" t="s">
        <v>3</v>
      </c>
      <c r="V469" s="39" t="s">
        <v>3004</v>
      </c>
      <c r="W469" s="39">
        <v>109</v>
      </c>
      <c r="X469" s="40"/>
      <c r="Y469" s="40"/>
      <c r="Z469" s="40" t="s">
        <v>2939</v>
      </c>
      <c r="AA469" s="40"/>
      <c r="AB469" s="40"/>
      <c r="AC469" s="40"/>
      <c r="AD469" s="40" t="s">
        <v>2898</v>
      </c>
      <c r="AE469" s="40"/>
      <c r="AF469" s="40" t="s">
        <v>2898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2370</v>
      </c>
      <c r="E470" s="40" t="s">
        <v>3017</v>
      </c>
      <c r="F470" s="40" t="s">
        <v>3617</v>
      </c>
      <c r="G470" s="50" t="s">
        <v>5604</v>
      </c>
      <c r="H470" s="150" t="s">
        <v>5608</v>
      </c>
      <c r="I470" s="50" t="s">
        <v>5609</v>
      </c>
      <c r="J470" s="43">
        <v>196880</v>
      </c>
      <c r="K470" s="43">
        <v>2665979</v>
      </c>
      <c r="L470" s="43" t="s">
        <v>40</v>
      </c>
      <c r="M470" s="44">
        <v>11</v>
      </c>
      <c r="N470" s="43">
        <v>111</v>
      </c>
      <c r="O470" s="43">
        <v>121</v>
      </c>
      <c r="P470" s="43" t="s">
        <v>41</v>
      </c>
      <c r="Q470" s="43">
        <v>33</v>
      </c>
      <c r="R470" s="43">
        <v>200</v>
      </c>
      <c r="S470" s="43">
        <v>148</v>
      </c>
      <c r="T470" s="2" t="s">
        <v>575</v>
      </c>
      <c r="U470" s="2" t="str">
        <f>U466</f>
        <v>監測</v>
      </c>
      <c r="V470" s="39" t="s">
        <v>3004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2939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2370</v>
      </c>
      <c r="E471" s="83" t="s">
        <v>2929</v>
      </c>
      <c r="F471" s="83" t="s">
        <v>3618</v>
      </c>
      <c r="G471" s="138" t="s">
        <v>5604</v>
      </c>
      <c r="H471" s="340" t="s">
        <v>5606</v>
      </c>
      <c r="I471" s="138" t="s">
        <v>5609</v>
      </c>
      <c r="J471" s="88">
        <v>197037</v>
      </c>
      <c r="K471" s="88">
        <v>2665991</v>
      </c>
      <c r="L471" s="88" t="s">
        <v>40</v>
      </c>
      <c r="M471" s="89">
        <v>8</v>
      </c>
      <c r="N471" s="88">
        <v>117</v>
      </c>
      <c r="O471" s="88">
        <v>74</v>
      </c>
      <c r="P471" s="88" t="s">
        <v>41</v>
      </c>
      <c r="Q471" s="88">
        <v>39</v>
      </c>
      <c r="R471" s="88">
        <v>233</v>
      </c>
      <c r="S471" s="88">
        <v>148</v>
      </c>
      <c r="T471" s="85" t="s">
        <v>575</v>
      </c>
      <c r="U471" s="85" t="s">
        <v>8</v>
      </c>
      <c r="V471" s="86" t="s">
        <v>3004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2939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2387</v>
      </c>
      <c r="C472" s="29">
        <v>1685</v>
      </c>
      <c r="D472" s="27" t="s">
        <v>2386</v>
      </c>
      <c r="E472" s="29" t="s">
        <v>2929</v>
      </c>
      <c r="F472" s="29" t="s">
        <v>3619</v>
      </c>
      <c r="G472" s="192" t="s">
        <v>5604</v>
      </c>
      <c r="H472" s="145" t="s">
        <v>5608</v>
      </c>
      <c r="I472" s="192" t="s">
        <v>5609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306</v>
      </c>
      <c r="U472" s="30" t="str">
        <f>U474</f>
        <v>正常</v>
      </c>
      <c r="V472" s="141" t="s">
        <v>2996</v>
      </c>
      <c r="W472" s="28">
        <v>113</v>
      </c>
      <c r="X472" s="29"/>
      <c r="Y472" s="29"/>
      <c r="Z472" s="29" t="s">
        <v>2939</v>
      </c>
      <c r="AA472" s="29"/>
      <c r="AB472" s="29"/>
      <c r="AC472" s="29" t="s">
        <v>2939</v>
      </c>
      <c r="AD472" s="29"/>
      <c r="AE472" s="29"/>
      <c r="AF472" s="29" t="s">
        <v>2939</v>
      </c>
      <c r="AG472" s="29" t="s">
        <v>2939</v>
      </c>
      <c r="AH472" s="29"/>
      <c r="AI472" s="29"/>
      <c r="AJ472" s="141" t="s">
        <v>306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2388</v>
      </c>
      <c r="C473" s="40">
        <v>1713</v>
      </c>
      <c r="D473" s="38" t="s">
        <v>2386</v>
      </c>
      <c r="E473" s="40" t="s">
        <v>2929</v>
      </c>
      <c r="F473" s="40" t="s">
        <v>3620</v>
      </c>
      <c r="G473" s="50" t="s">
        <v>5604</v>
      </c>
      <c r="H473" s="150" t="s">
        <v>5606</v>
      </c>
      <c r="I473" s="50" t="s">
        <v>5609</v>
      </c>
      <c r="J473" s="43">
        <v>197497.45699999999</v>
      </c>
      <c r="K473" s="43">
        <v>2666002.7749999999</v>
      </c>
      <c r="L473" s="43" t="s">
        <v>40</v>
      </c>
      <c r="M473" s="43">
        <v>15</v>
      </c>
      <c r="N473" s="43">
        <v>141</v>
      </c>
      <c r="O473" s="43">
        <v>76</v>
      </c>
      <c r="P473" s="43" t="s">
        <v>41</v>
      </c>
      <c r="Q473" s="43">
        <v>35</v>
      </c>
      <c r="R473" s="43">
        <v>235</v>
      </c>
      <c r="S473" s="43">
        <v>51</v>
      </c>
      <c r="T473" s="2" t="s">
        <v>575</v>
      </c>
      <c r="U473" s="2" t="s">
        <v>8</v>
      </c>
      <c r="V473" s="79" t="s">
        <v>2996</v>
      </c>
      <c r="W473" s="39">
        <v>113</v>
      </c>
      <c r="X473" s="40"/>
      <c r="Y473" s="40"/>
      <c r="Z473" s="40" t="s">
        <v>2939</v>
      </c>
      <c r="AA473" s="40"/>
      <c r="AB473" s="40"/>
      <c r="AC473" s="40"/>
      <c r="AD473" s="40" t="s">
        <v>2939</v>
      </c>
      <c r="AE473" s="40"/>
      <c r="AF473" s="40" t="s">
        <v>2939</v>
      </c>
      <c r="AG473" s="40"/>
      <c r="AH473" s="40" t="s">
        <v>2939</v>
      </c>
      <c r="AI473" s="40"/>
      <c r="AJ473" s="79" t="s">
        <v>303</v>
      </c>
      <c r="AK473" s="196"/>
      <c r="AL473" s="46" t="s">
        <v>3018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2389</v>
      </c>
      <c r="C474" s="40">
        <v>1714</v>
      </c>
      <c r="D474" s="38" t="s">
        <v>2386</v>
      </c>
      <c r="E474" s="40" t="s">
        <v>2929</v>
      </c>
      <c r="F474" s="40" t="s">
        <v>3621</v>
      </c>
      <c r="G474" s="50" t="s">
        <v>5604</v>
      </c>
      <c r="H474" s="150" t="s">
        <v>5606</v>
      </c>
      <c r="I474" s="50" t="s">
        <v>5609</v>
      </c>
      <c r="J474" s="43">
        <v>197465.31700000001</v>
      </c>
      <c r="K474" s="43">
        <v>2665804.5219999999</v>
      </c>
      <c r="L474" s="43" t="s">
        <v>40</v>
      </c>
      <c r="M474" s="44">
        <v>14</v>
      </c>
      <c r="N474" s="43">
        <v>109</v>
      </c>
      <c r="O474" s="43">
        <v>107</v>
      </c>
      <c r="P474" s="43" t="s">
        <v>41</v>
      </c>
      <c r="Q474" s="43">
        <v>28</v>
      </c>
      <c r="R474" s="43">
        <v>238</v>
      </c>
      <c r="S474" s="43">
        <v>106</v>
      </c>
      <c r="T474" s="2" t="s">
        <v>306</v>
      </c>
      <c r="U474" s="2" t="s">
        <v>3</v>
      </c>
      <c r="V474" s="79" t="s">
        <v>2996</v>
      </c>
      <c r="W474" s="39">
        <v>113</v>
      </c>
      <c r="X474" s="40"/>
      <c r="Y474" s="40"/>
      <c r="Z474" s="40"/>
      <c r="AA474" s="40"/>
      <c r="AB474" s="40"/>
      <c r="AC474" s="40" t="s">
        <v>2939</v>
      </c>
      <c r="AD474" s="40"/>
      <c r="AE474" s="40"/>
      <c r="AF474" s="40" t="s">
        <v>2939</v>
      </c>
      <c r="AG474" s="40" t="s">
        <v>2939</v>
      </c>
      <c r="AH474" s="40"/>
      <c r="AI474" s="40"/>
      <c r="AJ474" s="79" t="s">
        <v>306</v>
      </c>
      <c r="AK474" s="196"/>
      <c r="AL474" s="46" t="s">
        <v>3018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2390</v>
      </c>
      <c r="C475" s="40">
        <v>1717</v>
      </c>
      <c r="D475" s="38" t="s">
        <v>2386</v>
      </c>
      <c r="E475" s="40" t="s">
        <v>2929</v>
      </c>
      <c r="F475" s="40" t="s">
        <v>3622</v>
      </c>
      <c r="G475" s="50" t="s">
        <v>5604</v>
      </c>
      <c r="H475" s="150" t="s">
        <v>5608</v>
      </c>
      <c r="I475" s="50" t="s">
        <v>5609</v>
      </c>
      <c r="J475" s="43">
        <v>197476</v>
      </c>
      <c r="K475" s="43">
        <v>2666013</v>
      </c>
      <c r="L475" s="43" t="s">
        <v>391</v>
      </c>
      <c r="M475" s="44">
        <v>15.5</v>
      </c>
      <c r="N475" s="43">
        <v>161</v>
      </c>
      <c r="O475" s="43">
        <v>36.5</v>
      </c>
      <c r="P475" s="43" t="s">
        <v>102</v>
      </c>
      <c r="Q475" s="43">
        <v>28.7</v>
      </c>
      <c r="R475" s="43">
        <v>266</v>
      </c>
      <c r="S475" s="43">
        <v>43.3</v>
      </c>
      <c r="T475" s="2" t="s">
        <v>575</v>
      </c>
      <c r="U475" s="2" t="str">
        <f>U473</f>
        <v>監測</v>
      </c>
      <c r="V475" s="79" t="s">
        <v>2996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2939</v>
      </c>
      <c r="AE475" s="40"/>
      <c r="AF475" s="40" t="s">
        <v>2939</v>
      </c>
      <c r="AG475" s="40"/>
      <c r="AH475" s="40" t="s">
        <v>2939</v>
      </c>
      <c r="AI475" s="40"/>
      <c r="AJ475" s="79" t="s">
        <v>303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2391</v>
      </c>
      <c r="C476" s="40">
        <v>1718</v>
      </c>
      <c r="D476" s="38" t="s">
        <v>2386</v>
      </c>
      <c r="E476" s="40" t="s">
        <v>2929</v>
      </c>
      <c r="F476" s="40" t="s">
        <v>3623</v>
      </c>
      <c r="G476" s="50" t="s">
        <v>5604</v>
      </c>
      <c r="H476" s="150" t="s">
        <v>5608</v>
      </c>
      <c r="I476" s="50" t="s">
        <v>5609</v>
      </c>
      <c r="J476" s="43">
        <v>197476</v>
      </c>
      <c r="K476" s="43">
        <v>2666013</v>
      </c>
      <c r="L476" s="43" t="s">
        <v>391</v>
      </c>
      <c r="M476" s="44">
        <v>15.5</v>
      </c>
      <c r="N476" s="43">
        <v>161</v>
      </c>
      <c r="O476" s="43">
        <v>36.5</v>
      </c>
      <c r="P476" s="43" t="s">
        <v>102</v>
      </c>
      <c r="Q476" s="43">
        <v>28.7</v>
      </c>
      <c r="R476" s="43">
        <v>266</v>
      </c>
      <c r="S476" s="43">
        <v>43.3</v>
      </c>
      <c r="T476" s="2" t="s">
        <v>575</v>
      </c>
      <c r="U476" s="2" t="str">
        <f>U473</f>
        <v>監測</v>
      </c>
      <c r="V476" s="79" t="s">
        <v>2996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2939</v>
      </c>
      <c r="AE476" s="40"/>
      <c r="AF476" s="40" t="s">
        <v>2939</v>
      </c>
      <c r="AG476" s="40"/>
      <c r="AH476" s="40" t="s">
        <v>2939</v>
      </c>
      <c r="AI476" s="40"/>
      <c r="AJ476" s="79" t="s">
        <v>303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2393</v>
      </c>
      <c r="C477" s="40">
        <v>1684</v>
      </c>
      <c r="D477" s="38" t="s">
        <v>2386</v>
      </c>
      <c r="E477" s="40" t="s">
        <v>2929</v>
      </c>
      <c r="F477" s="40" t="s">
        <v>3624</v>
      </c>
      <c r="G477" s="50"/>
      <c r="H477" s="150" t="s">
        <v>5607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2996</v>
      </c>
      <c r="W477" s="39">
        <v>106</v>
      </c>
      <c r="X477" s="40"/>
      <c r="Y477" s="40"/>
      <c r="Z477" s="40" t="s">
        <v>2939</v>
      </c>
      <c r="AA477" s="40"/>
      <c r="AB477" s="40"/>
      <c r="AC477" s="40" t="s">
        <v>2898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2394</v>
      </c>
      <c r="C478" s="40">
        <v>1686</v>
      </c>
      <c r="D478" s="38" t="s">
        <v>2386</v>
      </c>
      <c r="E478" s="40" t="s">
        <v>2929</v>
      </c>
      <c r="F478" s="40" t="s">
        <v>3625</v>
      </c>
      <c r="G478" s="50"/>
      <c r="H478" s="150" t="s">
        <v>5606</v>
      </c>
      <c r="I478" s="50"/>
      <c r="J478" s="43">
        <v>197536.56</v>
      </c>
      <c r="K478" s="43">
        <v>2665964.27</v>
      </c>
      <c r="L478" s="43" t="s">
        <v>40</v>
      </c>
      <c r="M478" s="44">
        <v>11</v>
      </c>
      <c r="N478" s="43">
        <v>73</v>
      </c>
      <c r="O478" s="43">
        <v>67</v>
      </c>
      <c r="P478" s="43" t="s">
        <v>41</v>
      </c>
      <c r="Q478" s="43">
        <v>22</v>
      </c>
      <c r="R478" s="43">
        <v>153</v>
      </c>
      <c r="S478" s="43">
        <v>66</v>
      </c>
      <c r="T478" s="2" t="s">
        <v>306</v>
      </c>
      <c r="U478" s="2" t="s">
        <v>3</v>
      </c>
      <c r="V478" s="79" t="s">
        <v>2996</v>
      </c>
      <c r="W478" s="39">
        <v>113</v>
      </c>
      <c r="X478" s="40"/>
      <c r="Y478" s="40"/>
      <c r="Z478" s="40" t="s">
        <v>2939</v>
      </c>
      <c r="AA478" s="40"/>
      <c r="AB478" s="40"/>
      <c r="AC478" s="40" t="s">
        <v>2898</v>
      </c>
      <c r="AD478" s="40"/>
      <c r="AE478" s="40"/>
      <c r="AF478" s="40"/>
      <c r="AG478" s="40"/>
      <c r="AH478" s="40"/>
      <c r="AI478" s="40"/>
      <c r="AJ478" s="79" t="s">
        <v>306</v>
      </c>
      <c r="AK478" s="196"/>
      <c r="AL478" s="46" t="s">
        <v>3018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2395</v>
      </c>
      <c r="C479" s="83">
        <v>1687</v>
      </c>
      <c r="D479" s="113" t="s">
        <v>2386</v>
      </c>
      <c r="E479" s="83" t="s">
        <v>2929</v>
      </c>
      <c r="F479" s="83" t="s">
        <v>3626</v>
      </c>
      <c r="G479" s="138"/>
      <c r="H479" s="340" t="s">
        <v>5607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2996</v>
      </c>
      <c r="W479" s="86">
        <v>106</v>
      </c>
      <c r="X479" s="83"/>
      <c r="Y479" s="83"/>
      <c r="Z479" s="83" t="s">
        <v>2939</v>
      </c>
      <c r="AA479" s="83"/>
      <c r="AB479" s="83"/>
      <c r="AC479" s="83" t="s">
        <v>2898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2399</v>
      </c>
      <c r="C480" s="40">
        <v>136</v>
      </c>
      <c r="D480" s="38" t="s">
        <v>2396</v>
      </c>
      <c r="E480" s="40" t="s">
        <v>2963</v>
      </c>
      <c r="F480" s="40" t="s">
        <v>3627</v>
      </c>
      <c r="G480" s="50" t="s">
        <v>5604</v>
      </c>
      <c r="H480" s="150" t="s">
        <v>5606</v>
      </c>
      <c r="I480" s="50" t="s">
        <v>5609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2907</v>
      </c>
      <c r="U480" s="2" t="s">
        <v>3</v>
      </c>
      <c r="V480" s="39" t="s">
        <v>3004</v>
      </c>
      <c r="W480" s="39">
        <v>106</v>
      </c>
      <c r="X480" s="40"/>
      <c r="Y480" s="40"/>
      <c r="Z480" s="40" t="s">
        <v>2939</v>
      </c>
      <c r="AA480" s="40"/>
      <c r="AB480" s="40"/>
      <c r="AC480" s="40" t="s">
        <v>2898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2400</v>
      </c>
      <c r="C481" s="40">
        <v>1683</v>
      </c>
      <c r="D481" s="38" t="s">
        <v>2396</v>
      </c>
      <c r="E481" s="40" t="s">
        <v>2929</v>
      </c>
      <c r="F481" s="40" t="s">
        <v>3628</v>
      </c>
      <c r="G481" s="50"/>
      <c r="H481" s="150" t="s">
        <v>5608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130</v>
      </c>
      <c r="U481" s="2" t="s">
        <v>2916</v>
      </c>
      <c r="V481" s="39" t="s">
        <v>3004</v>
      </c>
      <c r="W481" s="39">
        <v>103</v>
      </c>
      <c r="X481" s="40"/>
      <c r="Y481" s="40"/>
      <c r="Z481" s="40" t="s">
        <v>2939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2405</v>
      </c>
      <c r="C482" s="40">
        <v>130</v>
      </c>
      <c r="D482" s="38" t="s">
        <v>2402</v>
      </c>
      <c r="E482" s="40" t="s">
        <v>2963</v>
      </c>
      <c r="F482" s="40" t="s">
        <v>3629</v>
      </c>
      <c r="G482" s="50" t="s">
        <v>5604</v>
      </c>
      <c r="H482" s="150" t="s">
        <v>5608</v>
      </c>
      <c r="I482" s="50" t="s">
        <v>5609</v>
      </c>
      <c r="J482" s="43">
        <v>197953.57973500001</v>
      </c>
      <c r="K482" s="43">
        <v>2665916.08709</v>
      </c>
      <c r="L482" s="43" t="s">
        <v>655</v>
      </c>
      <c r="M482" s="44">
        <v>9.67</v>
      </c>
      <c r="N482" s="43">
        <v>137</v>
      </c>
      <c r="O482" s="43">
        <v>129</v>
      </c>
      <c r="P482" s="43" t="s">
        <v>278</v>
      </c>
      <c r="Q482" s="43">
        <v>34.9</v>
      </c>
      <c r="R482" s="43">
        <v>574</v>
      </c>
      <c r="S482" s="43">
        <v>167</v>
      </c>
      <c r="T482" s="79" t="s">
        <v>708</v>
      </c>
      <c r="U482" s="2" t="s">
        <v>56</v>
      </c>
      <c r="V482" s="79" t="s">
        <v>2996</v>
      </c>
      <c r="W482" s="39">
        <v>109</v>
      </c>
      <c r="X482" s="40"/>
      <c r="Y482" s="40"/>
      <c r="Z482" s="40" t="s">
        <v>2939</v>
      </c>
      <c r="AA482" s="40"/>
      <c r="AB482" s="40"/>
      <c r="AC482" s="40" t="s">
        <v>2939</v>
      </c>
      <c r="AD482" s="40"/>
      <c r="AE482" s="40"/>
      <c r="AF482" s="40" t="s">
        <v>2943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2406</v>
      </c>
      <c r="C483" s="40">
        <v>132</v>
      </c>
      <c r="D483" s="38" t="s">
        <v>2404</v>
      </c>
      <c r="E483" s="40" t="s">
        <v>2963</v>
      </c>
      <c r="F483" s="40" t="s">
        <v>3630</v>
      </c>
      <c r="G483" s="50" t="s">
        <v>5604</v>
      </c>
      <c r="H483" s="150" t="s">
        <v>5606</v>
      </c>
      <c r="I483" s="50" t="s">
        <v>5609</v>
      </c>
      <c r="J483" s="43">
        <v>197885.242673</v>
      </c>
      <c r="K483" s="43">
        <v>2665842.2428000001</v>
      </c>
      <c r="L483" s="43" t="s">
        <v>2407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575</v>
      </c>
      <c r="U483" s="2" t="s">
        <v>8</v>
      </c>
      <c r="V483" s="79" t="s">
        <v>2996</v>
      </c>
      <c r="W483" s="39">
        <v>113</v>
      </c>
      <c r="X483" s="40"/>
      <c r="Y483" s="40"/>
      <c r="Z483" s="40" t="s">
        <v>2939</v>
      </c>
      <c r="AA483" s="40"/>
      <c r="AB483" s="40"/>
      <c r="AC483" s="40" t="s">
        <v>2939</v>
      </c>
      <c r="AD483" s="40"/>
      <c r="AE483" s="40"/>
      <c r="AF483" s="40" t="s">
        <v>2939</v>
      </c>
      <c r="AG483" s="40"/>
      <c r="AH483" s="40" t="s">
        <v>2939</v>
      </c>
      <c r="AI483" s="40"/>
      <c r="AJ483" s="79" t="s">
        <v>303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2408</v>
      </c>
      <c r="C484" s="40">
        <v>133</v>
      </c>
      <c r="D484" s="38" t="s">
        <v>2404</v>
      </c>
      <c r="E484" s="40" t="s">
        <v>2963</v>
      </c>
      <c r="F484" s="40" t="s">
        <v>3631</v>
      </c>
      <c r="G484" s="50" t="s">
        <v>5604</v>
      </c>
      <c r="H484" s="150" t="s">
        <v>5606</v>
      </c>
      <c r="I484" s="50" t="s">
        <v>5609</v>
      </c>
      <c r="J484" s="43">
        <v>197891.96</v>
      </c>
      <c r="K484" s="43">
        <v>2665833.27</v>
      </c>
      <c r="L484" s="43" t="s">
        <v>40</v>
      </c>
      <c r="M484" s="44">
        <v>9</v>
      </c>
      <c r="N484" s="43">
        <v>114</v>
      </c>
      <c r="O484" s="43">
        <v>153</v>
      </c>
      <c r="P484" s="43" t="s">
        <v>41</v>
      </c>
      <c r="Q484" s="43">
        <v>30</v>
      </c>
      <c r="R484" s="43">
        <v>362</v>
      </c>
      <c r="S484" s="43">
        <v>180</v>
      </c>
      <c r="T484" s="2" t="s">
        <v>575</v>
      </c>
      <c r="U484" s="2" t="s">
        <v>8</v>
      </c>
      <c r="V484" s="79" t="s">
        <v>2996</v>
      </c>
      <c r="W484" s="39">
        <v>113</v>
      </c>
      <c r="X484" s="40"/>
      <c r="Y484" s="40"/>
      <c r="Z484" s="40" t="s">
        <v>2939</v>
      </c>
      <c r="AA484" s="40"/>
      <c r="AB484" s="40"/>
      <c r="AC484" s="40" t="s">
        <v>2939</v>
      </c>
      <c r="AD484" s="40"/>
      <c r="AE484" s="40"/>
      <c r="AF484" s="40"/>
      <c r="AG484" s="40" t="s">
        <v>2939</v>
      </c>
      <c r="AH484" s="40"/>
      <c r="AI484" s="40"/>
      <c r="AJ484" s="79" t="s">
        <v>303</v>
      </c>
      <c r="AK484" s="196"/>
      <c r="AL484" s="46" t="s">
        <v>3019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2410</v>
      </c>
      <c r="C485" s="40">
        <v>2447</v>
      </c>
      <c r="D485" s="38" t="s">
        <v>2404</v>
      </c>
      <c r="E485" s="40" t="s">
        <v>2963</v>
      </c>
      <c r="F485" s="40" t="s">
        <v>3632</v>
      </c>
      <c r="G485" s="50" t="s">
        <v>5604</v>
      </c>
      <c r="H485" s="150" t="s">
        <v>5608</v>
      </c>
      <c r="I485" s="50" t="s">
        <v>5609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708</v>
      </c>
      <c r="U485" s="2" t="str">
        <f>U482</f>
        <v>管制</v>
      </c>
      <c r="V485" s="79" t="s">
        <v>2996</v>
      </c>
      <c r="W485" s="39">
        <v>109</v>
      </c>
      <c r="X485" s="40"/>
      <c r="Y485" s="40"/>
      <c r="Z485" s="40" t="s">
        <v>2939</v>
      </c>
      <c r="AA485" s="40"/>
      <c r="AB485" s="40"/>
      <c r="AC485" s="40" t="s">
        <v>2939</v>
      </c>
      <c r="AD485" s="40"/>
      <c r="AE485" s="40"/>
      <c r="AF485" s="40" t="s">
        <v>2943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2411</v>
      </c>
      <c r="C486" s="40">
        <v>2448</v>
      </c>
      <c r="D486" s="38" t="s">
        <v>2404</v>
      </c>
      <c r="E486" s="40" t="s">
        <v>2963</v>
      </c>
      <c r="F486" s="40" t="s">
        <v>3633</v>
      </c>
      <c r="G486" s="50" t="s">
        <v>5604</v>
      </c>
      <c r="H486" s="150" t="s">
        <v>5608</v>
      </c>
      <c r="I486" s="50" t="s">
        <v>5609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708</v>
      </c>
      <c r="U486" s="2" t="str">
        <f>U482</f>
        <v>管制</v>
      </c>
      <c r="V486" s="79" t="s">
        <v>2996</v>
      </c>
      <c r="W486" s="39">
        <v>109</v>
      </c>
      <c r="X486" s="40"/>
      <c r="Y486" s="40"/>
      <c r="Z486" s="40"/>
      <c r="AA486" s="40"/>
      <c r="AB486" s="40"/>
      <c r="AC486" s="40" t="s">
        <v>2939</v>
      </c>
      <c r="AD486" s="40"/>
      <c r="AE486" s="40"/>
      <c r="AF486" s="40" t="s">
        <v>2943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2412</v>
      </c>
      <c r="C487" s="83">
        <v>2449</v>
      </c>
      <c r="D487" s="113" t="s">
        <v>2404</v>
      </c>
      <c r="E487" s="83" t="s">
        <v>2963</v>
      </c>
      <c r="F487" s="83" t="s">
        <v>3634</v>
      </c>
      <c r="G487" s="138" t="s">
        <v>5604</v>
      </c>
      <c r="H487" s="340" t="s">
        <v>5608</v>
      </c>
      <c r="I487" s="138" t="s">
        <v>5609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708</v>
      </c>
      <c r="U487" s="85" t="str">
        <f>U482</f>
        <v>管制</v>
      </c>
      <c r="V487" s="68" t="s">
        <v>2996</v>
      </c>
      <c r="W487" s="86">
        <v>109</v>
      </c>
      <c r="X487" s="83"/>
      <c r="Y487" s="83"/>
      <c r="Z487" s="83"/>
      <c r="AA487" s="83"/>
      <c r="AB487" s="83"/>
      <c r="AC487" s="83" t="s">
        <v>2939</v>
      </c>
      <c r="AD487" s="83"/>
      <c r="AE487" s="83"/>
      <c r="AF487" s="83" t="s">
        <v>2943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2449</v>
      </c>
      <c r="C488" s="29">
        <v>193</v>
      </c>
      <c r="D488" s="27" t="s">
        <v>2427</v>
      </c>
      <c r="E488" s="29" t="s">
        <v>2963</v>
      </c>
      <c r="F488" s="29" t="s">
        <v>3635</v>
      </c>
      <c r="G488" s="192" t="s">
        <v>5604</v>
      </c>
      <c r="H488" s="145" t="s">
        <v>5606</v>
      </c>
      <c r="I488" s="192" t="s">
        <v>5609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575</v>
      </c>
      <c r="U488" s="30" t="s">
        <v>3</v>
      </c>
      <c r="V488" s="28" t="s">
        <v>3004</v>
      </c>
      <c r="W488" s="28">
        <v>109</v>
      </c>
      <c r="X488" s="29"/>
      <c r="Y488" s="102"/>
      <c r="Z488" s="29"/>
      <c r="AA488" s="29"/>
      <c r="AB488" s="29"/>
      <c r="AC488" s="29" t="s">
        <v>2898</v>
      </c>
      <c r="AD488" s="29"/>
      <c r="AE488" s="29"/>
      <c r="AF488" s="29" t="s">
        <v>2939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2450</v>
      </c>
      <c r="C489" s="83">
        <v>194</v>
      </c>
      <c r="D489" s="113" t="s">
        <v>2427</v>
      </c>
      <c r="E489" s="83" t="s">
        <v>2963</v>
      </c>
      <c r="F489" s="83" t="s">
        <v>3636</v>
      </c>
      <c r="G489" s="138" t="s">
        <v>5604</v>
      </c>
      <c r="H489" s="340" t="s">
        <v>5606</v>
      </c>
      <c r="I489" s="138" t="s">
        <v>5609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3020</v>
      </c>
      <c r="U489" s="85" t="s">
        <v>8</v>
      </c>
      <c r="V489" s="86" t="s">
        <v>3004</v>
      </c>
      <c r="W489" s="86">
        <v>109</v>
      </c>
      <c r="X489" s="83"/>
      <c r="Y489" s="137"/>
      <c r="Z489" s="83" t="s">
        <v>2939</v>
      </c>
      <c r="AA489" s="83"/>
      <c r="AB489" s="83"/>
      <c r="AC489" s="83" t="s">
        <v>2939</v>
      </c>
      <c r="AD489" s="83"/>
      <c r="AE489" s="83"/>
      <c r="AF489" s="83" t="s">
        <v>2939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3022</v>
      </c>
      <c r="C490" s="269">
        <v>661</v>
      </c>
      <c r="D490" s="17" t="s">
        <v>3021</v>
      </c>
      <c r="E490" s="19" t="s">
        <v>2915</v>
      </c>
      <c r="F490" s="19" t="s">
        <v>3637</v>
      </c>
      <c r="G490" s="255" t="s">
        <v>5604</v>
      </c>
      <c r="H490" s="434" t="s">
        <v>5606</v>
      </c>
      <c r="I490" s="255" t="s">
        <v>5609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575</v>
      </c>
      <c r="U490" s="20" t="s">
        <v>8</v>
      </c>
      <c r="V490" s="18" t="s">
        <v>2996</v>
      </c>
      <c r="W490" s="222">
        <v>114</v>
      </c>
      <c r="X490" s="19"/>
      <c r="Y490" s="19"/>
      <c r="Z490" s="19" t="s">
        <v>2943</v>
      </c>
      <c r="AA490" s="19"/>
      <c r="AB490" s="19"/>
      <c r="AC490" s="19"/>
      <c r="AD490" s="19" t="s">
        <v>2939</v>
      </c>
      <c r="AE490" s="19"/>
      <c r="AF490" s="19"/>
      <c r="AG490" s="19" t="s">
        <v>2939</v>
      </c>
      <c r="AH490" s="19"/>
      <c r="AI490" s="19"/>
      <c r="AJ490" s="222"/>
      <c r="AK490" s="256" t="s">
        <v>303</v>
      </c>
      <c r="AL490" s="116"/>
      <c r="AM490" s="16">
        <v>114</v>
      </c>
    </row>
    <row r="491" spans="1:48" x14ac:dyDescent="0.3">
      <c r="A491" s="15">
        <v>490</v>
      </c>
      <c r="B491" s="29" t="s">
        <v>3023</v>
      </c>
      <c r="C491" s="29">
        <v>1580</v>
      </c>
      <c r="D491" s="27" t="s">
        <v>2544</v>
      </c>
      <c r="E491" s="29" t="s">
        <v>2929</v>
      </c>
      <c r="F491" s="29" t="s">
        <v>3638</v>
      </c>
      <c r="G491" s="192" t="s">
        <v>5604</v>
      </c>
      <c r="H491" s="145" t="s">
        <v>5606</v>
      </c>
      <c r="I491" s="192" t="s">
        <v>5609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306</v>
      </c>
      <c r="U491" s="30" t="s">
        <v>306</v>
      </c>
      <c r="V491" s="141" t="s">
        <v>1114</v>
      </c>
      <c r="W491" s="28">
        <v>114</v>
      </c>
      <c r="X491" s="29"/>
      <c r="Y491" s="29"/>
      <c r="Z491" s="29" t="s">
        <v>2939</v>
      </c>
      <c r="AA491" s="29"/>
      <c r="AB491" s="29"/>
      <c r="AC491" s="29" t="s">
        <v>2898</v>
      </c>
      <c r="AD491" s="29"/>
      <c r="AE491" s="29"/>
      <c r="AF491" s="29" t="s">
        <v>2939</v>
      </c>
      <c r="AG491" s="29"/>
      <c r="AH491" s="29"/>
      <c r="AI491" s="29"/>
      <c r="AJ491" s="28"/>
      <c r="AK491" s="254" t="s">
        <v>306</v>
      </c>
      <c r="AL491" s="105"/>
      <c r="AM491" s="219">
        <v>114</v>
      </c>
    </row>
    <row r="492" spans="1:48" x14ac:dyDescent="0.3">
      <c r="A492" s="15">
        <v>491</v>
      </c>
      <c r="B492" s="40" t="s">
        <v>2545</v>
      </c>
      <c r="C492" s="40">
        <v>1581</v>
      </c>
      <c r="D492" s="38" t="s">
        <v>2544</v>
      </c>
      <c r="E492" s="40" t="s">
        <v>2929</v>
      </c>
      <c r="F492" s="40" t="s">
        <v>3639</v>
      </c>
      <c r="G492" s="50"/>
      <c r="H492" s="150" t="s">
        <v>5607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1114</v>
      </c>
      <c r="W492" s="39">
        <v>106</v>
      </c>
      <c r="X492" s="40"/>
      <c r="Y492" s="40"/>
      <c r="Z492" s="40" t="s">
        <v>2939</v>
      </c>
      <c r="AA492" s="40"/>
      <c r="AB492" s="40"/>
      <c r="AC492" s="40" t="s">
        <v>2898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3024</v>
      </c>
      <c r="C493" s="40">
        <v>1592</v>
      </c>
      <c r="D493" s="38" t="s">
        <v>2544</v>
      </c>
      <c r="E493" s="40" t="s">
        <v>2929</v>
      </c>
      <c r="F493" s="40" t="s">
        <v>3640</v>
      </c>
      <c r="G493" s="50" t="s">
        <v>5604</v>
      </c>
      <c r="H493" s="150" t="s">
        <v>5606</v>
      </c>
      <c r="I493" s="50" t="s">
        <v>5609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306</v>
      </c>
      <c r="U493" s="2" t="s">
        <v>306</v>
      </c>
      <c r="V493" s="79" t="s">
        <v>1114</v>
      </c>
      <c r="W493" s="39">
        <v>114</v>
      </c>
      <c r="X493" s="40"/>
      <c r="Y493" s="40"/>
      <c r="Z493" s="40" t="s">
        <v>2939</v>
      </c>
      <c r="AA493" s="40"/>
      <c r="AB493" s="40"/>
      <c r="AC493" s="40" t="s">
        <v>2898</v>
      </c>
      <c r="AD493" s="40"/>
      <c r="AE493" s="40"/>
      <c r="AF493" s="40" t="s">
        <v>2939</v>
      </c>
      <c r="AG493" s="40"/>
      <c r="AH493" s="40"/>
      <c r="AI493" s="40"/>
      <c r="AJ493" s="39"/>
      <c r="AK493" s="196" t="s">
        <v>306</v>
      </c>
      <c r="AL493" s="54"/>
      <c r="AM493" s="53">
        <v>114</v>
      </c>
    </row>
    <row r="494" spans="1:48" x14ac:dyDescent="0.3">
      <c r="A494" s="15">
        <v>493</v>
      </c>
      <c r="B494" s="40" t="s">
        <v>3025</v>
      </c>
      <c r="C494" s="40">
        <v>1642</v>
      </c>
      <c r="D494" s="38" t="s">
        <v>2544</v>
      </c>
      <c r="E494" s="40" t="s">
        <v>2929</v>
      </c>
      <c r="F494" s="40" t="s">
        <v>3641</v>
      </c>
      <c r="G494" s="50" t="s">
        <v>5604</v>
      </c>
      <c r="H494" s="150" t="s">
        <v>5606</v>
      </c>
      <c r="I494" s="50" t="s">
        <v>5609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306</v>
      </c>
      <c r="U494" s="2" t="s">
        <v>306</v>
      </c>
      <c r="V494" s="79" t="s">
        <v>1114</v>
      </c>
      <c r="W494" s="39">
        <v>114</v>
      </c>
      <c r="X494" s="40"/>
      <c r="Y494" s="40"/>
      <c r="Z494" s="40" t="s">
        <v>2939</v>
      </c>
      <c r="AA494" s="40"/>
      <c r="AB494" s="40"/>
      <c r="AC494" s="40"/>
      <c r="AD494" s="40" t="s">
        <v>2898</v>
      </c>
      <c r="AE494" s="40"/>
      <c r="AF494" s="40" t="s">
        <v>2939</v>
      </c>
      <c r="AG494" s="40"/>
      <c r="AH494" s="40"/>
      <c r="AI494" s="40"/>
      <c r="AJ494" s="39"/>
      <c r="AK494" s="196" t="s">
        <v>306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2544</v>
      </c>
      <c r="E495" s="83" t="s">
        <v>2929</v>
      </c>
      <c r="F495" s="83" t="s">
        <v>3642</v>
      </c>
      <c r="G495" s="138" t="s">
        <v>5604</v>
      </c>
      <c r="H495" s="340" t="s">
        <v>5608</v>
      </c>
      <c r="I495" s="138" t="s">
        <v>5609</v>
      </c>
      <c r="J495" s="88">
        <v>196918</v>
      </c>
      <c r="K495" s="88">
        <v>2666167</v>
      </c>
      <c r="L495" s="88" t="s">
        <v>40</v>
      </c>
      <c r="M495" s="89">
        <v>10</v>
      </c>
      <c r="N495" s="88">
        <v>131</v>
      </c>
      <c r="O495" s="88">
        <v>134</v>
      </c>
      <c r="P495" s="88" t="s">
        <v>41</v>
      </c>
      <c r="Q495" s="88">
        <v>25.6</v>
      </c>
      <c r="R495" s="88">
        <v>297</v>
      </c>
      <c r="S495" s="88">
        <v>199</v>
      </c>
      <c r="T495" s="85" t="s">
        <v>2907</v>
      </c>
      <c r="U495" s="85" t="s">
        <v>8</v>
      </c>
      <c r="V495" s="112" t="s">
        <v>1114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2939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2574</v>
      </c>
      <c r="C496" s="40">
        <v>499</v>
      </c>
      <c r="D496" s="38" t="s">
        <v>3026</v>
      </c>
      <c r="E496" s="40" t="s">
        <v>2963</v>
      </c>
      <c r="F496" s="40" t="s">
        <v>3643</v>
      </c>
      <c r="G496" s="50" t="s">
        <v>5604</v>
      </c>
      <c r="H496" s="150" t="s">
        <v>5606</v>
      </c>
      <c r="I496" s="50" t="s">
        <v>5609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306</v>
      </c>
      <c r="U496" s="2" t="s">
        <v>306</v>
      </c>
      <c r="V496" s="79" t="s">
        <v>1114</v>
      </c>
      <c r="W496" s="39">
        <v>113</v>
      </c>
      <c r="X496" s="40"/>
      <c r="Y496" s="40"/>
      <c r="Z496" s="40"/>
      <c r="AA496" s="40" t="s">
        <v>2939</v>
      </c>
      <c r="AB496" s="40"/>
      <c r="AC496" s="40"/>
      <c r="AD496" s="40"/>
      <c r="AE496" s="40"/>
      <c r="AF496" s="40" t="s">
        <v>2939</v>
      </c>
      <c r="AG496" s="40"/>
      <c r="AH496" s="40"/>
      <c r="AI496" s="40"/>
      <c r="AJ496" s="79" t="s">
        <v>306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2578</v>
      </c>
      <c r="C497" s="40">
        <v>504</v>
      </c>
      <c r="D497" s="38" t="s">
        <v>2572</v>
      </c>
      <c r="E497" s="40" t="s">
        <v>2963</v>
      </c>
      <c r="F497" s="40" t="s">
        <v>3644</v>
      </c>
      <c r="G497" s="50" t="s">
        <v>5604</v>
      </c>
      <c r="H497" s="150" t="s">
        <v>5607</v>
      </c>
      <c r="I497" s="50" t="s">
        <v>5609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192</v>
      </c>
      <c r="Q497" s="43">
        <v>31.5</v>
      </c>
      <c r="R497" s="43">
        <v>264</v>
      </c>
      <c r="S497" s="43">
        <v>101</v>
      </c>
      <c r="T497" s="2" t="s">
        <v>306</v>
      </c>
      <c r="U497" s="2" t="s">
        <v>306</v>
      </c>
      <c r="V497" s="79" t="s">
        <v>1114</v>
      </c>
      <c r="W497" s="39">
        <v>113</v>
      </c>
      <c r="X497" s="40"/>
      <c r="Y497" s="40"/>
      <c r="Z497" s="40"/>
      <c r="AA497" s="40" t="s">
        <v>2939</v>
      </c>
      <c r="AB497" s="40"/>
      <c r="AC497" s="40"/>
      <c r="AD497" s="40"/>
      <c r="AE497" s="40" t="s">
        <v>2898</v>
      </c>
      <c r="AF497" s="40"/>
      <c r="AG497" s="40"/>
      <c r="AH497" s="40"/>
      <c r="AI497" s="40"/>
      <c r="AJ497" s="79" t="s">
        <v>306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2618</v>
      </c>
      <c r="C498" s="29">
        <v>1559</v>
      </c>
      <c r="D498" s="27" t="s">
        <v>2617</v>
      </c>
      <c r="E498" s="29" t="s">
        <v>2929</v>
      </c>
      <c r="F498" s="29" t="s">
        <v>3645</v>
      </c>
      <c r="G498" s="192"/>
      <c r="H498" s="145" t="s">
        <v>5607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2996</v>
      </c>
      <c r="W498" s="28"/>
      <c r="X498" s="33"/>
      <c r="Y498" s="102"/>
      <c r="Z498" s="29"/>
      <c r="AA498" s="29" t="s">
        <v>2939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2618</v>
      </c>
      <c r="C499" s="40">
        <v>1560</v>
      </c>
      <c r="D499" s="38" t="s">
        <v>2617</v>
      </c>
      <c r="E499" s="40" t="s">
        <v>2929</v>
      </c>
      <c r="F499" s="40" t="s">
        <v>3646</v>
      </c>
      <c r="G499" s="50"/>
      <c r="H499" s="150" t="s">
        <v>5607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2996</v>
      </c>
      <c r="W499" s="39"/>
      <c r="X499" s="40"/>
      <c r="Y499" s="106"/>
      <c r="Z499" s="40"/>
      <c r="AA499" s="40" t="s">
        <v>2939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3027</v>
      </c>
      <c r="C500" s="40">
        <v>1561</v>
      </c>
      <c r="D500" s="38" t="s">
        <v>2617</v>
      </c>
      <c r="E500" s="40" t="s">
        <v>2929</v>
      </c>
      <c r="F500" s="40" t="s">
        <v>3647</v>
      </c>
      <c r="G500" s="50" t="s">
        <v>5604</v>
      </c>
      <c r="H500" s="150" t="s">
        <v>5606</v>
      </c>
      <c r="I500" s="50" t="s">
        <v>5609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575</v>
      </c>
      <c r="U500" s="2" t="s">
        <v>8</v>
      </c>
      <c r="V500" s="79" t="s">
        <v>2996</v>
      </c>
      <c r="W500" s="39">
        <v>114</v>
      </c>
      <c r="X500" s="40"/>
      <c r="Y500" s="106"/>
      <c r="Z500" s="40"/>
      <c r="AA500" s="40" t="s">
        <v>2939</v>
      </c>
      <c r="AB500" s="40"/>
      <c r="AC500" s="40"/>
      <c r="AD500" s="40"/>
      <c r="AE500" s="40"/>
      <c r="AF500" s="40" t="s">
        <v>2939</v>
      </c>
      <c r="AG500" s="40"/>
      <c r="AH500" s="40"/>
      <c r="AI500" s="40"/>
      <c r="AJ500" s="39"/>
      <c r="AK500" s="196" t="s">
        <v>303</v>
      </c>
      <c r="AL500" s="54"/>
      <c r="AM500" s="53">
        <v>114</v>
      </c>
    </row>
    <row r="501" spans="1:39" x14ac:dyDescent="0.3">
      <c r="A501" s="15">
        <v>500</v>
      </c>
      <c r="B501" s="40" t="s">
        <v>3028</v>
      </c>
      <c r="C501" s="40">
        <v>1562</v>
      </c>
      <c r="D501" s="38" t="s">
        <v>2617</v>
      </c>
      <c r="E501" s="40" t="s">
        <v>2929</v>
      </c>
      <c r="F501" s="40" t="s">
        <v>3648</v>
      </c>
      <c r="G501" s="50" t="s">
        <v>5604</v>
      </c>
      <c r="H501" s="150" t="s">
        <v>5606</v>
      </c>
      <c r="I501" s="50" t="s">
        <v>5609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2907</v>
      </c>
      <c r="U501" s="2" t="s">
        <v>8</v>
      </c>
      <c r="V501" s="79" t="s">
        <v>2996</v>
      </c>
      <c r="W501" s="39">
        <v>109</v>
      </c>
      <c r="X501" s="40"/>
      <c r="Y501" s="106"/>
      <c r="Z501" s="40"/>
      <c r="AA501" s="40" t="s">
        <v>2939</v>
      </c>
      <c r="AB501" s="40"/>
      <c r="AC501" s="40"/>
      <c r="AD501" s="40"/>
      <c r="AE501" s="40"/>
      <c r="AF501" s="40" t="s">
        <v>2939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3029</v>
      </c>
      <c r="C502" s="83">
        <v>1558</v>
      </c>
      <c r="D502" s="113" t="s">
        <v>2617</v>
      </c>
      <c r="E502" s="83" t="s">
        <v>2929</v>
      </c>
      <c r="F502" s="83" t="s">
        <v>3649</v>
      </c>
      <c r="G502" s="138" t="s">
        <v>5604</v>
      </c>
      <c r="H502" s="340" t="s">
        <v>5606</v>
      </c>
      <c r="I502" s="138" t="s">
        <v>5609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306</v>
      </c>
      <c r="U502" s="85" t="s">
        <v>306</v>
      </c>
      <c r="V502" s="112" t="s">
        <v>2996</v>
      </c>
      <c r="W502" s="86">
        <v>114</v>
      </c>
      <c r="X502" s="83"/>
      <c r="Y502" s="137"/>
      <c r="Z502" s="83"/>
      <c r="AA502" s="83"/>
      <c r="AB502" s="83"/>
      <c r="AC502" s="83" t="s">
        <v>2898</v>
      </c>
      <c r="AD502" s="83"/>
      <c r="AE502" s="83"/>
      <c r="AF502" s="83" t="s">
        <v>2898</v>
      </c>
      <c r="AG502" s="83"/>
      <c r="AH502" s="83"/>
      <c r="AI502" s="83"/>
      <c r="AJ502" s="86"/>
      <c r="AK502" s="197" t="s">
        <v>306</v>
      </c>
      <c r="AL502" s="157"/>
      <c r="AM502" s="252">
        <v>114</v>
      </c>
    </row>
    <row r="503" spans="1:39" x14ac:dyDescent="0.3">
      <c r="A503" s="15">
        <v>502</v>
      </c>
      <c r="B503" s="29" t="s">
        <v>2636</v>
      </c>
      <c r="C503" s="29">
        <v>160</v>
      </c>
      <c r="D503" s="27" t="s">
        <v>2635</v>
      </c>
      <c r="E503" s="29" t="s">
        <v>2963</v>
      </c>
      <c r="F503" s="29" t="s">
        <v>3650</v>
      </c>
      <c r="G503" s="192"/>
      <c r="H503" s="145" t="s">
        <v>5607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2996</v>
      </c>
      <c r="W503" s="28">
        <v>106</v>
      </c>
      <c r="X503" s="29"/>
      <c r="Y503" s="29"/>
      <c r="Z503" s="29" t="s">
        <v>2939</v>
      </c>
      <c r="AA503" s="29"/>
      <c r="AB503" s="29"/>
      <c r="AC503" s="29" t="s">
        <v>2939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3030</v>
      </c>
      <c r="C504" s="40">
        <v>163</v>
      </c>
      <c r="D504" s="38" t="s">
        <v>2635</v>
      </c>
      <c r="E504" s="40" t="s">
        <v>2963</v>
      </c>
      <c r="F504" s="40" t="s">
        <v>3651</v>
      </c>
      <c r="G504" s="50" t="s">
        <v>5604</v>
      </c>
      <c r="H504" s="150" t="s">
        <v>5606</v>
      </c>
      <c r="I504" s="50" t="s">
        <v>5609</v>
      </c>
      <c r="J504" s="43">
        <v>197005.693164</v>
      </c>
      <c r="K504" s="43">
        <v>2666420.0020300001</v>
      </c>
      <c r="L504" s="43" t="s">
        <v>644</v>
      </c>
      <c r="M504" s="44">
        <v>10.4</v>
      </c>
      <c r="N504" s="43">
        <v>171</v>
      </c>
      <c r="O504" s="43">
        <v>159</v>
      </c>
      <c r="P504" s="43" t="s">
        <v>97</v>
      </c>
      <c r="Q504" s="43">
        <v>27.7</v>
      </c>
      <c r="R504" s="43">
        <v>445</v>
      </c>
      <c r="S504" s="43">
        <v>197</v>
      </c>
      <c r="T504" s="2" t="s">
        <v>575</v>
      </c>
      <c r="U504" s="2" t="s">
        <v>8</v>
      </c>
      <c r="V504" s="79" t="s">
        <v>2996</v>
      </c>
      <c r="W504" s="39">
        <v>114</v>
      </c>
      <c r="X504" s="40"/>
      <c r="Y504" s="40"/>
      <c r="Z504" s="40" t="s">
        <v>2943</v>
      </c>
      <c r="AA504" s="40"/>
      <c r="AB504" s="40"/>
      <c r="AC504" s="40" t="s">
        <v>2939</v>
      </c>
      <c r="AD504" s="40"/>
      <c r="AE504" s="40"/>
      <c r="AF504" s="40" t="s">
        <v>2939</v>
      </c>
      <c r="AG504" s="40"/>
      <c r="AH504" s="40"/>
      <c r="AI504" s="40"/>
      <c r="AJ504" s="39"/>
      <c r="AK504" s="196" t="s">
        <v>303</v>
      </c>
      <c r="AL504" s="54"/>
      <c r="AM504" s="53">
        <v>114</v>
      </c>
    </row>
    <row r="505" spans="1:39" x14ac:dyDescent="0.3">
      <c r="A505" s="15">
        <v>504</v>
      </c>
      <c r="B505" s="40" t="s">
        <v>2637</v>
      </c>
      <c r="C505" s="40">
        <v>165</v>
      </c>
      <c r="D505" s="38" t="s">
        <v>2635</v>
      </c>
      <c r="E505" s="40" t="s">
        <v>2963</v>
      </c>
      <c r="F505" s="40" t="s">
        <v>3652</v>
      </c>
      <c r="G505" s="50" t="s">
        <v>5604</v>
      </c>
      <c r="H505" s="150" t="s">
        <v>5607</v>
      </c>
      <c r="I505" s="50" t="s">
        <v>5609</v>
      </c>
      <c r="J505" s="43">
        <v>196978.76411399999</v>
      </c>
      <c r="K505" s="43">
        <v>2666542.6981899999</v>
      </c>
      <c r="L505" s="43" t="s">
        <v>1751</v>
      </c>
      <c r="M505" s="44">
        <v>10.7</v>
      </c>
      <c r="N505" s="43">
        <v>94.3</v>
      </c>
      <c r="O505" s="43">
        <v>113</v>
      </c>
      <c r="P505" s="43" t="s">
        <v>138</v>
      </c>
      <c r="Q505" s="43">
        <v>22.8</v>
      </c>
      <c r="R505" s="43">
        <v>385</v>
      </c>
      <c r="S505" s="43">
        <v>170</v>
      </c>
      <c r="T505" s="2" t="s">
        <v>575</v>
      </c>
      <c r="U505" s="2" t="s">
        <v>8</v>
      </c>
      <c r="V505" s="79" t="s">
        <v>2996</v>
      </c>
      <c r="W505" s="39">
        <v>109</v>
      </c>
      <c r="X505" s="40"/>
      <c r="Y505" s="40"/>
      <c r="Z505" s="40" t="s">
        <v>2939</v>
      </c>
      <c r="AA505" s="40"/>
      <c r="AB505" s="40"/>
      <c r="AC505" s="40"/>
      <c r="AD505" s="40"/>
      <c r="AE505" s="40"/>
      <c r="AF505" s="40" t="s">
        <v>2939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2638</v>
      </c>
      <c r="C506" s="40">
        <v>161</v>
      </c>
      <c r="D506" s="38" t="s">
        <v>2635</v>
      </c>
      <c r="E506" s="40" t="s">
        <v>2963</v>
      </c>
      <c r="F506" s="40" t="s">
        <v>3653</v>
      </c>
      <c r="G506" s="50" t="s">
        <v>5604</v>
      </c>
      <c r="H506" s="150" t="s">
        <v>5607</v>
      </c>
      <c r="I506" s="50" t="s">
        <v>5609</v>
      </c>
      <c r="J506" s="43">
        <v>197002.947701</v>
      </c>
      <c r="K506" s="43">
        <v>2666387.5396400001</v>
      </c>
      <c r="L506" s="43" t="s">
        <v>1126</v>
      </c>
      <c r="M506" s="44">
        <v>11.9</v>
      </c>
      <c r="N506" s="43">
        <v>161</v>
      </c>
      <c r="O506" s="43">
        <v>128</v>
      </c>
      <c r="P506" s="43" t="s">
        <v>138</v>
      </c>
      <c r="Q506" s="43">
        <v>31.7</v>
      </c>
      <c r="R506" s="43">
        <v>381</v>
      </c>
      <c r="S506" s="43">
        <v>175</v>
      </c>
      <c r="T506" s="2" t="s">
        <v>575</v>
      </c>
      <c r="U506" s="2" t="s">
        <v>8</v>
      </c>
      <c r="V506" s="79" t="s">
        <v>2996</v>
      </c>
      <c r="W506" s="39">
        <v>109</v>
      </c>
      <c r="X506" s="40"/>
      <c r="Y506" s="40"/>
      <c r="Z506" s="40" t="s">
        <v>2939</v>
      </c>
      <c r="AA506" s="40"/>
      <c r="AB506" s="40"/>
      <c r="AC506" s="40" t="s">
        <v>2898</v>
      </c>
      <c r="AD506" s="40"/>
      <c r="AE506" s="40"/>
      <c r="AF506" s="40" t="s">
        <v>2939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2639</v>
      </c>
      <c r="C507" s="40">
        <v>162</v>
      </c>
      <c r="D507" s="38" t="s">
        <v>2635</v>
      </c>
      <c r="E507" s="40" t="s">
        <v>2963</v>
      </c>
      <c r="F507" s="40" t="s">
        <v>3654</v>
      </c>
      <c r="G507" s="50" t="s">
        <v>5604</v>
      </c>
      <c r="H507" s="150" t="s">
        <v>5607</v>
      </c>
      <c r="I507" s="50" t="s">
        <v>5609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97</v>
      </c>
      <c r="Q507" s="43">
        <v>31.3</v>
      </c>
      <c r="R507" s="43">
        <v>398</v>
      </c>
      <c r="S507" s="43">
        <v>180</v>
      </c>
      <c r="T507" s="2" t="s">
        <v>575</v>
      </c>
      <c r="U507" s="2" t="s">
        <v>8</v>
      </c>
      <c r="V507" s="79" t="s">
        <v>2996</v>
      </c>
      <c r="W507" s="39">
        <v>109</v>
      </c>
      <c r="X507" s="40"/>
      <c r="Y507" s="40"/>
      <c r="Z507" s="40" t="s">
        <v>2939</v>
      </c>
      <c r="AA507" s="40"/>
      <c r="AB507" s="40"/>
      <c r="AC507" s="40"/>
      <c r="AD507" s="40" t="s">
        <v>2898</v>
      </c>
      <c r="AE507" s="40"/>
      <c r="AF507" s="40" t="s">
        <v>2939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2635</v>
      </c>
      <c r="E508" s="40" t="s">
        <v>2963</v>
      </c>
      <c r="F508" s="40" t="s">
        <v>3655</v>
      </c>
      <c r="G508" s="50"/>
      <c r="H508" s="150" t="s">
        <v>5607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2996</v>
      </c>
      <c r="W508" s="39">
        <v>106</v>
      </c>
      <c r="X508" s="40"/>
      <c r="Y508" s="40"/>
      <c r="Z508" s="40"/>
      <c r="AA508" s="40"/>
      <c r="AB508" s="40"/>
      <c r="AC508" s="40" t="s">
        <v>2939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3031</v>
      </c>
      <c r="C509" s="40">
        <v>1582</v>
      </c>
      <c r="D509" s="38" t="s">
        <v>2635</v>
      </c>
      <c r="E509" s="40" t="s">
        <v>2929</v>
      </c>
      <c r="F509" s="40" t="s">
        <v>3656</v>
      </c>
      <c r="G509" s="50" t="s">
        <v>5604</v>
      </c>
      <c r="H509" s="150" t="s">
        <v>5606</v>
      </c>
      <c r="I509" s="50" t="s">
        <v>5609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306</v>
      </c>
      <c r="U509" s="2" t="s">
        <v>306</v>
      </c>
      <c r="V509" s="79" t="s">
        <v>2996</v>
      </c>
      <c r="W509" s="39">
        <v>114</v>
      </c>
      <c r="X509" s="40"/>
      <c r="Y509" s="40"/>
      <c r="Z509" s="40" t="s">
        <v>2939</v>
      </c>
      <c r="AA509" s="40"/>
      <c r="AB509" s="40"/>
      <c r="AC509" s="40" t="s">
        <v>2898</v>
      </c>
      <c r="AD509" s="40"/>
      <c r="AE509" s="40"/>
      <c r="AF509" s="40" t="s">
        <v>2939</v>
      </c>
      <c r="AG509" s="40"/>
      <c r="AH509" s="40"/>
      <c r="AI509" s="40"/>
      <c r="AJ509" s="39"/>
      <c r="AK509" s="196" t="s">
        <v>306</v>
      </c>
      <c r="AL509" s="54"/>
      <c r="AM509" s="53">
        <v>114</v>
      </c>
    </row>
    <row r="510" spans="1:39" x14ac:dyDescent="0.3">
      <c r="A510" s="15">
        <v>509</v>
      </c>
      <c r="B510" s="40" t="s">
        <v>3032</v>
      </c>
      <c r="C510" s="40">
        <v>1583</v>
      </c>
      <c r="D510" s="38" t="s">
        <v>2635</v>
      </c>
      <c r="E510" s="40" t="s">
        <v>2929</v>
      </c>
      <c r="F510" s="40" t="s">
        <v>3657</v>
      </c>
      <c r="G510" s="50" t="s">
        <v>5604</v>
      </c>
      <c r="H510" s="150" t="s">
        <v>5606</v>
      </c>
      <c r="I510" s="50" t="s">
        <v>5609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306</v>
      </c>
      <c r="U510" s="2" t="s">
        <v>306</v>
      </c>
      <c r="V510" s="79" t="s">
        <v>2996</v>
      </c>
      <c r="W510" s="39">
        <v>114</v>
      </c>
      <c r="X510" s="40"/>
      <c r="Y510" s="40"/>
      <c r="Z510" s="40" t="s">
        <v>2939</v>
      </c>
      <c r="AA510" s="40"/>
      <c r="AB510" s="40"/>
      <c r="AC510" s="40" t="s">
        <v>2898</v>
      </c>
      <c r="AD510" s="40"/>
      <c r="AE510" s="40"/>
      <c r="AF510" s="40" t="s">
        <v>2939</v>
      </c>
      <c r="AG510" s="40"/>
      <c r="AH510" s="40"/>
      <c r="AI510" s="40"/>
      <c r="AJ510" s="39"/>
      <c r="AK510" s="196" t="s">
        <v>306</v>
      </c>
      <c r="AL510" s="54"/>
      <c r="AM510" s="53">
        <v>114</v>
      </c>
    </row>
    <row r="511" spans="1:39" x14ac:dyDescent="0.3">
      <c r="A511" s="15">
        <v>510</v>
      </c>
      <c r="B511" s="40" t="s">
        <v>2640</v>
      </c>
      <c r="C511" s="40">
        <v>1584</v>
      </c>
      <c r="D511" s="38" t="s">
        <v>2635</v>
      </c>
      <c r="E511" s="40" t="s">
        <v>2929</v>
      </c>
      <c r="F511" s="40" t="s">
        <v>3658</v>
      </c>
      <c r="G511" s="50" t="s">
        <v>5604</v>
      </c>
      <c r="H511" s="150" t="s">
        <v>5608</v>
      </c>
      <c r="I511" s="50" t="s">
        <v>5609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306</v>
      </c>
      <c r="U511" s="2" t="s">
        <v>3</v>
      </c>
      <c r="V511" s="79" t="s">
        <v>2996</v>
      </c>
      <c r="W511" s="39">
        <v>109</v>
      </c>
      <c r="X511" s="40"/>
      <c r="Y511" s="40"/>
      <c r="Z511" s="40" t="s">
        <v>2939</v>
      </c>
      <c r="AA511" s="40"/>
      <c r="AB511" s="40"/>
      <c r="AC511" s="40" t="s">
        <v>2898</v>
      </c>
      <c r="AD511" s="40"/>
      <c r="AE511" s="40"/>
      <c r="AF511" s="40" t="s">
        <v>2898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2635</v>
      </c>
      <c r="E512" s="40" t="s">
        <v>2929</v>
      </c>
      <c r="F512" s="40" t="s">
        <v>3659</v>
      </c>
      <c r="G512" s="50" t="s">
        <v>5604</v>
      </c>
      <c r="H512" s="150" t="s">
        <v>5608</v>
      </c>
      <c r="I512" s="50" t="s">
        <v>5609</v>
      </c>
      <c r="J512" s="43">
        <v>196923</v>
      </c>
      <c r="K512" s="43">
        <v>2666358</v>
      </c>
      <c r="L512" s="43" t="s">
        <v>40</v>
      </c>
      <c r="M512" s="44">
        <v>19</v>
      </c>
      <c r="N512" s="43">
        <v>68</v>
      </c>
      <c r="O512" s="43">
        <v>137</v>
      </c>
      <c r="P512" s="43" t="s">
        <v>41</v>
      </c>
      <c r="Q512" s="43">
        <v>31</v>
      </c>
      <c r="R512" s="43">
        <v>255</v>
      </c>
      <c r="S512" s="43">
        <v>171</v>
      </c>
      <c r="T512" s="2" t="s">
        <v>306</v>
      </c>
      <c r="U512" s="2" t="str">
        <f>U509</f>
        <v>正常</v>
      </c>
      <c r="V512" s="79" t="s">
        <v>2996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2939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2641</v>
      </c>
      <c r="C513" s="83">
        <v>2501</v>
      </c>
      <c r="D513" s="113" t="s">
        <v>2635</v>
      </c>
      <c r="E513" s="83" t="s">
        <v>2929</v>
      </c>
      <c r="F513" s="83" t="s">
        <v>3660</v>
      </c>
      <c r="G513" s="138"/>
      <c r="H513" s="340" t="s">
        <v>5607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306</v>
      </c>
      <c r="U513" s="85" t="s">
        <v>3</v>
      </c>
      <c r="V513" s="112" t="s">
        <v>2996</v>
      </c>
      <c r="W513" s="86">
        <v>109</v>
      </c>
      <c r="X513" s="83"/>
      <c r="Y513" s="83"/>
      <c r="Z513" s="83"/>
      <c r="AA513" s="83"/>
      <c r="AB513" s="83"/>
      <c r="AC513" s="83" t="s">
        <v>2898</v>
      </c>
      <c r="AD513" s="83"/>
      <c r="AE513" s="83"/>
      <c r="AF513" s="83" t="s">
        <v>2898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2660</v>
      </c>
      <c r="C514" s="29">
        <v>141</v>
      </c>
      <c r="D514" s="27" t="s">
        <v>2659</v>
      </c>
      <c r="E514" s="29" t="s">
        <v>2963</v>
      </c>
      <c r="F514" s="29" t="s">
        <v>3661</v>
      </c>
      <c r="G514" s="192" t="s">
        <v>5604</v>
      </c>
      <c r="H514" s="145" t="s">
        <v>5606</v>
      </c>
      <c r="I514" s="192" t="s">
        <v>5609</v>
      </c>
      <c r="J514" s="33">
        <v>197778.80511099999</v>
      </c>
      <c r="K514" s="33">
        <v>2666497.69942</v>
      </c>
      <c r="L514" s="33" t="s">
        <v>1066</v>
      </c>
      <c r="M514" s="33">
        <v>12.3</v>
      </c>
      <c r="N514" s="33">
        <v>131</v>
      </c>
      <c r="O514" s="33">
        <v>122</v>
      </c>
      <c r="P514" s="33" t="s">
        <v>214</v>
      </c>
      <c r="Q514" s="33">
        <v>26.1</v>
      </c>
      <c r="R514" s="33">
        <v>405</v>
      </c>
      <c r="S514" s="33">
        <v>159</v>
      </c>
      <c r="T514" s="30" t="s">
        <v>575</v>
      </c>
      <c r="U514" s="30" t="s">
        <v>8</v>
      </c>
      <c r="V514" s="28" t="s">
        <v>3004</v>
      </c>
      <c r="W514" s="28">
        <v>110</v>
      </c>
      <c r="X514" s="29"/>
      <c r="Y514" s="29"/>
      <c r="Z514" s="29" t="s">
        <v>2939</v>
      </c>
      <c r="AA514" s="29"/>
      <c r="AB514" s="29"/>
      <c r="AC514" s="29"/>
      <c r="AD514" s="29" t="s">
        <v>2939</v>
      </c>
      <c r="AE514" s="29"/>
      <c r="AF514" s="29"/>
      <c r="AG514" s="29" t="s">
        <v>2939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2661</v>
      </c>
      <c r="C515" s="83">
        <v>142</v>
      </c>
      <c r="D515" s="113" t="s">
        <v>2659</v>
      </c>
      <c r="E515" s="83" t="s">
        <v>2963</v>
      </c>
      <c r="F515" s="83" t="s">
        <v>3662</v>
      </c>
      <c r="G515" s="138" t="s">
        <v>5604</v>
      </c>
      <c r="H515" s="340" t="s">
        <v>5606</v>
      </c>
      <c r="I515" s="138" t="s">
        <v>5609</v>
      </c>
      <c r="J515" s="88">
        <v>197741.88734099999</v>
      </c>
      <c r="K515" s="88">
        <v>2666521.17717</v>
      </c>
      <c r="L515" s="88" t="s">
        <v>2662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2907</v>
      </c>
      <c r="U515" s="85" t="s">
        <v>8</v>
      </c>
      <c r="V515" s="86" t="s">
        <v>3004</v>
      </c>
      <c r="W515" s="86">
        <v>109</v>
      </c>
      <c r="X515" s="83"/>
      <c r="Y515" s="83"/>
      <c r="Z515" s="83" t="s">
        <v>2939</v>
      </c>
      <c r="AA515" s="83"/>
      <c r="AB515" s="83"/>
      <c r="AC515" s="83" t="s">
        <v>2939</v>
      </c>
      <c r="AD515" s="83"/>
      <c r="AE515" s="83"/>
      <c r="AF515" s="83" t="s">
        <v>2939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2705</v>
      </c>
      <c r="C516" s="29">
        <v>1964</v>
      </c>
      <c r="D516" s="27" t="s">
        <v>2704</v>
      </c>
      <c r="E516" s="29" t="s">
        <v>2963</v>
      </c>
      <c r="F516" s="29" t="s">
        <v>3663</v>
      </c>
      <c r="G516" s="192" t="s">
        <v>5604</v>
      </c>
      <c r="H516" s="145" t="s">
        <v>5606</v>
      </c>
      <c r="I516" s="192" t="s">
        <v>5609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2907</v>
      </c>
      <c r="U516" s="30" t="s">
        <v>8</v>
      </c>
      <c r="V516" s="28" t="s">
        <v>3004</v>
      </c>
      <c r="W516" s="28">
        <v>109</v>
      </c>
      <c r="X516" s="29"/>
      <c r="Y516" s="29"/>
      <c r="Z516" s="29" t="s">
        <v>2939</v>
      </c>
      <c r="AA516" s="29"/>
      <c r="AB516" s="29"/>
      <c r="AC516" s="29" t="s">
        <v>2939</v>
      </c>
      <c r="AD516" s="29"/>
      <c r="AE516" s="29"/>
      <c r="AF516" s="29" t="s">
        <v>2939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2706</v>
      </c>
      <c r="C517" s="40">
        <v>1976</v>
      </c>
      <c r="D517" s="38" t="s">
        <v>2704</v>
      </c>
      <c r="E517" s="40" t="s">
        <v>2963</v>
      </c>
      <c r="F517" s="40" t="s">
        <v>3664</v>
      </c>
      <c r="G517" s="50" t="s">
        <v>5604</v>
      </c>
      <c r="H517" s="150" t="s">
        <v>5606</v>
      </c>
      <c r="I517" s="50" t="s">
        <v>5609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575</v>
      </c>
      <c r="U517" s="2" t="s">
        <v>8</v>
      </c>
      <c r="V517" s="39" t="s">
        <v>3004</v>
      </c>
      <c r="W517" s="39">
        <v>110</v>
      </c>
      <c r="X517" s="40"/>
      <c r="Y517" s="40"/>
      <c r="Z517" s="40" t="s">
        <v>2939</v>
      </c>
      <c r="AA517" s="40"/>
      <c r="AB517" s="40"/>
      <c r="AC517" s="40"/>
      <c r="AD517" s="40"/>
      <c r="AE517" s="40"/>
      <c r="AF517" s="40"/>
      <c r="AG517" s="40" t="s">
        <v>2939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2707</v>
      </c>
      <c r="C518" s="40">
        <v>1981</v>
      </c>
      <c r="D518" s="38" t="s">
        <v>2704</v>
      </c>
      <c r="E518" s="40" t="s">
        <v>2963</v>
      </c>
      <c r="F518" s="40" t="s">
        <v>3665</v>
      </c>
      <c r="G518" s="50" t="s">
        <v>5604</v>
      </c>
      <c r="H518" s="150" t="s">
        <v>5606</v>
      </c>
      <c r="I518" s="50" t="s">
        <v>5609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37</v>
      </c>
      <c r="Q518" s="43">
        <v>21.8</v>
      </c>
      <c r="R518" s="43">
        <v>196</v>
      </c>
      <c r="S518" s="43">
        <v>77.7</v>
      </c>
      <c r="T518" s="2" t="s">
        <v>575</v>
      </c>
      <c r="U518" s="2" t="s">
        <v>8</v>
      </c>
      <c r="V518" s="39" t="s">
        <v>3004</v>
      </c>
      <c r="W518" s="39">
        <v>110</v>
      </c>
      <c r="X518" s="40"/>
      <c r="Y518" s="40"/>
      <c r="Z518" s="40" t="s">
        <v>2939</v>
      </c>
      <c r="AA518" s="40"/>
      <c r="AB518" s="40"/>
      <c r="AC518" s="40" t="s">
        <v>2939</v>
      </c>
      <c r="AD518" s="40"/>
      <c r="AE518" s="40"/>
      <c r="AF518" s="40"/>
      <c r="AG518" s="40" t="s">
        <v>2939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2708</v>
      </c>
      <c r="C519" s="40">
        <v>1973</v>
      </c>
      <c r="D519" s="38" t="s">
        <v>2704</v>
      </c>
      <c r="E519" s="40" t="s">
        <v>2963</v>
      </c>
      <c r="F519" s="40" t="s">
        <v>3666</v>
      </c>
      <c r="G519" s="50"/>
      <c r="H519" s="150" t="s">
        <v>5607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3004</v>
      </c>
      <c r="W519" s="39">
        <v>106</v>
      </c>
      <c r="X519" s="40"/>
      <c r="Y519" s="40"/>
      <c r="Z519" s="40" t="s">
        <v>2939</v>
      </c>
      <c r="AA519" s="40"/>
      <c r="AB519" s="40"/>
      <c r="AC519" s="40" t="s">
        <v>2898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2709</v>
      </c>
      <c r="C520" s="40">
        <v>1978</v>
      </c>
      <c r="D520" s="38" t="s">
        <v>2704</v>
      </c>
      <c r="E520" s="40" t="s">
        <v>2963</v>
      </c>
      <c r="F520" s="40" t="s">
        <v>3667</v>
      </c>
      <c r="G520" s="50"/>
      <c r="H520" s="150" t="s">
        <v>5607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3004</v>
      </c>
      <c r="W520" s="39">
        <v>106</v>
      </c>
      <c r="X520" s="40"/>
      <c r="Y520" s="40"/>
      <c r="Z520" s="40" t="s">
        <v>2943</v>
      </c>
      <c r="AA520" s="40"/>
      <c r="AB520" s="40"/>
      <c r="AC520" s="40" t="s">
        <v>2898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2710</v>
      </c>
      <c r="C521" s="40">
        <v>1982</v>
      </c>
      <c r="D521" s="38" t="s">
        <v>2704</v>
      </c>
      <c r="E521" s="40" t="s">
        <v>2963</v>
      </c>
      <c r="F521" s="40" t="s">
        <v>3668</v>
      </c>
      <c r="G521" s="50"/>
      <c r="H521" s="150" t="s">
        <v>5607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3004</v>
      </c>
      <c r="W521" s="39">
        <v>106</v>
      </c>
      <c r="X521" s="40"/>
      <c r="Y521" s="40"/>
      <c r="Z521" s="40" t="s">
        <v>2939</v>
      </c>
      <c r="AA521" s="40"/>
      <c r="AB521" s="40"/>
      <c r="AC521" s="40" t="s">
        <v>2898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2711</v>
      </c>
      <c r="C522" s="83">
        <v>1983</v>
      </c>
      <c r="D522" s="113" t="s">
        <v>2704</v>
      </c>
      <c r="E522" s="83" t="s">
        <v>2963</v>
      </c>
      <c r="F522" s="83" t="s">
        <v>3669</v>
      </c>
      <c r="G522" s="138"/>
      <c r="H522" s="340" t="s">
        <v>5607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3004</v>
      </c>
      <c r="W522" s="86">
        <v>106</v>
      </c>
      <c r="X522" s="83"/>
      <c r="Y522" s="83"/>
      <c r="Z522" s="83" t="s">
        <v>2943</v>
      </c>
      <c r="AA522" s="83"/>
      <c r="AB522" s="83"/>
      <c r="AC522" s="83" t="s">
        <v>2898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2774</v>
      </c>
      <c r="C523" s="29">
        <v>1061</v>
      </c>
      <c r="D523" s="27" t="s">
        <v>2773</v>
      </c>
      <c r="E523" s="29" t="s">
        <v>2963</v>
      </c>
      <c r="F523" s="29" t="s">
        <v>3670</v>
      </c>
      <c r="G523" s="192" t="s">
        <v>5604</v>
      </c>
      <c r="H523" s="145" t="s">
        <v>5606</v>
      </c>
      <c r="I523" s="192" t="s">
        <v>5609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575</v>
      </c>
      <c r="U523" s="30" t="s">
        <v>8</v>
      </c>
      <c r="V523" s="28" t="s">
        <v>3004</v>
      </c>
      <c r="W523" s="28">
        <v>109</v>
      </c>
      <c r="X523" s="29"/>
      <c r="Y523" s="29"/>
      <c r="Z523" s="29" t="s">
        <v>2939</v>
      </c>
      <c r="AA523" s="29"/>
      <c r="AB523" s="29"/>
      <c r="AC523" s="29" t="s">
        <v>2939</v>
      </c>
      <c r="AD523" s="29"/>
      <c r="AE523" s="29"/>
      <c r="AF523" s="29" t="s">
        <v>2939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2775</v>
      </c>
      <c r="C524" s="40">
        <v>1063</v>
      </c>
      <c r="D524" s="38" t="s">
        <v>2773</v>
      </c>
      <c r="E524" s="40" t="s">
        <v>2963</v>
      </c>
      <c r="F524" s="40" t="s">
        <v>3671</v>
      </c>
      <c r="G524" s="50" t="s">
        <v>5604</v>
      </c>
      <c r="H524" s="150" t="s">
        <v>5606</v>
      </c>
      <c r="I524" s="50" t="s">
        <v>5609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2907</v>
      </c>
      <c r="U524" s="2" t="s">
        <v>8</v>
      </c>
      <c r="V524" s="39" t="s">
        <v>3004</v>
      </c>
      <c r="W524" s="39">
        <v>109</v>
      </c>
      <c r="X524" s="40"/>
      <c r="Y524" s="40"/>
      <c r="Z524" s="40" t="s">
        <v>2939</v>
      </c>
      <c r="AA524" s="40"/>
      <c r="AB524" s="40"/>
      <c r="AC524" s="40"/>
      <c r="AD524" s="40"/>
      <c r="AE524" s="40"/>
      <c r="AF524" s="40" t="s">
        <v>2939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2776</v>
      </c>
      <c r="C525" s="40">
        <v>1066</v>
      </c>
      <c r="D525" s="38" t="s">
        <v>2773</v>
      </c>
      <c r="E525" s="40" t="s">
        <v>2963</v>
      </c>
      <c r="F525" s="40" t="s">
        <v>3672</v>
      </c>
      <c r="G525" s="50" t="s">
        <v>5604</v>
      </c>
      <c r="H525" s="150" t="s">
        <v>5608</v>
      </c>
      <c r="I525" s="50" t="s">
        <v>5609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708</v>
      </c>
      <c r="U525" s="2" t="s">
        <v>56</v>
      </c>
      <c r="V525" s="39" t="s">
        <v>3004</v>
      </c>
      <c r="W525" s="39">
        <v>109</v>
      </c>
      <c r="X525" s="40"/>
      <c r="Y525" s="40"/>
      <c r="Z525" s="40" t="s">
        <v>2943</v>
      </c>
      <c r="AA525" s="40"/>
      <c r="AB525" s="40"/>
      <c r="AC525" s="40" t="s">
        <v>2898</v>
      </c>
      <c r="AD525" s="40"/>
      <c r="AE525" s="40"/>
      <c r="AF525" s="40" t="s">
        <v>2943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2777</v>
      </c>
      <c r="C526" s="58">
        <v>1067</v>
      </c>
      <c r="D526" s="56" t="s">
        <v>2773</v>
      </c>
      <c r="E526" s="58" t="s">
        <v>2963</v>
      </c>
      <c r="F526" s="58" t="s">
        <v>3673</v>
      </c>
      <c r="G526" s="127" t="s">
        <v>5604</v>
      </c>
      <c r="H526" s="226" t="s">
        <v>5608</v>
      </c>
      <c r="I526" s="127" t="s">
        <v>5609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708</v>
      </c>
      <c r="U526" s="59" t="s">
        <v>56</v>
      </c>
      <c r="V526" s="57" t="s">
        <v>3004</v>
      </c>
      <c r="W526" s="57">
        <v>109</v>
      </c>
      <c r="X526" s="58"/>
      <c r="Y526" s="58"/>
      <c r="Z526" s="58" t="s">
        <v>2939</v>
      </c>
      <c r="AA526" s="58"/>
      <c r="AB526" s="58"/>
      <c r="AC526" s="58" t="s">
        <v>2939</v>
      </c>
      <c r="AD526" s="58"/>
      <c r="AE526" s="58"/>
      <c r="AF526" s="58" t="s">
        <v>2943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2747</v>
      </c>
      <c r="C527" s="29">
        <v>114</v>
      </c>
      <c r="D527" s="27" t="s">
        <v>2746</v>
      </c>
      <c r="E527" s="29" t="s">
        <v>2963</v>
      </c>
      <c r="F527" s="29" t="s">
        <v>3674</v>
      </c>
      <c r="G527" s="192"/>
      <c r="H527" s="145" t="s">
        <v>5607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3004</v>
      </c>
      <c r="W527" s="28">
        <v>106</v>
      </c>
      <c r="X527" s="29"/>
      <c r="Y527" s="102"/>
      <c r="Z527" s="29"/>
      <c r="AA527" s="29"/>
      <c r="AB527" s="29"/>
      <c r="AC527" s="29" t="s">
        <v>2939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2748</v>
      </c>
      <c r="C528" s="40">
        <v>166</v>
      </c>
      <c r="D528" s="38" t="s">
        <v>2746</v>
      </c>
      <c r="E528" s="40" t="s">
        <v>2963</v>
      </c>
      <c r="F528" s="40" t="s">
        <v>3675</v>
      </c>
      <c r="G528" s="50"/>
      <c r="H528" s="150" t="s">
        <v>5607</v>
      </c>
      <c r="I528" s="50"/>
      <c r="J528" s="43">
        <v>197516.51055000001</v>
      </c>
      <c r="K528" s="43">
        <v>2666783.3347200002</v>
      </c>
      <c r="L528" s="43" t="s">
        <v>2630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3004</v>
      </c>
      <c r="W528" s="39">
        <v>103</v>
      </c>
      <c r="X528" s="40"/>
      <c r="Y528" s="40"/>
      <c r="Z528" s="40" t="s">
        <v>2939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2753</v>
      </c>
      <c r="C529" s="40">
        <v>168</v>
      </c>
      <c r="D529" s="38" t="s">
        <v>2746</v>
      </c>
      <c r="E529" s="40" t="s">
        <v>2963</v>
      </c>
      <c r="F529" s="40" t="s">
        <v>3676</v>
      </c>
      <c r="G529" s="50"/>
      <c r="H529" s="150" t="s">
        <v>5607</v>
      </c>
      <c r="I529" s="50"/>
      <c r="J529" s="43">
        <v>197437.419452</v>
      </c>
      <c r="K529" s="43">
        <v>2666586.3376699998</v>
      </c>
      <c r="L529" s="43" t="s">
        <v>2754</v>
      </c>
      <c r="M529" s="44">
        <v>10.8</v>
      </c>
      <c r="N529" s="43">
        <v>115</v>
      </c>
      <c r="O529" s="43">
        <v>118</v>
      </c>
      <c r="P529" s="43" t="s">
        <v>97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3004</v>
      </c>
      <c r="W529" s="39">
        <v>106</v>
      </c>
      <c r="X529" s="40"/>
      <c r="Y529" s="40"/>
      <c r="Z529" s="40" t="s">
        <v>2939</v>
      </c>
      <c r="AA529" s="40"/>
      <c r="AB529" s="40"/>
      <c r="AC529" s="40" t="s">
        <v>2898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2755</v>
      </c>
      <c r="C530" s="40">
        <v>169</v>
      </c>
      <c r="D530" s="38" t="s">
        <v>2746</v>
      </c>
      <c r="E530" s="40" t="s">
        <v>2963</v>
      </c>
      <c r="F530" s="40" t="s">
        <v>3677</v>
      </c>
      <c r="G530" s="50" t="s">
        <v>5604</v>
      </c>
      <c r="H530" s="150" t="s">
        <v>5606</v>
      </c>
      <c r="I530" s="50" t="s">
        <v>5609</v>
      </c>
      <c r="J530" s="43">
        <v>197426.57463700001</v>
      </c>
      <c r="K530" s="43">
        <v>2666719.4455400002</v>
      </c>
      <c r="L530" s="43" t="s">
        <v>2756</v>
      </c>
      <c r="M530" s="44">
        <v>18.600000000000001</v>
      </c>
      <c r="N530" s="43">
        <v>135</v>
      </c>
      <c r="O530" s="43">
        <v>43</v>
      </c>
      <c r="P530" s="43" t="s">
        <v>163</v>
      </c>
      <c r="Q530" s="43">
        <v>25.3</v>
      </c>
      <c r="R530" s="43">
        <v>263</v>
      </c>
      <c r="S530" s="43">
        <v>71.900000000000006</v>
      </c>
      <c r="T530" s="2" t="s">
        <v>306</v>
      </c>
      <c r="U530" s="2" t="s">
        <v>3</v>
      </c>
      <c r="V530" s="39" t="s">
        <v>3004</v>
      </c>
      <c r="W530" s="39">
        <v>109</v>
      </c>
      <c r="X530" s="40"/>
      <c r="Y530" s="40"/>
      <c r="Z530" s="40" t="s">
        <v>2939</v>
      </c>
      <c r="AA530" s="40"/>
      <c r="AB530" s="40"/>
      <c r="AC530" s="40" t="s">
        <v>2898</v>
      </c>
      <c r="AD530" s="40"/>
      <c r="AE530" s="40"/>
      <c r="AF530" s="40" t="s">
        <v>2898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2757</v>
      </c>
      <c r="C531" s="40">
        <v>170</v>
      </c>
      <c r="D531" s="38" t="s">
        <v>2746</v>
      </c>
      <c r="E531" s="40" t="s">
        <v>2963</v>
      </c>
      <c r="F531" s="40" t="s">
        <v>3678</v>
      </c>
      <c r="G531" s="50" t="s">
        <v>5604</v>
      </c>
      <c r="H531" s="150" t="s">
        <v>5606</v>
      </c>
      <c r="I531" s="50" t="s">
        <v>5609</v>
      </c>
      <c r="J531" s="43">
        <v>197377.49001000001</v>
      </c>
      <c r="K531" s="43">
        <v>2666615.3201899999</v>
      </c>
      <c r="L531" s="43" t="s">
        <v>2758</v>
      </c>
      <c r="M531" s="44">
        <v>12.9</v>
      </c>
      <c r="N531" s="43">
        <v>79.900000000000006</v>
      </c>
      <c r="O531" s="43">
        <v>75.599999999999994</v>
      </c>
      <c r="P531" s="43" t="s">
        <v>172</v>
      </c>
      <c r="Q531" s="43">
        <v>21.9</v>
      </c>
      <c r="R531" s="43">
        <v>261</v>
      </c>
      <c r="S531" s="43">
        <v>129</v>
      </c>
      <c r="T531" s="2" t="s">
        <v>306</v>
      </c>
      <c r="U531" s="2" t="s">
        <v>3</v>
      </c>
      <c r="V531" s="39" t="s">
        <v>3004</v>
      </c>
      <c r="W531" s="39">
        <v>109</v>
      </c>
      <c r="X531" s="40"/>
      <c r="Y531" s="40"/>
      <c r="Z531" s="40" t="s">
        <v>2939</v>
      </c>
      <c r="AA531" s="40"/>
      <c r="AB531" s="40"/>
      <c r="AC531" s="40" t="s">
        <v>2898</v>
      </c>
      <c r="AD531" s="40"/>
      <c r="AE531" s="40"/>
      <c r="AF531" s="40" t="s">
        <v>2898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2759</v>
      </c>
      <c r="C532" s="40">
        <v>175</v>
      </c>
      <c r="D532" s="38" t="s">
        <v>2746</v>
      </c>
      <c r="E532" s="40" t="s">
        <v>2963</v>
      </c>
      <c r="F532" s="40" t="s">
        <v>3679</v>
      </c>
      <c r="G532" s="50"/>
      <c r="H532" s="150" t="s">
        <v>5607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59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3004</v>
      </c>
      <c r="W532" s="39">
        <v>106</v>
      </c>
      <c r="X532" s="40"/>
      <c r="Y532" s="40"/>
      <c r="Z532" s="40" t="s">
        <v>2939</v>
      </c>
      <c r="AA532" s="40"/>
      <c r="AB532" s="40"/>
      <c r="AC532" s="40" t="s">
        <v>2898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2804</v>
      </c>
      <c r="C533" s="40">
        <v>115</v>
      </c>
      <c r="D533" s="38" t="s">
        <v>2808</v>
      </c>
      <c r="E533" s="40" t="s">
        <v>2963</v>
      </c>
      <c r="F533" s="40" t="s">
        <v>3680</v>
      </c>
      <c r="G533" s="50" t="s">
        <v>5604</v>
      </c>
      <c r="H533" s="150" t="s">
        <v>5606</v>
      </c>
      <c r="I533" s="50" t="s">
        <v>5609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2907</v>
      </c>
      <c r="U533" s="2" t="s">
        <v>8</v>
      </c>
      <c r="V533" s="39" t="s">
        <v>3004</v>
      </c>
      <c r="W533" s="39">
        <v>109</v>
      </c>
      <c r="X533" s="40"/>
      <c r="Y533" s="106"/>
      <c r="Z533" s="40"/>
      <c r="AA533" s="40"/>
      <c r="AB533" s="40"/>
      <c r="AC533" s="40" t="s">
        <v>2939</v>
      </c>
      <c r="AD533" s="40"/>
      <c r="AE533" s="40"/>
      <c r="AF533" s="40" t="s">
        <v>2939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2807</v>
      </c>
      <c r="C534" s="40">
        <v>116</v>
      </c>
      <c r="D534" s="38" t="s">
        <v>2808</v>
      </c>
      <c r="E534" s="40" t="s">
        <v>2963</v>
      </c>
      <c r="F534" s="40" t="s">
        <v>3681</v>
      </c>
      <c r="G534" s="50"/>
      <c r="H534" s="150" t="s">
        <v>5607</v>
      </c>
      <c r="I534" s="50"/>
      <c r="J534" s="43" t="s">
        <v>3033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3004</v>
      </c>
      <c r="W534" s="39">
        <v>107</v>
      </c>
      <c r="X534" s="40"/>
      <c r="Y534" s="106"/>
      <c r="Z534" s="40"/>
      <c r="AA534" s="40" t="s">
        <v>2939</v>
      </c>
      <c r="AB534" s="40"/>
      <c r="AC534" s="40"/>
      <c r="AD534" s="40" t="s">
        <v>2898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2809</v>
      </c>
      <c r="C535" s="58">
        <v>117</v>
      </c>
      <c r="D535" s="56" t="s">
        <v>2808</v>
      </c>
      <c r="E535" s="58" t="s">
        <v>2963</v>
      </c>
      <c r="F535" s="58" t="s">
        <v>3682</v>
      </c>
      <c r="G535" s="127"/>
      <c r="H535" s="226" t="s">
        <v>5607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306</v>
      </c>
      <c r="V535" s="57" t="s">
        <v>3004</v>
      </c>
      <c r="W535" s="57">
        <v>107</v>
      </c>
      <c r="X535" s="58"/>
      <c r="Y535" s="109"/>
      <c r="Z535" s="58"/>
      <c r="AA535" s="58" t="s">
        <v>2939</v>
      </c>
      <c r="AB535" s="58"/>
      <c r="AC535" s="58"/>
      <c r="AD535" s="58" t="s">
        <v>2898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2801</v>
      </c>
      <c r="C536" s="29">
        <v>1661</v>
      </c>
      <c r="D536" s="27" t="s">
        <v>3034</v>
      </c>
      <c r="E536" s="217" t="s">
        <v>2929</v>
      </c>
      <c r="F536" s="217" t="s">
        <v>3683</v>
      </c>
      <c r="G536" s="270" t="s">
        <v>5604</v>
      </c>
      <c r="H536" s="145" t="s">
        <v>5606</v>
      </c>
      <c r="I536" s="270" t="s">
        <v>5609</v>
      </c>
      <c r="J536" s="33">
        <v>195721.53</v>
      </c>
      <c r="K536" s="33">
        <v>2667028.09</v>
      </c>
      <c r="L536" s="33" t="s">
        <v>40</v>
      </c>
      <c r="M536" s="33">
        <v>12</v>
      </c>
      <c r="N536" s="33">
        <v>117</v>
      </c>
      <c r="O536" s="33">
        <v>123</v>
      </c>
      <c r="P536" s="33" t="s">
        <v>41</v>
      </c>
      <c r="Q536" s="33">
        <v>38</v>
      </c>
      <c r="R536" s="33">
        <v>348</v>
      </c>
      <c r="S536" s="33">
        <v>134</v>
      </c>
      <c r="T536" s="30" t="s">
        <v>575</v>
      </c>
      <c r="U536" s="30" t="s">
        <v>8</v>
      </c>
      <c r="V536" s="141" t="s">
        <v>2996</v>
      </c>
      <c r="W536" s="28">
        <v>113</v>
      </c>
      <c r="X536" s="29"/>
      <c r="Y536" s="29"/>
      <c r="Z536" s="29"/>
      <c r="AA536" s="29"/>
      <c r="AB536" s="29" t="s">
        <v>2939</v>
      </c>
      <c r="AC536" s="29"/>
      <c r="AD536" s="29" t="s">
        <v>2939</v>
      </c>
      <c r="AE536" s="29"/>
      <c r="AF536" s="29"/>
      <c r="AG536" s="29" t="s">
        <v>2939</v>
      </c>
      <c r="AH536" s="29"/>
      <c r="AI536" s="29"/>
      <c r="AJ536" s="40" t="s">
        <v>2939</v>
      </c>
      <c r="AK536" s="92"/>
      <c r="AL536" s="105" t="s">
        <v>3035</v>
      </c>
      <c r="AM536" s="219">
        <v>113</v>
      </c>
    </row>
    <row r="537" spans="1:39" x14ac:dyDescent="0.3">
      <c r="A537" s="15">
        <v>536</v>
      </c>
      <c r="B537" s="40" t="s">
        <v>2802</v>
      </c>
      <c r="C537" s="40">
        <v>1662</v>
      </c>
      <c r="D537" s="38" t="s">
        <v>2800</v>
      </c>
      <c r="E537" s="221" t="s">
        <v>2929</v>
      </c>
      <c r="F537" s="221" t="s">
        <v>3684</v>
      </c>
      <c r="G537" s="50" t="s">
        <v>5604</v>
      </c>
      <c r="H537" s="150" t="s">
        <v>5608</v>
      </c>
      <c r="I537" s="50" t="s">
        <v>5609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575</v>
      </c>
      <c r="U537" s="2" t="str">
        <f>U536</f>
        <v>監測</v>
      </c>
      <c r="V537" s="79" t="s">
        <v>2996</v>
      </c>
      <c r="W537" s="39">
        <v>113</v>
      </c>
      <c r="X537" s="271"/>
      <c r="Y537" s="271"/>
      <c r="Z537" s="271"/>
      <c r="AA537" s="271"/>
      <c r="AB537" s="40" t="s">
        <v>2939</v>
      </c>
      <c r="AC537" s="271"/>
      <c r="AD537" s="40"/>
      <c r="AE537" s="40"/>
      <c r="AF537" s="40"/>
      <c r="AG537" s="40" t="s">
        <v>2939</v>
      </c>
      <c r="AH537" s="40"/>
      <c r="AI537" s="40"/>
      <c r="AJ537" s="40" t="s">
        <v>2939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2803</v>
      </c>
      <c r="C538" s="58">
        <v>1663</v>
      </c>
      <c r="D538" s="56" t="s">
        <v>2800</v>
      </c>
      <c r="E538" s="272" t="s">
        <v>2929</v>
      </c>
      <c r="F538" s="272" t="s">
        <v>3685</v>
      </c>
      <c r="G538" s="127" t="s">
        <v>5604</v>
      </c>
      <c r="H538" s="226" t="s">
        <v>5606</v>
      </c>
      <c r="I538" s="127" t="s">
        <v>5609</v>
      </c>
      <c r="J538" s="62">
        <v>195584.51</v>
      </c>
      <c r="K538" s="62">
        <v>2666897.13</v>
      </c>
      <c r="L538" s="62" t="s">
        <v>40</v>
      </c>
      <c r="M538" s="62">
        <v>7</v>
      </c>
      <c r="N538" s="62">
        <v>108</v>
      </c>
      <c r="O538" s="62">
        <v>140</v>
      </c>
      <c r="P538" s="62" t="s">
        <v>41</v>
      </c>
      <c r="Q538" s="62">
        <v>35</v>
      </c>
      <c r="R538" s="62">
        <v>313</v>
      </c>
      <c r="S538" s="62">
        <v>182</v>
      </c>
      <c r="T538" s="59" t="s">
        <v>575</v>
      </c>
      <c r="U538" s="59" t="s">
        <v>8</v>
      </c>
      <c r="V538" s="143" t="s">
        <v>2996</v>
      </c>
      <c r="W538" s="57">
        <v>110</v>
      </c>
      <c r="X538" s="58"/>
      <c r="Y538" s="58"/>
      <c r="Z538" s="58"/>
      <c r="AA538" s="58"/>
      <c r="AB538" s="58" t="s">
        <v>2939</v>
      </c>
      <c r="AC538" s="58"/>
      <c r="AD538" s="58" t="s">
        <v>2939</v>
      </c>
      <c r="AE538" s="58"/>
      <c r="AF538" s="58"/>
      <c r="AG538" s="58" t="s">
        <v>2939</v>
      </c>
      <c r="AH538" s="58"/>
      <c r="AI538" s="58"/>
      <c r="AJ538" s="40" t="s">
        <v>2939</v>
      </c>
      <c r="AK538" s="99"/>
      <c r="AL538" s="110" t="s">
        <v>3035</v>
      </c>
      <c r="AM538" s="225">
        <v>113</v>
      </c>
    </row>
    <row r="539" spans="1:39" ht="14.4" thickBot="1" x14ac:dyDescent="0.35">
      <c r="A539" s="15">
        <v>538</v>
      </c>
      <c r="B539" s="205" t="s">
        <v>2806</v>
      </c>
      <c r="C539" s="205">
        <v>1195</v>
      </c>
      <c r="D539" s="203" t="s">
        <v>2805</v>
      </c>
      <c r="E539" s="205" t="s">
        <v>3036</v>
      </c>
      <c r="F539" s="205" t="s">
        <v>3686</v>
      </c>
      <c r="G539" s="273" t="s">
        <v>5604</v>
      </c>
      <c r="H539" s="453" t="s">
        <v>5606</v>
      </c>
      <c r="I539" s="273" t="s">
        <v>5609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2907</v>
      </c>
      <c r="U539" s="206" t="s">
        <v>8</v>
      </c>
      <c r="V539" s="208" t="s">
        <v>3004</v>
      </c>
      <c r="W539" s="208">
        <v>109</v>
      </c>
      <c r="X539" s="205"/>
      <c r="Y539" s="211"/>
      <c r="Z539" s="205"/>
      <c r="AA539" s="205" t="s">
        <v>2939</v>
      </c>
      <c r="AB539" s="205"/>
      <c r="AC539" s="205"/>
      <c r="AD539" s="205"/>
      <c r="AE539" s="205"/>
      <c r="AF539" s="205" t="s">
        <v>2939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3037</v>
      </c>
      <c r="E540" s="75" t="s">
        <v>3038</v>
      </c>
      <c r="F540" s="75" t="s">
        <v>3687</v>
      </c>
      <c r="G540" s="76" t="s">
        <v>5604</v>
      </c>
      <c r="H540" s="414" t="s">
        <v>5606</v>
      </c>
      <c r="I540" s="76" t="s">
        <v>5609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575</v>
      </c>
      <c r="U540" s="69" t="s">
        <v>8</v>
      </c>
      <c r="V540" s="67" t="s">
        <v>2900</v>
      </c>
      <c r="W540" s="67">
        <v>111</v>
      </c>
      <c r="X540" s="75"/>
      <c r="Y540" s="75"/>
      <c r="Z540" s="75"/>
      <c r="AA540" s="75" t="s">
        <v>2894</v>
      </c>
      <c r="AB540" s="75"/>
      <c r="AC540" s="75"/>
      <c r="AD540" s="75" t="s">
        <v>2898</v>
      </c>
      <c r="AE540" s="75"/>
      <c r="AF540" s="75"/>
      <c r="AG540" s="75"/>
      <c r="AH540" s="75" t="s">
        <v>2939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3037</v>
      </c>
      <c r="E541" s="58" t="s">
        <v>3038</v>
      </c>
      <c r="F541" s="58" t="s">
        <v>3688</v>
      </c>
      <c r="G541" s="56"/>
      <c r="H541" s="226" t="s">
        <v>5606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2900</v>
      </c>
      <c r="W541" s="56">
        <v>107</v>
      </c>
      <c r="X541" s="58"/>
      <c r="Y541" s="58"/>
      <c r="Z541" s="58"/>
      <c r="AA541" s="58" t="s">
        <v>2894</v>
      </c>
      <c r="AB541" s="58"/>
      <c r="AC541" s="58"/>
      <c r="AD541" s="58" t="s">
        <v>2939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3038</v>
      </c>
      <c r="F542" s="75" t="s">
        <v>3689</v>
      </c>
      <c r="G542" s="76" t="s">
        <v>5604</v>
      </c>
      <c r="H542" s="414" t="s">
        <v>5606</v>
      </c>
      <c r="I542" s="76" t="s">
        <v>5609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575</v>
      </c>
      <c r="U542" s="69" t="s">
        <v>8</v>
      </c>
      <c r="V542" s="67" t="s">
        <v>3039</v>
      </c>
      <c r="W542" s="67">
        <v>110</v>
      </c>
      <c r="X542" s="67"/>
      <c r="Y542" s="67"/>
      <c r="Z542" s="75"/>
      <c r="AA542" s="75" t="s">
        <v>2894</v>
      </c>
      <c r="AB542" s="67"/>
      <c r="AC542" s="67"/>
      <c r="AD542" s="67"/>
      <c r="AE542" s="67"/>
      <c r="AF542" s="75"/>
      <c r="AG542" s="75" t="s">
        <v>2939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3038</v>
      </c>
      <c r="F543" s="40" t="s">
        <v>3690</v>
      </c>
      <c r="G543" s="38"/>
      <c r="H543" s="150" t="s">
        <v>5606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3039</v>
      </c>
      <c r="W543" s="38">
        <v>107</v>
      </c>
      <c r="X543" s="40"/>
      <c r="Y543" s="40"/>
      <c r="Z543" s="40"/>
      <c r="AA543" s="40" t="s">
        <v>2894</v>
      </c>
      <c r="AB543" s="40"/>
      <c r="AC543" s="40"/>
      <c r="AD543" s="40" t="s">
        <v>2898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3038</v>
      </c>
      <c r="F544" s="58" t="s">
        <v>3691</v>
      </c>
      <c r="G544" s="56"/>
      <c r="H544" s="226" t="s">
        <v>5606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3039</v>
      </c>
      <c r="W544" s="56">
        <v>107</v>
      </c>
      <c r="X544" s="58"/>
      <c r="Y544" s="58"/>
      <c r="Z544" s="58"/>
      <c r="AA544" s="58" t="s">
        <v>2894</v>
      </c>
      <c r="AB544" s="58" t="s">
        <v>2939</v>
      </c>
      <c r="AC544" s="58"/>
      <c r="AD544" s="58" t="s">
        <v>2898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38</v>
      </c>
      <c r="C545" s="19">
        <v>2201</v>
      </c>
      <c r="D545" s="17" t="s">
        <v>34</v>
      </c>
      <c r="E545" s="19" t="s">
        <v>2901</v>
      </c>
      <c r="F545" s="19" t="s">
        <v>3692</v>
      </c>
      <c r="G545" s="21" t="s">
        <v>5604</v>
      </c>
      <c r="H545" s="434" t="s">
        <v>5606</v>
      </c>
      <c r="I545" s="21" t="s">
        <v>5609</v>
      </c>
      <c r="J545" s="23">
        <v>204883</v>
      </c>
      <c r="K545" s="23">
        <v>2654823</v>
      </c>
      <c r="L545" s="23" t="s">
        <v>39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575</v>
      </c>
      <c r="U545" s="20" t="s">
        <v>8</v>
      </c>
      <c r="V545" s="17" t="s">
        <v>3039</v>
      </c>
      <c r="W545" s="17">
        <v>111</v>
      </c>
      <c r="X545" s="19"/>
      <c r="Y545" s="19"/>
      <c r="Z545" s="19"/>
      <c r="AA545" s="19"/>
      <c r="AB545" s="19"/>
      <c r="AC545" s="19" t="s">
        <v>2894</v>
      </c>
      <c r="AD545" s="19"/>
      <c r="AE545" s="19" t="s">
        <v>2898</v>
      </c>
      <c r="AF545" s="19"/>
      <c r="AG545" s="19"/>
      <c r="AH545" s="19" t="s">
        <v>2939</v>
      </c>
      <c r="AI545" s="19"/>
      <c r="AJ545" s="17"/>
      <c r="AK545" s="286"/>
      <c r="AL545" s="257" t="s">
        <v>2908</v>
      </c>
      <c r="AM545" s="7"/>
    </row>
    <row r="546" spans="1:39" x14ac:dyDescent="0.3">
      <c r="A546" s="15">
        <v>545</v>
      </c>
      <c r="B546" s="29" t="s">
        <v>47</v>
      </c>
      <c r="C546" s="29">
        <v>1922</v>
      </c>
      <c r="D546" s="27" t="s">
        <v>46</v>
      </c>
      <c r="E546" s="29" t="s">
        <v>2893</v>
      </c>
      <c r="F546" s="29" t="s">
        <v>3693</v>
      </c>
      <c r="G546" s="31" t="s">
        <v>5604</v>
      </c>
      <c r="H546" s="145" t="s">
        <v>5606</v>
      </c>
      <c r="I546" s="31" t="s">
        <v>5609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575</v>
      </c>
      <c r="U546" s="30" t="s">
        <v>8</v>
      </c>
      <c r="V546" s="27" t="s">
        <v>3039</v>
      </c>
      <c r="W546" s="27">
        <v>110</v>
      </c>
      <c r="X546" s="29"/>
      <c r="Y546" s="29"/>
      <c r="Z546" s="29"/>
      <c r="AA546" s="29"/>
      <c r="AB546" s="29"/>
      <c r="AC546" s="29" t="s">
        <v>2894</v>
      </c>
      <c r="AD546" s="29"/>
      <c r="AE546" s="29"/>
      <c r="AF546" s="29"/>
      <c r="AG546" s="29" t="s">
        <v>2894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49</v>
      </c>
      <c r="C547" s="58">
        <v>1923</v>
      </c>
      <c r="D547" s="56" t="s">
        <v>46</v>
      </c>
      <c r="E547" s="58" t="s">
        <v>2893</v>
      </c>
      <c r="F547" s="58" t="s">
        <v>3694</v>
      </c>
      <c r="G547" s="60" t="s">
        <v>5604</v>
      </c>
      <c r="H547" s="226" t="s">
        <v>5606</v>
      </c>
      <c r="I547" s="60" t="s">
        <v>5609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575</v>
      </c>
      <c r="U547" s="59" t="s">
        <v>8</v>
      </c>
      <c r="V547" s="56" t="s">
        <v>3039</v>
      </c>
      <c r="W547" s="56">
        <v>110</v>
      </c>
      <c r="X547" s="58"/>
      <c r="Y547" s="58"/>
      <c r="Z547" s="58"/>
      <c r="AA547" s="58"/>
      <c r="AB547" s="58"/>
      <c r="AC547" s="58" t="s">
        <v>2894</v>
      </c>
      <c r="AD547" s="58"/>
      <c r="AE547" s="58"/>
      <c r="AF547" s="58"/>
      <c r="AG547" s="58" t="s">
        <v>2894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137</v>
      </c>
      <c r="C548" s="75">
        <v>1110</v>
      </c>
      <c r="D548" s="67" t="s">
        <v>136</v>
      </c>
      <c r="E548" s="75" t="s">
        <v>2893</v>
      </c>
      <c r="F548" s="75" t="s">
        <v>3695</v>
      </c>
      <c r="G548" s="76" t="s">
        <v>5604</v>
      </c>
      <c r="H548" s="414" t="s">
        <v>5607</v>
      </c>
      <c r="I548" s="76" t="s">
        <v>5609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138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3039</v>
      </c>
      <c r="W548" s="67">
        <v>106</v>
      </c>
      <c r="X548" s="75"/>
      <c r="Y548" s="75"/>
      <c r="Z548" s="75"/>
      <c r="AA548" s="75"/>
      <c r="AB548" s="75"/>
      <c r="AC548" s="75" t="s">
        <v>2894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139</v>
      </c>
      <c r="C549" s="40">
        <v>2005</v>
      </c>
      <c r="D549" s="38" t="s">
        <v>136</v>
      </c>
      <c r="E549" s="40" t="s">
        <v>2893</v>
      </c>
      <c r="F549" s="40" t="s">
        <v>3696</v>
      </c>
      <c r="G549" s="41" t="s">
        <v>5604</v>
      </c>
      <c r="H549" s="150" t="s">
        <v>5606</v>
      </c>
      <c r="I549" s="41" t="s">
        <v>5609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575</v>
      </c>
      <c r="U549" s="2" t="s">
        <v>8</v>
      </c>
      <c r="V549" s="38" t="s">
        <v>3039</v>
      </c>
      <c r="W549" s="38">
        <v>109</v>
      </c>
      <c r="X549" s="40"/>
      <c r="Y549" s="40"/>
      <c r="Z549" s="40"/>
      <c r="AA549" s="40"/>
      <c r="AB549" s="40"/>
      <c r="AC549" s="40" t="s">
        <v>2894</v>
      </c>
      <c r="AD549" s="40"/>
      <c r="AE549" s="40"/>
      <c r="AF549" s="40" t="s">
        <v>2894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136</v>
      </c>
      <c r="E550" s="40" t="s">
        <v>2893</v>
      </c>
      <c r="F550" s="40" t="s">
        <v>3697</v>
      </c>
      <c r="G550" s="41" t="s">
        <v>5604</v>
      </c>
      <c r="H550" s="150" t="s">
        <v>5606</v>
      </c>
      <c r="I550" s="41" t="s">
        <v>5609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575</v>
      </c>
      <c r="U550" s="2" t="s">
        <v>8</v>
      </c>
      <c r="V550" s="38" t="s">
        <v>3039</v>
      </c>
      <c r="W550" s="38">
        <v>109</v>
      </c>
      <c r="X550" s="40"/>
      <c r="Y550" s="40"/>
      <c r="Z550" s="40"/>
      <c r="AA550" s="40"/>
      <c r="AB550" s="40"/>
      <c r="AC550" s="40" t="s">
        <v>2894</v>
      </c>
      <c r="AD550" s="40"/>
      <c r="AE550" s="40"/>
      <c r="AF550" s="40" t="s">
        <v>2894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136</v>
      </c>
      <c r="E551" s="83" t="s">
        <v>2893</v>
      </c>
      <c r="F551" s="83" t="s">
        <v>3698</v>
      </c>
      <c r="G551" s="47" t="s">
        <v>5604</v>
      </c>
      <c r="H551" s="340" t="s">
        <v>5606</v>
      </c>
      <c r="I551" s="47" t="s">
        <v>5609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306</v>
      </c>
      <c r="U551" s="85" t="s">
        <v>3</v>
      </c>
      <c r="V551" s="113" t="s">
        <v>3039</v>
      </c>
      <c r="W551" s="113">
        <v>109</v>
      </c>
      <c r="X551" s="83"/>
      <c r="Y551" s="83"/>
      <c r="Z551" s="83"/>
      <c r="AA551" s="83"/>
      <c r="AB551" s="83"/>
      <c r="AC551" s="83" t="s">
        <v>2894</v>
      </c>
      <c r="AD551" s="83"/>
      <c r="AE551" s="83"/>
      <c r="AF551" s="83" t="s">
        <v>2898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176</v>
      </c>
      <c r="C552" s="29">
        <v>88</v>
      </c>
      <c r="D552" s="29" t="s">
        <v>175</v>
      </c>
      <c r="E552" s="29" t="s">
        <v>2893</v>
      </c>
      <c r="F552" s="29" t="s">
        <v>3699</v>
      </c>
      <c r="G552" s="31" t="s">
        <v>5604</v>
      </c>
      <c r="H552" s="145" t="s">
        <v>5606</v>
      </c>
      <c r="I552" s="31" t="s">
        <v>5609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575</v>
      </c>
      <c r="U552" s="30" t="s">
        <v>8</v>
      </c>
      <c r="V552" s="27" t="s">
        <v>3039</v>
      </c>
      <c r="W552" s="31">
        <v>110</v>
      </c>
      <c r="X552" s="29"/>
      <c r="Y552" s="29"/>
      <c r="Z552" s="29"/>
      <c r="AA552" s="29"/>
      <c r="AB552" s="29"/>
      <c r="AC552" s="29" t="s">
        <v>2894</v>
      </c>
      <c r="AD552" s="29"/>
      <c r="AE552" s="29"/>
      <c r="AF552" s="29" t="s">
        <v>2894</v>
      </c>
      <c r="AG552" s="29" t="s">
        <v>2894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177</v>
      </c>
      <c r="C553" s="40">
        <v>90</v>
      </c>
      <c r="D553" s="40" t="s">
        <v>175</v>
      </c>
      <c r="E553" s="40" t="s">
        <v>2893</v>
      </c>
      <c r="F553" s="40" t="s">
        <v>3700</v>
      </c>
      <c r="G553" s="41" t="s">
        <v>5604</v>
      </c>
      <c r="H553" s="150" t="s">
        <v>5606</v>
      </c>
      <c r="I553" s="41" t="s">
        <v>5609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97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3039</v>
      </c>
      <c r="W553" s="41">
        <v>106</v>
      </c>
      <c r="X553" s="40"/>
      <c r="Y553" s="40"/>
      <c r="Z553" s="40"/>
      <c r="AA553" s="40"/>
      <c r="AB553" s="40"/>
      <c r="AC553" s="40" t="s">
        <v>2894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178</v>
      </c>
      <c r="C554" s="40">
        <v>93</v>
      </c>
      <c r="D554" s="40" t="s">
        <v>175</v>
      </c>
      <c r="E554" s="40" t="s">
        <v>2893</v>
      </c>
      <c r="F554" s="40" t="s">
        <v>3701</v>
      </c>
      <c r="G554" s="41" t="s">
        <v>5604</v>
      </c>
      <c r="H554" s="150" t="s">
        <v>5606</v>
      </c>
      <c r="I554" s="41" t="s">
        <v>5609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163</v>
      </c>
      <c r="Q554" s="43">
        <v>34.6</v>
      </c>
      <c r="R554" s="43">
        <v>330</v>
      </c>
      <c r="S554" s="43">
        <v>84</v>
      </c>
      <c r="T554" s="2" t="s">
        <v>575</v>
      </c>
      <c r="U554" s="2" t="s">
        <v>8</v>
      </c>
      <c r="V554" s="38" t="s">
        <v>3039</v>
      </c>
      <c r="W554" s="41">
        <v>110</v>
      </c>
      <c r="X554" s="40"/>
      <c r="Y554" s="40"/>
      <c r="Z554" s="40"/>
      <c r="AA554" s="40"/>
      <c r="AB554" s="40"/>
      <c r="AC554" s="40" t="s">
        <v>2894</v>
      </c>
      <c r="AD554" s="40"/>
      <c r="AE554" s="40"/>
      <c r="AF554" s="40" t="s">
        <v>2894</v>
      </c>
      <c r="AG554" s="40" t="s">
        <v>2894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175</v>
      </c>
      <c r="E555" s="40" t="s">
        <v>2893</v>
      </c>
      <c r="F555" s="40" t="s">
        <v>3702</v>
      </c>
      <c r="G555" s="41" t="s">
        <v>5604</v>
      </c>
      <c r="H555" s="150" t="s">
        <v>5608</v>
      </c>
      <c r="I555" s="41" t="s">
        <v>5609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3039</v>
      </c>
      <c r="W555" s="38">
        <v>106</v>
      </c>
      <c r="X555" s="40"/>
      <c r="Y555" s="40"/>
      <c r="Z555" s="40"/>
      <c r="AA555" s="40"/>
      <c r="AB555" s="40"/>
      <c r="AC555" s="40" t="s">
        <v>2894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180</v>
      </c>
      <c r="C556" s="56">
        <v>94</v>
      </c>
      <c r="D556" s="58" t="s">
        <v>175</v>
      </c>
      <c r="E556" s="58" t="s">
        <v>2893</v>
      </c>
      <c r="F556" s="58" t="s">
        <v>3703</v>
      </c>
      <c r="G556" s="60" t="s">
        <v>5604</v>
      </c>
      <c r="H556" s="226" t="s">
        <v>5608</v>
      </c>
      <c r="I556" s="60" t="s">
        <v>5609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575</v>
      </c>
      <c r="U556" s="59" t="str">
        <f>U554</f>
        <v>監測</v>
      </c>
      <c r="V556" s="56" t="s">
        <v>3039</v>
      </c>
      <c r="W556" s="56">
        <v>110</v>
      </c>
      <c r="X556" s="58"/>
      <c r="Y556" s="58"/>
      <c r="Z556" s="58"/>
      <c r="AA556" s="58"/>
      <c r="AB556" s="58"/>
      <c r="AC556" s="58" t="s">
        <v>2894</v>
      </c>
      <c r="AD556" s="58"/>
      <c r="AE556" s="58"/>
      <c r="AF556" s="58" t="s">
        <v>2894</v>
      </c>
      <c r="AG556" s="58" t="s">
        <v>2894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182</v>
      </c>
      <c r="C557" s="67">
        <v>12</v>
      </c>
      <c r="D557" s="75" t="s">
        <v>181</v>
      </c>
      <c r="E557" s="75" t="s">
        <v>2893</v>
      </c>
      <c r="F557" s="75" t="s">
        <v>3704</v>
      </c>
      <c r="G557" s="76" t="s">
        <v>5604</v>
      </c>
      <c r="H557" s="414" t="s">
        <v>5606</v>
      </c>
      <c r="I557" s="76" t="s">
        <v>5609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122</v>
      </c>
      <c r="Q557" s="72">
        <v>35.200000000000003</v>
      </c>
      <c r="R557" s="72">
        <v>340</v>
      </c>
      <c r="S557" s="72">
        <v>98.4</v>
      </c>
      <c r="T557" s="69" t="s">
        <v>306</v>
      </c>
      <c r="U557" s="288" t="s">
        <v>3</v>
      </c>
      <c r="V557" s="67" t="s">
        <v>3039</v>
      </c>
      <c r="W557" s="67">
        <v>112</v>
      </c>
      <c r="X557" s="75"/>
      <c r="Y557" s="75"/>
      <c r="Z557" s="75"/>
      <c r="AA557" s="75"/>
      <c r="AB557" s="75"/>
      <c r="AC557" s="75" t="s">
        <v>2894</v>
      </c>
      <c r="AD557" s="75"/>
      <c r="AE557" s="75"/>
      <c r="AF557" s="75" t="s">
        <v>2894</v>
      </c>
      <c r="AG557" s="75"/>
      <c r="AH557" s="75"/>
      <c r="AI557" s="75" t="s">
        <v>2898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183</v>
      </c>
      <c r="C558" s="38">
        <v>13</v>
      </c>
      <c r="D558" s="40" t="s">
        <v>181</v>
      </c>
      <c r="E558" s="40" t="s">
        <v>2893</v>
      </c>
      <c r="F558" s="40" t="s">
        <v>3705</v>
      </c>
      <c r="G558" s="41" t="s">
        <v>5604</v>
      </c>
      <c r="H558" s="150" t="s">
        <v>5606</v>
      </c>
      <c r="I558" s="41" t="s">
        <v>5609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55</v>
      </c>
      <c r="Q558" s="43">
        <v>35.9</v>
      </c>
      <c r="R558" s="43">
        <v>320</v>
      </c>
      <c r="S558" s="43">
        <v>96.8</v>
      </c>
      <c r="T558" s="2" t="s">
        <v>575</v>
      </c>
      <c r="U558" s="2" t="s">
        <v>8</v>
      </c>
      <c r="V558" s="38" t="s">
        <v>3039</v>
      </c>
      <c r="W558" s="38">
        <v>112</v>
      </c>
      <c r="X558" s="40"/>
      <c r="Y558" s="40"/>
      <c r="Z558" s="40"/>
      <c r="AA558" s="40"/>
      <c r="AB558" s="40"/>
      <c r="AC558" s="40" t="s">
        <v>2894</v>
      </c>
      <c r="AD558" s="40"/>
      <c r="AE558" s="40"/>
      <c r="AF558" s="40" t="s">
        <v>2894</v>
      </c>
      <c r="AG558" s="40"/>
      <c r="AH558" s="40"/>
      <c r="AI558" s="40" t="s">
        <v>2894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184</v>
      </c>
      <c r="C559" s="38">
        <v>59</v>
      </c>
      <c r="D559" s="40" t="s">
        <v>181</v>
      </c>
      <c r="E559" s="40" t="s">
        <v>2893</v>
      </c>
      <c r="F559" s="40" t="s">
        <v>3706</v>
      </c>
      <c r="G559" s="41" t="s">
        <v>5604</v>
      </c>
      <c r="H559" s="150" t="s">
        <v>5607</v>
      </c>
      <c r="I559" s="41" t="s">
        <v>5609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59</v>
      </c>
      <c r="Q559" s="43">
        <v>34</v>
      </c>
      <c r="R559" s="43">
        <v>305</v>
      </c>
      <c r="S559" s="43">
        <v>97.2</v>
      </c>
      <c r="T559" s="2" t="s">
        <v>306</v>
      </c>
      <c r="U559" s="85" t="s">
        <v>3</v>
      </c>
      <c r="V559" s="38" t="s">
        <v>3039</v>
      </c>
      <c r="W559" s="38">
        <v>112</v>
      </c>
      <c r="X559" s="40"/>
      <c r="Y559" s="40"/>
      <c r="Z559" s="40"/>
      <c r="AA559" s="40"/>
      <c r="AB559" s="40"/>
      <c r="AC559" s="40" t="s">
        <v>2894</v>
      </c>
      <c r="AD559" s="40"/>
      <c r="AE559" s="40"/>
      <c r="AF559" s="40" t="s">
        <v>2894</v>
      </c>
      <c r="AG559" s="40"/>
      <c r="AH559" s="40"/>
      <c r="AI559" s="40" t="s">
        <v>2898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185</v>
      </c>
      <c r="C560" s="38">
        <v>60</v>
      </c>
      <c r="D560" s="40" t="s">
        <v>181</v>
      </c>
      <c r="E560" s="40" t="s">
        <v>2893</v>
      </c>
      <c r="F560" s="40" t="s">
        <v>3707</v>
      </c>
      <c r="G560" s="41" t="s">
        <v>5604</v>
      </c>
      <c r="H560" s="150" t="s">
        <v>5607</v>
      </c>
      <c r="I560" s="41" t="s">
        <v>5609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172</v>
      </c>
      <c r="Q560" s="43">
        <v>31.8</v>
      </c>
      <c r="R560" s="43">
        <v>279</v>
      </c>
      <c r="S560" s="43">
        <v>85.8</v>
      </c>
      <c r="T560" s="2" t="s">
        <v>306</v>
      </c>
      <c r="U560" s="2" t="s">
        <v>3</v>
      </c>
      <c r="V560" s="38" t="s">
        <v>3039</v>
      </c>
      <c r="W560" s="38">
        <v>109</v>
      </c>
      <c r="X560" s="40"/>
      <c r="Y560" s="40"/>
      <c r="Z560" s="40"/>
      <c r="AA560" s="40"/>
      <c r="AB560" s="40"/>
      <c r="AC560" s="40" t="s">
        <v>2894</v>
      </c>
      <c r="AD560" s="40"/>
      <c r="AE560" s="40"/>
      <c r="AF560" s="40" t="s">
        <v>2898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186</v>
      </c>
      <c r="C561" s="38">
        <v>61</v>
      </c>
      <c r="D561" s="40" t="s">
        <v>181</v>
      </c>
      <c r="E561" s="40" t="s">
        <v>2893</v>
      </c>
      <c r="F561" s="40" t="s">
        <v>3708</v>
      </c>
      <c r="G561" s="41" t="s">
        <v>5604</v>
      </c>
      <c r="H561" s="150" t="s">
        <v>5607</v>
      </c>
      <c r="I561" s="41" t="s">
        <v>5609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172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3039</v>
      </c>
      <c r="W561" s="38">
        <v>106</v>
      </c>
      <c r="X561" s="40"/>
      <c r="Y561" s="40"/>
      <c r="Z561" s="40"/>
      <c r="AA561" s="40"/>
      <c r="AB561" s="40"/>
      <c r="AC561" s="40" t="s">
        <v>2894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187</v>
      </c>
      <c r="C562" s="38">
        <v>62</v>
      </c>
      <c r="D562" s="40" t="s">
        <v>181</v>
      </c>
      <c r="E562" s="40" t="s">
        <v>2893</v>
      </c>
      <c r="F562" s="40" t="s">
        <v>3709</v>
      </c>
      <c r="G562" s="41" t="s">
        <v>5604</v>
      </c>
      <c r="H562" s="150" t="s">
        <v>5607</v>
      </c>
      <c r="I562" s="41" t="s">
        <v>5609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172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3039</v>
      </c>
      <c r="W562" s="38">
        <v>106</v>
      </c>
      <c r="X562" s="40"/>
      <c r="Y562" s="40"/>
      <c r="Z562" s="40"/>
      <c r="AA562" s="40"/>
      <c r="AB562" s="40"/>
      <c r="AC562" s="40" t="s">
        <v>2894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181</v>
      </c>
      <c r="E563" s="40" t="s">
        <v>2893</v>
      </c>
      <c r="F563" s="40" t="s">
        <v>3710</v>
      </c>
      <c r="G563" s="41" t="s">
        <v>5604</v>
      </c>
      <c r="H563" s="150" t="s">
        <v>5606</v>
      </c>
      <c r="I563" s="41" t="s">
        <v>5609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163</v>
      </c>
      <c r="Q563" s="43">
        <v>32.6</v>
      </c>
      <c r="R563" s="43">
        <v>281</v>
      </c>
      <c r="S563" s="43">
        <v>88.8</v>
      </c>
      <c r="T563" s="2" t="s">
        <v>306</v>
      </c>
      <c r="U563" s="2" t="s">
        <v>3</v>
      </c>
      <c r="V563" s="38" t="s">
        <v>3039</v>
      </c>
      <c r="W563" s="38">
        <v>109</v>
      </c>
      <c r="X563" s="40"/>
      <c r="Y563" s="40"/>
      <c r="Z563" s="40"/>
      <c r="AA563" s="40"/>
      <c r="AB563" s="40"/>
      <c r="AC563" s="40" t="s">
        <v>2894</v>
      </c>
      <c r="AD563" s="40"/>
      <c r="AE563" s="40"/>
      <c r="AF563" s="40" t="s">
        <v>2898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181</v>
      </c>
      <c r="E564" s="83" t="s">
        <v>2893</v>
      </c>
      <c r="F564" s="83" t="s">
        <v>3711</v>
      </c>
      <c r="G564" s="47" t="s">
        <v>5604</v>
      </c>
      <c r="H564" s="340" t="s">
        <v>5608</v>
      </c>
      <c r="I564" s="47" t="s">
        <v>5609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3039</v>
      </c>
      <c r="W564" s="113">
        <v>106</v>
      </c>
      <c r="X564" s="83"/>
      <c r="Y564" s="83"/>
      <c r="Z564" s="83"/>
      <c r="AA564" s="83"/>
      <c r="AB564" s="83"/>
      <c r="AC564" s="83" t="s">
        <v>2894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189</v>
      </c>
      <c r="C565" s="27">
        <v>14</v>
      </c>
      <c r="D565" s="29" t="s">
        <v>188</v>
      </c>
      <c r="E565" s="29" t="s">
        <v>2893</v>
      </c>
      <c r="F565" s="29" t="s">
        <v>3712</v>
      </c>
      <c r="G565" s="31" t="s">
        <v>5604</v>
      </c>
      <c r="H565" s="145" t="s">
        <v>5607</v>
      </c>
      <c r="I565" s="31" t="s">
        <v>5609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77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3039</v>
      </c>
      <c r="W565" s="27">
        <v>106</v>
      </c>
      <c r="X565" s="29"/>
      <c r="Y565" s="29"/>
      <c r="Z565" s="29"/>
      <c r="AA565" s="29"/>
      <c r="AB565" s="29"/>
      <c r="AC565" s="29" t="s">
        <v>2894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190</v>
      </c>
      <c r="C566" s="38">
        <v>15</v>
      </c>
      <c r="D566" s="40" t="s">
        <v>188</v>
      </c>
      <c r="E566" s="40" t="s">
        <v>2893</v>
      </c>
      <c r="F566" s="40" t="s">
        <v>3713</v>
      </c>
      <c r="G566" s="41" t="s">
        <v>5604</v>
      </c>
      <c r="H566" s="150" t="s">
        <v>5607</v>
      </c>
      <c r="I566" s="41" t="s">
        <v>5609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37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3039</v>
      </c>
      <c r="W566" s="38">
        <v>106</v>
      </c>
      <c r="X566" s="40"/>
      <c r="Y566" s="40"/>
      <c r="Z566" s="40"/>
      <c r="AA566" s="40"/>
      <c r="AB566" s="40"/>
      <c r="AC566" s="40" t="s">
        <v>2894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191</v>
      </c>
      <c r="C567" s="38">
        <v>16</v>
      </c>
      <c r="D567" s="40" t="s">
        <v>188</v>
      </c>
      <c r="E567" s="40" t="s">
        <v>2893</v>
      </c>
      <c r="F567" s="40" t="s">
        <v>3714</v>
      </c>
      <c r="G567" s="41" t="s">
        <v>5604</v>
      </c>
      <c r="H567" s="150" t="s">
        <v>5607</v>
      </c>
      <c r="I567" s="41" t="s">
        <v>5609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192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3039</v>
      </c>
      <c r="W567" s="38">
        <v>106</v>
      </c>
      <c r="X567" s="40"/>
      <c r="Y567" s="40"/>
      <c r="Z567" s="40"/>
      <c r="AA567" s="40"/>
      <c r="AB567" s="40"/>
      <c r="AC567" s="40" t="s">
        <v>2894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193</v>
      </c>
      <c r="C568" s="38">
        <v>17</v>
      </c>
      <c r="D568" s="40" t="s">
        <v>188</v>
      </c>
      <c r="E568" s="40" t="s">
        <v>2893</v>
      </c>
      <c r="F568" s="40" t="s">
        <v>3715</v>
      </c>
      <c r="G568" s="41" t="s">
        <v>5604</v>
      </c>
      <c r="H568" s="150" t="s">
        <v>5607</v>
      </c>
      <c r="I568" s="41" t="s">
        <v>5609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192</v>
      </c>
      <c r="Q568" s="43">
        <v>31.8</v>
      </c>
      <c r="R568" s="43">
        <v>265</v>
      </c>
      <c r="S568" s="43">
        <v>80.3</v>
      </c>
      <c r="T568" s="2" t="s">
        <v>306</v>
      </c>
      <c r="U568" s="2" t="s">
        <v>3</v>
      </c>
      <c r="V568" s="38" t="s">
        <v>3039</v>
      </c>
      <c r="W568" s="38">
        <v>109</v>
      </c>
      <c r="X568" s="40"/>
      <c r="Y568" s="40"/>
      <c r="Z568" s="40"/>
      <c r="AA568" s="40"/>
      <c r="AB568" s="40"/>
      <c r="AC568" s="40" t="s">
        <v>2894</v>
      </c>
      <c r="AD568" s="40"/>
      <c r="AE568" s="40"/>
      <c r="AF568" s="40" t="s">
        <v>2898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194</v>
      </c>
      <c r="C569" s="38">
        <v>18</v>
      </c>
      <c r="D569" s="40" t="s">
        <v>188</v>
      </c>
      <c r="E569" s="40" t="s">
        <v>2893</v>
      </c>
      <c r="F569" s="40" t="s">
        <v>3716</v>
      </c>
      <c r="G569" s="41" t="s">
        <v>5604</v>
      </c>
      <c r="H569" s="150" t="s">
        <v>5606</v>
      </c>
      <c r="I569" s="41" t="s">
        <v>5609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37</v>
      </c>
      <c r="Q569" s="43">
        <v>35.799999999999997</v>
      </c>
      <c r="R569" s="43">
        <v>288</v>
      </c>
      <c r="S569" s="43">
        <v>86.2</v>
      </c>
      <c r="T569" s="2" t="s">
        <v>306</v>
      </c>
      <c r="U569" s="2" t="s">
        <v>3</v>
      </c>
      <c r="V569" s="38" t="s">
        <v>3039</v>
      </c>
      <c r="W569" s="38">
        <v>112</v>
      </c>
      <c r="X569" s="40"/>
      <c r="Y569" s="40"/>
      <c r="Z569" s="40"/>
      <c r="AA569" s="40"/>
      <c r="AB569" s="40"/>
      <c r="AC569" s="40" t="s">
        <v>2894</v>
      </c>
      <c r="AD569" s="40"/>
      <c r="AE569" s="40"/>
      <c r="AF569" s="40" t="s">
        <v>2894</v>
      </c>
      <c r="AG569" s="40"/>
      <c r="AH569" s="40"/>
      <c r="AI569" s="40" t="s">
        <v>2898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195</v>
      </c>
      <c r="C570" s="38">
        <v>19</v>
      </c>
      <c r="D570" s="40" t="s">
        <v>188</v>
      </c>
      <c r="E570" s="40" t="s">
        <v>2893</v>
      </c>
      <c r="F570" s="40" t="s">
        <v>3717</v>
      </c>
      <c r="G570" s="41" t="s">
        <v>5604</v>
      </c>
      <c r="H570" s="150" t="s">
        <v>5606</v>
      </c>
      <c r="I570" s="41" t="s">
        <v>5609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122</v>
      </c>
      <c r="Q570" s="43">
        <v>35.299999999999997</v>
      </c>
      <c r="R570" s="43">
        <v>323</v>
      </c>
      <c r="S570" s="43">
        <v>95.3</v>
      </c>
      <c r="T570" s="2" t="s">
        <v>306</v>
      </c>
      <c r="U570" s="2" t="s">
        <v>3</v>
      </c>
      <c r="V570" s="38" t="s">
        <v>3039</v>
      </c>
      <c r="W570" s="38">
        <v>112</v>
      </c>
      <c r="X570" s="40"/>
      <c r="Y570" s="40"/>
      <c r="Z570" s="40"/>
      <c r="AA570" s="40"/>
      <c r="AB570" s="40"/>
      <c r="AC570" s="40" t="s">
        <v>2894</v>
      </c>
      <c r="AD570" s="40"/>
      <c r="AE570" s="40"/>
      <c r="AF570" s="40" t="s">
        <v>2894</v>
      </c>
      <c r="AG570" s="40"/>
      <c r="AH570" s="40"/>
      <c r="AI570" s="40" t="s">
        <v>2898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196</v>
      </c>
      <c r="C571" s="38">
        <v>49</v>
      </c>
      <c r="D571" s="40" t="s">
        <v>188</v>
      </c>
      <c r="E571" s="40" t="s">
        <v>2893</v>
      </c>
      <c r="F571" s="40" t="s">
        <v>3718</v>
      </c>
      <c r="G571" s="41" t="s">
        <v>5604</v>
      </c>
      <c r="H571" s="150" t="s">
        <v>5607</v>
      </c>
      <c r="I571" s="41" t="s">
        <v>5609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172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3039</v>
      </c>
      <c r="W571" s="38">
        <v>106</v>
      </c>
      <c r="X571" s="40"/>
      <c r="Y571" s="40"/>
      <c r="Z571" s="40"/>
      <c r="AA571" s="40"/>
      <c r="AB571" s="40"/>
      <c r="AC571" s="40" t="s">
        <v>2894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197</v>
      </c>
      <c r="C572" s="38">
        <v>51</v>
      </c>
      <c r="D572" s="40" t="s">
        <v>188</v>
      </c>
      <c r="E572" s="40" t="s">
        <v>2893</v>
      </c>
      <c r="F572" s="40" t="s">
        <v>3719</v>
      </c>
      <c r="G572" s="41" t="s">
        <v>5604</v>
      </c>
      <c r="H572" s="150" t="s">
        <v>5606</v>
      </c>
      <c r="I572" s="41" t="s">
        <v>5609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172</v>
      </c>
      <c r="Q572" s="43">
        <v>35.799999999999997</v>
      </c>
      <c r="R572" s="43">
        <v>373</v>
      </c>
      <c r="S572" s="43">
        <v>117</v>
      </c>
      <c r="T572" s="2" t="s">
        <v>575</v>
      </c>
      <c r="U572" s="2" t="s">
        <v>8</v>
      </c>
      <c r="V572" s="38" t="s">
        <v>3039</v>
      </c>
      <c r="W572" s="38">
        <v>111</v>
      </c>
      <c r="X572" s="40"/>
      <c r="Y572" s="40"/>
      <c r="Z572" s="40"/>
      <c r="AA572" s="40"/>
      <c r="AB572" s="40"/>
      <c r="AC572" s="40" t="s">
        <v>2894</v>
      </c>
      <c r="AD572" s="40"/>
      <c r="AE572" s="40"/>
      <c r="AF572" s="40" t="s">
        <v>2894</v>
      </c>
      <c r="AG572" s="40"/>
      <c r="AH572" s="40" t="s">
        <v>2894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198</v>
      </c>
      <c r="C573" s="38">
        <v>52</v>
      </c>
      <c r="D573" s="40" t="s">
        <v>188</v>
      </c>
      <c r="E573" s="40" t="s">
        <v>2893</v>
      </c>
      <c r="F573" s="40" t="s">
        <v>3720</v>
      </c>
      <c r="G573" s="41" t="s">
        <v>5604</v>
      </c>
      <c r="H573" s="150" t="s">
        <v>5607</v>
      </c>
      <c r="I573" s="41" t="s">
        <v>5609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37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3039</v>
      </c>
      <c r="W573" s="38">
        <v>106</v>
      </c>
      <c r="X573" s="40"/>
      <c r="Y573" s="40"/>
      <c r="Z573" s="40"/>
      <c r="AA573" s="40"/>
      <c r="AB573" s="40"/>
      <c r="AC573" s="40" t="s">
        <v>2894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199</v>
      </c>
      <c r="C574" s="38">
        <v>53</v>
      </c>
      <c r="D574" s="40" t="s">
        <v>188</v>
      </c>
      <c r="E574" s="40" t="s">
        <v>2893</v>
      </c>
      <c r="F574" s="40" t="s">
        <v>3721</v>
      </c>
      <c r="G574" s="41" t="s">
        <v>5604</v>
      </c>
      <c r="H574" s="150" t="s">
        <v>5607</v>
      </c>
      <c r="I574" s="41" t="s">
        <v>5609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77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3039</v>
      </c>
      <c r="W574" s="38">
        <v>106</v>
      </c>
      <c r="X574" s="40"/>
      <c r="Y574" s="40"/>
      <c r="Z574" s="40"/>
      <c r="AA574" s="40"/>
      <c r="AB574" s="40"/>
      <c r="AC574" s="40" t="s">
        <v>2894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200</v>
      </c>
      <c r="C575" s="38">
        <v>54</v>
      </c>
      <c r="D575" s="40" t="s">
        <v>188</v>
      </c>
      <c r="E575" s="40" t="s">
        <v>2893</v>
      </c>
      <c r="F575" s="40" t="s">
        <v>3722</v>
      </c>
      <c r="G575" s="41" t="s">
        <v>5604</v>
      </c>
      <c r="H575" s="150" t="s">
        <v>5607</v>
      </c>
      <c r="I575" s="41" t="s">
        <v>5609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66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3039</v>
      </c>
      <c r="W575" s="38">
        <v>106</v>
      </c>
      <c r="X575" s="40"/>
      <c r="Y575" s="40"/>
      <c r="Z575" s="40"/>
      <c r="AA575" s="40"/>
      <c r="AB575" s="40"/>
      <c r="AC575" s="40" t="s">
        <v>2894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201</v>
      </c>
      <c r="C576" s="38">
        <v>55</v>
      </c>
      <c r="D576" s="40" t="s">
        <v>188</v>
      </c>
      <c r="E576" s="40" t="s">
        <v>2893</v>
      </c>
      <c r="F576" s="40" t="s">
        <v>3723</v>
      </c>
      <c r="G576" s="41" t="s">
        <v>5604</v>
      </c>
      <c r="H576" s="150" t="s">
        <v>5607</v>
      </c>
      <c r="I576" s="41" t="s">
        <v>5609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3039</v>
      </c>
      <c r="W576" s="38">
        <v>106</v>
      </c>
      <c r="X576" s="40"/>
      <c r="Y576" s="40"/>
      <c r="Z576" s="40"/>
      <c r="AA576" s="40"/>
      <c r="AB576" s="40"/>
      <c r="AC576" s="40" t="s">
        <v>2894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202</v>
      </c>
      <c r="C577" s="38">
        <v>56</v>
      </c>
      <c r="D577" s="40" t="s">
        <v>188</v>
      </c>
      <c r="E577" s="40" t="s">
        <v>2893</v>
      </c>
      <c r="F577" s="40" t="s">
        <v>3724</v>
      </c>
      <c r="G577" s="41" t="s">
        <v>5604</v>
      </c>
      <c r="H577" s="150" t="s">
        <v>5607</v>
      </c>
      <c r="I577" s="41" t="s">
        <v>5609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3039</v>
      </c>
      <c r="W577" s="38">
        <v>106</v>
      </c>
      <c r="X577" s="40"/>
      <c r="Y577" s="40"/>
      <c r="Z577" s="40"/>
      <c r="AA577" s="40"/>
      <c r="AB577" s="40"/>
      <c r="AC577" s="40" t="s">
        <v>2894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203</v>
      </c>
      <c r="C578" s="38">
        <v>57</v>
      </c>
      <c r="D578" s="40" t="s">
        <v>188</v>
      </c>
      <c r="E578" s="40" t="s">
        <v>2893</v>
      </c>
      <c r="F578" s="40" t="s">
        <v>3725</v>
      </c>
      <c r="G578" s="41" t="s">
        <v>5604</v>
      </c>
      <c r="H578" s="150" t="s">
        <v>5607</v>
      </c>
      <c r="I578" s="41" t="s">
        <v>5609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77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3039</v>
      </c>
      <c r="W578" s="38">
        <v>106</v>
      </c>
      <c r="X578" s="40"/>
      <c r="Y578" s="40"/>
      <c r="Z578" s="40"/>
      <c r="AA578" s="40"/>
      <c r="AB578" s="40"/>
      <c r="AC578" s="40" t="s">
        <v>2894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204</v>
      </c>
      <c r="C579" s="38">
        <v>64</v>
      </c>
      <c r="D579" s="40" t="s">
        <v>188</v>
      </c>
      <c r="E579" s="40" t="s">
        <v>2893</v>
      </c>
      <c r="F579" s="40" t="s">
        <v>3726</v>
      </c>
      <c r="G579" s="41" t="s">
        <v>5604</v>
      </c>
      <c r="H579" s="150" t="s">
        <v>5608</v>
      </c>
      <c r="I579" s="41" t="s">
        <v>5609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59</v>
      </c>
      <c r="Q579" s="43">
        <v>33.1</v>
      </c>
      <c r="R579" s="43">
        <v>303</v>
      </c>
      <c r="S579" s="43">
        <v>105</v>
      </c>
      <c r="T579" s="2" t="s">
        <v>575</v>
      </c>
      <c r="U579" s="2" t="str">
        <f>U46</f>
        <v>監測</v>
      </c>
      <c r="V579" s="38" t="s">
        <v>3039</v>
      </c>
      <c r="W579" s="38">
        <v>112</v>
      </c>
      <c r="X579" s="40"/>
      <c r="Y579" s="40"/>
      <c r="Z579" s="40"/>
      <c r="AA579" s="40"/>
      <c r="AB579" s="40"/>
      <c r="AC579" s="40" t="s">
        <v>2894</v>
      </c>
      <c r="AD579" s="40"/>
      <c r="AE579" s="40"/>
      <c r="AF579" s="40" t="s">
        <v>2894</v>
      </c>
      <c r="AG579" s="40"/>
      <c r="AH579" s="40"/>
      <c r="AI579" s="40" t="s">
        <v>2894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205</v>
      </c>
      <c r="C580" s="38">
        <v>68</v>
      </c>
      <c r="D580" s="40" t="s">
        <v>188</v>
      </c>
      <c r="E580" s="40" t="s">
        <v>2893</v>
      </c>
      <c r="F580" s="40" t="s">
        <v>3727</v>
      </c>
      <c r="G580" s="41" t="s">
        <v>5604</v>
      </c>
      <c r="H580" s="150" t="s">
        <v>5607</v>
      </c>
      <c r="I580" s="41" t="s">
        <v>5609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575</v>
      </c>
      <c r="U580" s="2" t="s">
        <v>8</v>
      </c>
      <c r="V580" s="38" t="s">
        <v>3039</v>
      </c>
      <c r="W580" s="38">
        <v>111</v>
      </c>
      <c r="X580" s="40"/>
      <c r="Y580" s="40"/>
      <c r="Z580" s="40"/>
      <c r="AA580" s="40"/>
      <c r="AB580" s="40"/>
      <c r="AC580" s="40" t="s">
        <v>2894</v>
      </c>
      <c r="AD580" s="40"/>
      <c r="AE580" s="40"/>
      <c r="AF580" s="40" t="s">
        <v>2898</v>
      </c>
      <c r="AG580" s="40"/>
      <c r="AH580" s="40" t="s">
        <v>2894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188</v>
      </c>
      <c r="E581" s="40" t="s">
        <v>2893</v>
      </c>
      <c r="F581" s="40" t="s">
        <v>3728</v>
      </c>
      <c r="G581" s="50" t="s">
        <v>3040</v>
      </c>
      <c r="H581" s="150" t="s">
        <v>5607</v>
      </c>
      <c r="I581" s="50" t="s">
        <v>3040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575</v>
      </c>
      <c r="U581" s="2" t="s">
        <v>8</v>
      </c>
      <c r="V581" s="38" t="s">
        <v>3039</v>
      </c>
      <c r="W581" s="38">
        <v>106</v>
      </c>
      <c r="X581" s="40"/>
      <c r="Y581" s="40"/>
      <c r="Z581" s="40"/>
      <c r="AA581" s="40"/>
      <c r="AB581" s="40"/>
      <c r="AC581" s="40" t="s">
        <v>2894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188</v>
      </c>
      <c r="E582" s="40" t="s">
        <v>2893</v>
      </c>
      <c r="F582" s="40" t="s">
        <v>3729</v>
      </c>
      <c r="G582" s="50" t="s">
        <v>3040</v>
      </c>
      <c r="H582" s="150" t="s">
        <v>5607</v>
      </c>
      <c r="I582" s="50" t="s">
        <v>3040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3039</v>
      </c>
      <c r="W582" s="38">
        <v>106</v>
      </c>
      <c r="X582" s="40"/>
      <c r="Y582" s="40"/>
      <c r="Z582" s="40"/>
      <c r="AA582" s="40"/>
      <c r="AB582" s="40"/>
      <c r="AC582" s="40" t="s">
        <v>2894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188</v>
      </c>
      <c r="E583" s="40" t="s">
        <v>2893</v>
      </c>
      <c r="F583" s="40" t="s">
        <v>3730</v>
      </c>
      <c r="G583" s="50"/>
      <c r="H583" s="150" t="s">
        <v>5607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3039</v>
      </c>
      <c r="W583" s="38">
        <v>106</v>
      </c>
      <c r="X583" s="40"/>
      <c r="Y583" s="40"/>
      <c r="Z583" s="40"/>
      <c r="AA583" s="40"/>
      <c r="AB583" s="40"/>
      <c r="AC583" s="40" t="s">
        <v>2894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188</v>
      </c>
      <c r="E584" s="83" t="s">
        <v>2893</v>
      </c>
      <c r="F584" s="83" t="s">
        <v>3731</v>
      </c>
      <c r="G584" s="47" t="s">
        <v>5604</v>
      </c>
      <c r="H584" s="340" t="s">
        <v>5607</v>
      </c>
      <c r="I584" s="47" t="s">
        <v>5609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575</v>
      </c>
      <c r="U584" s="85" t="s">
        <v>8</v>
      </c>
      <c r="V584" s="113" t="s">
        <v>3039</v>
      </c>
      <c r="W584" s="113">
        <v>111</v>
      </c>
      <c r="X584" s="83"/>
      <c r="Y584" s="83"/>
      <c r="Z584" s="83"/>
      <c r="AA584" s="83"/>
      <c r="AB584" s="83"/>
      <c r="AC584" s="83" t="s">
        <v>2894</v>
      </c>
      <c r="AD584" s="83"/>
      <c r="AE584" s="83"/>
      <c r="AF584" s="83" t="s">
        <v>2898</v>
      </c>
      <c r="AG584" s="83"/>
      <c r="AH584" s="83" t="s">
        <v>2894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206</v>
      </c>
      <c r="C585" s="27">
        <v>20</v>
      </c>
      <c r="D585" s="29" t="s">
        <v>207</v>
      </c>
      <c r="E585" s="29" t="s">
        <v>2893</v>
      </c>
      <c r="F585" s="29" t="s">
        <v>3732</v>
      </c>
      <c r="G585" s="192"/>
      <c r="H585" s="145" t="s">
        <v>5607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55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3039</v>
      </c>
      <c r="W585" s="27">
        <v>106</v>
      </c>
      <c r="X585" s="29"/>
      <c r="Y585" s="29"/>
      <c r="Z585" s="29"/>
      <c r="AA585" s="29"/>
      <c r="AB585" s="29"/>
      <c r="AC585" s="29" t="s">
        <v>2894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208</v>
      </c>
      <c r="C586" s="38">
        <v>21</v>
      </c>
      <c r="D586" s="40" t="s">
        <v>207</v>
      </c>
      <c r="E586" s="40" t="s">
        <v>2893</v>
      </c>
      <c r="F586" s="40" t="s">
        <v>3733</v>
      </c>
      <c r="G586" s="50"/>
      <c r="H586" s="150" t="s">
        <v>5607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209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3039</v>
      </c>
      <c r="W586" s="38">
        <v>106</v>
      </c>
      <c r="X586" s="40"/>
      <c r="Y586" s="40"/>
      <c r="Z586" s="40"/>
      <c r="AA586" s="40"/>
      <c r="AB586" s="40"/>
      <c r="AC586" s="40" t="s">
        <v>2894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210</v>
      </c>
      <c r="C587" s="38">
        <v>22</v>
      </c>
      <c r="D587" s="40" t="s">
        <v>207</v>
      </c>
      <c r="E587" s="40" t="s">
        <v>2893</v>
      </c>
      <c r="F587" s="40" t="s">
        <v>3734</v>
      </c>
      <c r="G587" s="50"/>
      <c r="H587" s="150" t="s">
        <v>5607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77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3039</v>
      </c>
      <c r="W587" s="38">
        <v>106</v>
      </c>
      <c r="X587" s="40"/>
      <c r="Y587" s="40"/>
      <c r="Z587" s="40"/>
      <c r="AA587" s="40"/>
      <c r="AB587" s="40"/>
      <c r="AC587" s="40" t="s">
        <v>2894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211</v>
      </c>
      <c r="C588" s="38">
        <v>23</v>
      </c>
      <c r="D588" s="40" t="s">
        <v>207</v>
      </c>
      <c r="E588" s="40" t="s">
        <v>2893</v>
      </c>
      <c r="F588" s="40" t="s">
        <v>3735</v>
      </c>
      <c r="G588" s="50"/>
      <c r="H588" s="150" t="s">
        <v>5607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37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3039</v>
      </c>
      <c r="W588" s="38">
        <v>106</v>
      </c>
      <c r="X588" s="40"/>
      <c r="Y588" s="40"/>
      <c r="Z588" s="40"/>
      <c r="AA588" s="40"/>
      <c r="AB588" s="40"/>
      <c r="AC588" s="40" t="s">
        <v>2894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212</v>
      </c>
      <c r="C589" s="38">
        <v>24</v>
      </c>
      <c r="D589" s="40" t="s">
        <v>207</v>
      </c>
      <c r="E589" s="40" t="s">
        <v>2893</v>
      </c>
      <c r="F589" s="40" t="s">
        <v>3736</v>
      </c>
      <c r="G589" s="50"/>
      <c r="H589" s="150" t="s">
        <v>5607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192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3039</v>
      </c>
      <c r="W589" s="38">
        <v>106</v>
      </c>
      <c r="X589" s="40"/>
      <c r="Y589" s="40"/>
      <c r="Z589" s="40"/>
      <c r="AA589" s="40"/>
      <c r="AB589" s="40"/>
      <c r="AC589" s="40" t="s">
        <v>2894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213</v>
      </c>
      <c r="C590" s="38">
        <v>25</v>
      </c>
      <c r="D590" s="40" t="s">
        <v>207</v>
      </c>
      <c r="E590" s="40" t="s">
        <v>2893</v>
      </c>
      <c r="F590" s="40" t="s">
        <v>3737</v>
      </c>
      <c r="G590" s="41" t="s">
        <v>5604</v>
      </c>
      <c r="H590" s="150" t="s">
        <v>5607</v>
      </c>
      <c r="I590" s="41" t="s">
        <v>5609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214</v>
      </c>
      <c r="Q590" s="43">
        <v>34.799999999999997</v>
      </c>
      <c r="R590" s="43">
        <v>289</v>
      </c>
      <c r="S590" s="43">
        <v>77.2</v>
      </c>
      <c r="T590" s="2" t="s">
        <v>306</v>
      </c>
      <c r="U590" s="2" t="s">
        <v>3</v>
      </c>
      <c r="V590" s="38" t="s">
        <v>3039</v>
      </c>
      <c r="W590" s="38">
        <v>112</v>
      </c>
      <c r="X590" s="40"/>
      <c r="Y590" s="40"/>
      <c r="Z590" s="40"/>
      <c r="AA590" s="40"/>
      <c r="AB590" s="40"/>
      <c r="AC590" s="40" t="s">
        <v>2894</v>
      </c>
      <c r="AD590" s="40"/>
      <c r="AE590" s="40"/>
      <c r="AF590" s="40" t="s">
        <v>2894</v>
      </c>
      <c r="AG590" s="40"/>
      <c r="AH590" s="40"/>
      <c r="AI590" s="40" t="s">
        <v>2898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215</v>
      </c>
      <c r="C591" s="38">
        <v>26</v>
      </c>
      <c r="D591" s="40" t="s">
        <v>207</v>
      </c>
      <c r="E591" s="40" t="s">
        <v>2893</v>
      </c>
      <c r="F591" s="40" t="s">
        <v>3738</v>
      </c>
      <c r="G591" s="41" t="s">
        <v>5604</v>
      </c>
      <c r="H591" s="150" t="s">
        <v>5606</v>
      </c>
      <c r="I591" s="41" t="s">
        <v>5609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138</v>
      </c>
      <c r="Q591" s="43">
        <v>37</v>
      </c>
      <c r="R591" s="43">
        <v>262</v>
      </c>
      <c r="S591" s="43">
        <v>76.599999999999994</v>
      </c>
      <c r="T591" s="2" t="s">
        <v>306</v>
      </c>
      <c r="U591" s="2" t="s">
        <v>3</v>
      </c>
      <c r="V591" s="38" t="s">
        <v>3039</v>
      </c>
      <c r="W591" s="38">
        <v>109</v>
      </c>
      <c r="X591" s="40"/>
      <c r="Y591" s="40"/>
      <c r="Z591" s="40"/>
      <c r="AA591" s="40"/>
      <c r="AB591" s="40"/>
      <c r="AC591" s="40" t="s">
        <v>2894</v>
      </c>
      <c r="AD591" s="40"/>
      <c r="AE591" s="40"/>
      <c r="AF591" s="40" t="s">
        <v>2898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216</v>
      </c>
      <c r="C592" s="38">
        <v>28</v>
      </c>
      <c r="D592" s="40" t="s">
        <v>207</v>
      </c>
      <c r="E592" s="40" t="s">
        <v>2893</v>
      </c>
      <c r="F592" s="40" t="s">
        <v>3739</v>
      </c>
      <c r="G592" s="41" t="s">
        <v>5604</v>
      </c>
      <c r="H592" s="150" t="s">
        <v>5606</v>
      </c>
      <c r="I592" s="41" t="s">
        <v>5609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55</v>
      </c>
      <c r="Q592" s="43">
        <v>38.5</v>
      </c>
      <c r="R592" s="43">
        <v>413</v>
      </c>
      <c r="S592" s="43">
        <v>104</v>
      </c>
      <c r="T592" s="2" t="s">
        <v>575</v>
      </c>
      <c r="U592" s="2" t="s">
        <v>8</v>
      </c>
      <c r="V592" s="38" t="s">
        <v>3039</v>
      </c>
      <c r="W592" s="38">
        <v>112</v>
      </c>
      <c r="X592" s="40"/>
      <c r="Y592" s="40"/>
      <c r="Z592" s="40"/>
      <c r="AA592" s="40"/>
      <c r="AB592" s="40"/>
      <c r="AC592" s="40" t="s">
        <v>2894</v>
      </c>
      <c r="AD592" s="40"/>
      <c r="AE592" s="40"/>
      <c r="AF592" s="40" t="s">
        <v>2894</v>
      </c>
      <c r="AG592" s="40"/>
      <c r="AH592" s="40"/>
      <c r="AI592" s="40" t="s">
        <v>2894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217</v>
      </c>
      <c r="C593" s="38">
        <v>37</v>
      </c>
      <c r="D593" s="40" t="s">
        <v>207</v>
      </c>
      <c r="E593" s="40" t="s">
        <v>2893</v>
      </c>
      <c r="F593" s="40" t="s">
        <v>3740</v>
      </c>
      <c r="G593" s="50"/>
      <c r="H593" s="150" t="s">
        <v>5607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59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3039</v>
      </c>
      <c r="W593" s="38">
        <v>106</v>
      </c>
      <c r="X593" s="40"/>
      <c r="Y593" s="40"/>
      <c r="Z593" s="40"/>
      <c r="AA593" s="40"/>
      <c r="AB593" s="40"/>
      <c r="AC593" s="40" t="s">
        <v>2894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218</v>
      </c>
      <c r="C594" s="38">
        <v>38</v>
      </c>
      <c r="D594" s="40" t="s">
        <v>207</v>
      </c>
      <c r="E594" s="40" t="s">
        <v>2893</v>
      </c>
      <c r="F594" s="40" t="s">
        <v>3741</v>
      </c>
      <c r="G594" s="41" t="s">
        <v>5604</v>
      </c>
      <c r="H594" s="150" t="s">
        <v>5606</v>
      </c>
      <c r="I594" s="41" t="s">
        <v>5609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219</v>
      </c>
      <c r="Q594" s="43">
        <v>39.200000000000003</v>
      </c>
      <c r="R594" s="43">
        <v>387</v>
      </c>
      <c r="S594" s="43">
        <v>106</v>
      </c>
      <c r="T594" s="2" t="s">
        <v>575</v>
      </c>
      <c r="U594" s="2" t="s">
        <v>8</v>
      </c>
      <c r="V594" s="38" t="s">
        <v>3039</v>
      </c>
      <c r="W594" s="38">
        <v>109</v>
      </c>
      <c r="X594" s="40"/>
      <c r="Y594" s="40"/>
      <c r="Z594" s="40"/>
      <c r="AA594" s="40"/>
      <c r="AB594" s="40"/>
      <c r="AC594" s="40" t="s">
        <v>2894</v>
      </c>
      <c r="AD594" s="40"/>
      <c r="AE594" s="40"/>
      <c r="AF594" s="40" t="s">
        <v>2894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220</v>
      </c>
      <c r="C595" s="38">
        <v>39</v>
      </c>
      <c r="D595" s="40" t="s">
        <v>207</v>
      </c>
      <c r="E595" s="40" t="s">
        <v>2893</v>
      </c>
      <c r="F595" s="40" t="s">
        <v>3742</v>
      </c>
      <c r="G595" s="50"/>
      <c r="H595" s="150" t="s">
        <v>5607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66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3039</v>
      </c>
      <c r="W595" s="38">
        <v>106</v>
      </c>
      <c r="X595" s="40"/>
      <c r="Y595" s="40"/>
      <c r="Z595" s="40"/>
      <c r="AA595" s="40"/>
      <c r="AB595" s="40"/>
      <c r="AC595" s="40" t="s">
        <v>2894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221</v>
      </c>
      <c r="C596" s="38">
        <v>40</v>
      </c>
      <c r="D596" s="40" t="s">
        <v>207</v>
      </c>
      <c r="E596" s="40" t="s">
        <v>2893</v>
      </c>
      <c r="F596" s="40" t="s">
        <v>3743</v>
      </c>
      <c r="G596" s="50"/>
      <c r="H596" s="150" t="s">
        <v>5607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214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3039</v>
      </c>
      <c r="W596" s="38">
        <v>106</v>
      </c>
      <c r="X596" s="40"/>
      <c r="Y596" s="40"/>
      <c r="Z596" s="40"/>
      <c r="AA596" s="40"/>
      <c r="AB596" s="40"/>
      <c r="AC596" s="40" t="s">
        <v>2894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222</v>
      </c>
      <c r="C597" s="38">
        <v>41</v>
      </c>
      <c r="D597" s="40" t="s">
        <v>207</v>
      </c>
      <c r="E597" s="40" t="s">
        <v>2893</v>
      </c>
      <c r="F597" s="40" t="s">
        <v>3744</v>
      </c>
      <c r="G597" s="50"/>
      <c r="H597" s="150" t="s">
        <v>5607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122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3039</v>
      </c>
      <c r="W597" s="38">
        <v>106</v>
      </c>
      <c r="X597" s="40"/>
      <c r="Y597" s="40"/>
      <c r="Z597" s="40"/>
      <c r="AA597" s="40"/>
      <c r="AB597" s="40"/>
      <c r="AC597" s="40" t="s">
        <v>2894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223</v>
      </c>
      <c r="C598" s="38">
        <v>42</v>
      </c>
      <c r="D598" s="40" t="s">
        <v>207</v>
      </c>
      <c r="E598" s="40" t="s">
        <v>2893</v>
      </c>
      <c r="F598" s="40" t="s">
        <v>3745</v>
      </c>
      <c r="G598" s="50"/>
      <c r="H598" s="150" t="s">
        <v>5607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214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3039</v>
      </c>
      <c r="W598" s="38">
        <v>106</v>
      </c>
      <c r="X598" s="40"/>
      <c r="Y598" s="40"/>
      <c r="Z598" s="40"/>
      <c r="AA598" s="40"/>
      <c r="AB598" s="40"/>
      <c r="AC598" s="40" t="s">
        <v>2894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224</v>
      </c>
      <c r="C599" s="38">
        <v>43</v>
      </c>
      <c r="D599" s="40" t="s">
        <v>207</v>
      </c>
      <c r="E599" s="40" t="s">
        <v>2893</v>
      </c>
      <c r="F599" s="40" t="s">
        <v>3746</v>
      </c>
      <c r="G599" s="50"/>
      <c r="H599" s="150" t="s">
        <v>5607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37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3039</v>
      </c>
      <c r="W599" s="38">
        <v>106</v>
      </c>
      <c r="X599" s="40"/>
      <c r="Y599" s="40"/>
      <c r="Z599" s="40"/>
      <c r="AA599" s="40"/>
      <c r="AB599" s="40"/>
      <c r="AC599" s="40" t="s">
        <v>2894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225</v>
      </c>
      <c r="C600" s="38">
        <v>45</v>
      </c>
      <c r="D600" s="40" t="s">
        <v>207</v>
      </c>
      <c r="E600" s="40" t="s">
        <v>2893</v>
      </c>
      <c r="F600" s="40" t="s">
        <v>3747</v>
      </c>
      <c r="G600" s="50"/>
      <c r="H600" s="150" t="s">
        <v>5607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122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3039</v>
      </c>
      <c r="W600" s="38">
        <v>106</v>
      </c>
      <c r="X600" s="40"/>
      <c r="Y600" s="40"/>
      <c r="Z600" s="40"/>
      <c r="AA600" s="40"/>
      <c r="AB600" s="40"/>
      <c r="AC600" s="40" t="s">
        <v>2894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226</v>
      </c>
      <c r="C601" s="38">
        <v>46</v>
      </c>
      <c r="D601" s="40" t="s">
        <v>207</v>
      </c>
      <c r="E601" s="40" t="s">
        <v>2893</v>
      </c>
      <c r="F601" s="40" t="s">
        <v>3748</v>
      </c>
      <c r="G601" s="50"/>
      <c r="H601" s="150" t="s">
        <v>5607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77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3039</v>
      </c>
      <c r="W601" s="38">
        <v>106</v>
      </c>
      <c r="X601" s="40"/>
      <c r="Y601" s="40"/>
      <c r="Z601" s="40"/>
      <c r="AA601" s="40"/>
      <c r="AB601" s="40"/>
      <c r="AC601" s="40" t="s">
        <v>2894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207</v>
      </c>
      <c r="E602" s="40" t="s">
        <v>2893</v>
      </c>
      <c r="F602" s="40" t="s">
        <v>3749</v>
      </c>
      <c r="G602" s="41" t="s">
        <v>5604</v>
      </c>
      <c r="H602" s="150" t="s">
        <v>5608</v>
      </c>
      <c r="I602" s="41" t="s">
        <v>5609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575</v>
      </c>
      <c r="U602" s="2" t="str">
        <f>U591</f>
        <v>正常</v>
      </c>
      <c r="V602" s="38" t="s">
        <v>3039</v>
      </c>
      <c r="W602" s="38">
        <v>112</v>
      </c>
      <c r="X602" s="40"/>
      <c r="Y602" s="40"/>
      <c r="Z602" s="40"/>
      <c r="AA602" s="40"/>
      <c r="AB602" s="40"/>
      <c r="AC602" s="40" t="s">
        <v>2894</v>
      </c>
      <c r="AD602" s="40"/>
      <c r="AE602" s="40"/>
      <c r="AF602" s="40" t="s">
        <v>2894</v>
      </c>
      <c r="AG602" s="40"/>
      <c r="AH602" s="40"/>
      <c r="AI602" s="40" t="s">
        <v>2898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207</v>
      </c>
      <c r="E603" s="40" t="s">
        <v>2893</v>
      </c>
      <c r="F603" s="40" t="s">
        <v>3750</v>
      </c>
      <c r="G603" s="50"/>
      <c r="H603" s="150" t="s">
        <v>5607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3039</v>
      </c>
      <c r="W603" s="38">
        <v>106</v>
      </c>
      <c r="X603" s="40"/>
      <c r="Y603" s="40"/>
      <c r="Z603" s="40"/>
      <c r="AA603" s="40"/>
      <c r="AB603" s="40"/>
      <c r="AC603" s="40" t="s">
        <v>2894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207</v>
      </c>
      <c r="E604" s="40" t="s">
        <v>2893</v>
      </c>
      <c r="F604" s="40" t="s">
        <v>3751</v>
      </c>
      <c r="G604" s="50"/>
      <c r="H604" s="150" t="s">
        <v>5608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3039</v>
      </c>
      <c r="W604" s="38">
        <v>106</v>
      </c>
      <c r="X604" s="40"/>
      <c r="Y604" s="40"/>
      <c r="Z604" s="40"/>
      <c r="AA604" s="40"/>
      <c r="AB604" s="40"/>
      <c r="AC604" s="40" t="s">
        <v>2894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207</v>
      </c>
      <c r="E605" s="40" t="s">
        <v>2893</v>
      </c>
      <c r="F605" s="40" t="s">
        <v>3752</v>
      </c>
      <c r="G605" s="50"/>
      <c r="H605" s="150" t="s">
        <v>5608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3039</v>
      </c>
      <c r="W605" s="38">
        <v>106</v>
      </c>
      <c r="X605" s="40"/>
      <c r="Y605" s="40"/>
      <c r="Z605" s="40"/>
      <c r="AA605" s="40"/>
      <c r="AB605" s="40"/>
      <c r="AC605" s="40" t="s">
        <v>2894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207</v>
      </c>
      <c r="E606" s="40" t="s">
        <v>2893</v>
      </c>
      <c r="F606" s="40" t="s">
        <v>3753</v>
      </c>
      <c r="G606" s="50"/>
      <c r="H606" s="150" t="s">
        <v>5608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3039</v>
      </c>
      <c r="W606" s="38">
        <v>106</v>
      </c>
      <c r="X606" s="40"/>
      <c r="Y606" s="40"/>
      <c r="Z606" s="40"/>
      <c r="AA606" s="40"/>
      <c r="AB606" s="40"/>
      <c r="AC606" s="40" t="s">
        <v>2894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207</v>
      </c>
      <c r="E607" s="83" t="s">
        <v>2893</v>
      </c>
      <c r="F607" s="83" t="s">
        <v>3754</v>
      </c>
      <c r="G607" s="47" t="s">
        <v>5604</v>
      </c>
      <c r="H607" s="340" t="s">
        <v>5608</v>
      </c>
      <c r="I607" s="47" t="s">
        <v>5609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575</v>
      </c>
      <c r="U607" s="85" t="str">
        <f>U55</f>
        <v>正常</v>
      </c>
      <c r="V607" s="113" t="s">
        <v>3039</v>
      </c>
      <c r="W607" s="113">
        <v>112</v>
      </c>
      <c r="X607" s="83"/>
      <c r="Y607" s="83"/>
      <c r="Z607" s="83"/>
      <c r="AA607" s="83"/>
      <c r="AB607" s="83"/>
      <c r="AC607" s="83" t="s">
        <v>2894</v>
      </c>
      <c r="AD607" s="83"/>
      <c r="AE607" s="83"/>
      <c r="AF607" s="83" t="s">
        <v>2894</v>
      </c>
      <c r="AG607" s="83"/>
      <c r="AH607" s="83"/>
      <c r="AI607" s="83" t="s">
        <v>2894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179</v>
      </c>
      <c r="C608" s="29">
        <v>87</v>
      </c>
      <c r="D608" s="29" t="s">
        <v>227</v>
      </c>
      <c r="E608" s="29" t="s">
        <v>2893</v>
      </c>
      <c r="F608" s="29" t="s">
        <v>3755</v>
      </c>
      <c r="G608" s="31" t="s">
        <v>5604</v>
      </c>
      <c r="H608" s="145" t="s">
        <v>5607</v>
      </c>
      <c r="I608" s="31" t="s">
        <v>5609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575</v>
      </c>
      <c r="U608" s="30" t="str">
        <f>U552</f>
        <v>監測</v>
      </c>
      <c r="V608" s="27" t="s">
        <v>3039</v>
      </c>
      <c r="W608" s="31">
        <v>110</v>
      </c>
      <c r="X608" s="29"/>
      <c r="Y608" s="29"/>
      <c r="Z608" s="29"/>
      <c r="AA608" s="29"/>
      <c r="AB608" s="29"/>
      <c r="AC608" s="29" t="s">
        <v>2894</v>
      </c>
      <c r="AD608" s="29"/>
      <c r="AE608" s="29"/>
      <c r="AF608" s="29" t="s">
        <v>2894</v>
      </c>
      <c r="AG608" s="29" t="s">
        <v>2894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227</v>
      </c>
      <c r="E609" s="40" t="s">
        <v>2893</v>
      </c>
      <c r="F609" s="40" t="s">
        <v>3756</v>
      </c>
      <c r="G609" s="41" t="s">
        <v>5604</v>
      </c>
      <c r="H609" s="150" t="s">
        <v>5608</v>
      </c>
      <c r="I609" s="41" t="s">
        <v>5609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3039</v>
      </c>
      <c r="W609" s="41">
        <v>106</v>
      </c>
      <c r="X609" s="40"/>
      <c r="Y609" s="40"/>
      <c r="Z609" s="40"/>
      <c r="AA609" s="40"/>
      <c r="AB609" s="40"/>
      <c r="AC609" s="40" t="s">
        <v>2894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228</v>
      </c>
      <c r="C610" s="38">
        <v>30</v>
      </c>
      <c r="D610" s="40" t="s">
        <v>227</v>
      </c>
      <c r="E610" s="40" t="s">
        <v>2893</v>
      </c>
      <c r="F610" s="40" t="s">
        <v>3757</v>
      </c>
      <c r="G610" s="41" t="s">
        <v>5604</v>
      </c>
      <c r="H610" s="150" t="s">
        <v>5606</v>
      </c>
      <c r="I610" s="41" t="s">
        <v>5609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214</v>
      </c>
      <c r="Q610" s="43">
        <v>40.9</v>
      </c>
      <c r="R610" s="43">
        <v>362</v>
      </c>
      <c r="S610" s="43">
        <v>101</v>
      </c>
      <c r="T610" s="2" t="s">
        <v>575</v>
      </c>
      <c r="U610" s="2" t="s">
        <v>8</v>
      </c>
      <c r="V610" s="38" t="s">
        <v>3039</v>
      </c>
      <c r="W610" s="38">
        <v>108</v>
      </c>
      <c r="X610" s="40"/>
      <c r="Y610" s="40"/>
      <c r="Z610" s="40"/>
      <c r="AA610" s="40"/>
      <c r="AB610" s="40"/>
      <c r="AC610" s="40" t="s">
        <v>2894</v>
      </c>
      <c r="AD610" s="40"/>
      <c r="AE610" s="40"/>
      <c r="AF610" s="40" t="s">
        <v>2894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229</v>
      </c>
      <c r="C611" s="38">
        <v>31</v>
      </c>
      <c r="D611" s="40" t="s">
        <v>227</v>
      </c>
      <c r="E611" s="40" t="s">
        <v>2893</v>
      </c>
      <c r="F611" s="40" t="s">
        <v>3758</v>
      </c>
      <c r="G611" s="41" t="s">
        <v>5604</v>
      </c>
      <c r="H611" s="150" t="s">
        <v>5607</v>
      </c>
      <c r="I611" s="41" t="s">
        <v>5609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138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3039</v>
      </c>
      <c r="W611" s="38">
        <v>106</v>
      </c>
      <c r="X611" s="40"/>
      <c r="Y611" s="40"/>
      <c r="Z611" s="40"/>
      <c r="AA611" s="40"/>
      <c r="AB611" s="40"/>
      <c r="AC611" s="40" t="s">
        <v>2894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230</v>
      </c>
      <c r="C612" s="38">
        <v>32</v>
      </c>
      <c r="D612" s="40" t="s">
        <v>227</v>
      </c>
      <c r="E612" s="40" t="s">
        <v>2893</v>
      </c>
      <c r="F612" s="40" t="s">
        <v>3759</v>
      </c>
      <c r="G612" s="41" t="s">
        <v>5604</v>
      </c>
      <c r="H612" s="150" t="s">
        <v>5606</v>
      </c>
      <c r="I612" s="41" t="s">
        <v>5609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66</v>
      </c>
      <c r="Q612" s="43">
        <v>41.1</v>
      </c>
      <c r="R612" s="43">
        <v>396</v>
      </c>
      <c r="S612" s="43">
        <v>92.6</v>
      </c>
      <c r="T612" s="2" t="s">
        <v>575</v>
      </c>
      <c r="U612" s="2" t="s">
        <v>8</v>
      </c>
      <c r="V612" s="38" t="s">
        <v>3039</v>
      </c>
      <c r="W612" s="38">
        <v>112</v>
      </c>
      <c r="X612" s="40"/>
      <c r="Y612" s="40"/>
      <c r="Z612" s="40"/>
      <c r="AA612" s="40"/>
      <c r="AB612" s="40"/>
      <c r="AC612" s="40" t="s">
        <v>2894</v>
      </c>
      <c r="AD612" s="40"/>
      <c r="AE612" s="40"/>
      <c r="AF612" s="40" t="s">
        <v>2894</v>
      </c>
      <c r="AG612" s="40"/>
      <c r="AH612" s="40"/>
      <c r="AI612" s="40" t="s">
        <v>2894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231</v>
      </c>
      <c r="C613" s="38">
        <v>33</v>
      </c>
      <c r="D613" s="40" t="s">
        <v>227</v>
      </c>
      <c r="E613" s="40" t="s">
        <v>2893</v>
      </c>
      <c r="F613" s="40" t="s">
        <v>3760</v>
      </c>
      <c r="G613" s="41" t="s">
        <v>5604</v>
      </c>
      <c r="H613" s="150" t="s">
        <v>5606</v>
      </c>
      <c r="I613" s="41" t="s">
        <v>5609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55</v>
      </c>
      <c r="Q613" s="43">
        <v>40.6</v>
      </c>
      <c r="R613" s="43">
        <v>440</v>
      </c>
      <c r="S613" s="43">
        <v>114</v>
      </c>
      <c r="T613" s="2" t="s">
        <v>306</v>
      </c>
      <c r="U613" s="2" t="s">
        <v>3</v>
      </c>
      <c r="V613" s="38" t="s">
        <v>3039</v>
      </c>
      <c r="W613" s="38">
        <v>111</v>
      </c>
      <c r="X613" s="40"/>
      <c r="Y613" s="40"/>
      <c r="Z613" s="40"/>
      <c r="AA613" s="40"/>
      <c r="AB613" s="40"/>
      <c r="AC613" s="40" t="s">
        <v>2894</v>
      </c>
      <c r="AD613" s="40"/>
      <c r="AE613" s="40"/>
      <c r="AF613" s="40" t="s">
        <v>2894</v>
      </c>
      <c r="AG613" s="40"/>
      <c r="AH613" s="40" t="s">
        <v>2898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232</v>
      </c>
      <c r="C614" s="38">
        <v>34</v>
      </c>
      <c r="D614" s="40" t="s">
        <v>227</v>
      </c>
      <c r="E614" s="40" t="s">
        <v>2893</v>
      </c>
      <c r="F614" s="40" t="s">
        <v>3761</v>
      </c>
      <c r="G614" s="50"/>
      <c r="H614" s="150" t="s">
        <v>5608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233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3039</v>
      </c>
      <c r="W614" s="38">
        <v>106</v>
      </c>
      <c r="X614" s="40"/>
      <c r="Y614" s="40"/>
      <c r="Z614" s="40"/>
      <c r="AA614" s="40"/>
      <c r="AB614" s="40"/>
      <c r="AC614" s="40" t="s">
        <v>2894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234</v>
      </c>
      <c r="C615" s="38">
        <v>35</v>
      </c>
      <c r="D615" s="40" t="s">
        <v>227</v>
      </c>
      <c r="E615" s="40" t="s">
        <v>2893</v>
      </c>
      <c r="F615" s="40" t="s">
        <v>3762</v>
      </c>
      <c r="G615" s="41" t="s">
        <v>5604</v>
      </c>
      <c r="H615" s="150" t="s">
        <v>5607</v>
      </c>
      <c r="I615" s="41" t="s">
        <v>5609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66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3039</v>
      </c>
      <c r="W615" s="38">
        <v>106</v>
      </c>
      <c r="X615" s="40"/>
      <c r="Y615" s="40"/>
      <c r="Z615" s="40"/>
      <c r="AA615" s="40"/>
      <c r="AB615" s="40"/>
      <c r="AC615" s="40" t="s">
        <v>2894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235</v>
      </c>
      <c r="C616" s="38">
        <v>36</v>
      </c>
      <c r="D616" s="40" t="s">
        <v>227</v>
      </c>
      <c r="E616" s="38" t="s">
        <v>2893</v>
      </c>
      <c r="F616" s="38" t="s">
        <v>3763</v>
      </c>
      <c r="G616" s="50"/>
      <c r="H616" s="150" t="s">
        <v>5607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236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3039</v>
      </c>
      <c r="W616" s="38">
        <v>106</v>
      </c>
      <c r="X616" s="40"/>
      <c r="Y616" s="40"/>
      <c r="Z616" s="40"/>
      <c r="AA616" s="40"/>
      <c r="AB616" s="40"/>
      <c r="AC616" s="40" t="s">
        <v>2894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237</v>
      </c>
      <c r="C617" s="38">
        <v>86</v>
      </c>
      <c r="D617" s="40" t="s">
        <v>227</v>
      </c>
      <c r="E617" s="38" t="s">
        <v>2893</v>
      </c>
      <c r="F617" s="38" t="s">
        <v>3764</v>
      </c>
      <c r="G617" s="41" t="s">
        <v>5604</v>
      </c>
      <c r="H617" s="150" t="s">
        <v>5607</v>
      </c>
      <c r="I617" s="41" t="s">
        <v>5609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192</v>
      </c>
      <c r="Q617" s="43">
        <v>30.3</v>
      </c>
      <c r="R617" s="43">
        <v>274</v>
      </c>
      <c r="S617" s="43">
        <v>77.5</v>
      </c>
      <c r="T617" s="2" t="s">
        <v>306</v>
      </c>
      <c r="U617" s="2" t="s">
        <v>3</v>
      </c>
      <c r="V617" s="38" t="s">
        <v>3039</v>
      </c>
      <c r="W617" s="38">
        <v>109</v>
      </c>
      <c r="X617" s="40"/>
      <c r="Y617" s="40"/>
      <c r="Z617" s="40"/>
      <c r="AA617" s="40"/>
      <c r="AB617" s="40"/>
      <c r="AC617" s="40" t="s">
        <v>2894</v>
      </c>
      <c r="AD617" s="40"/>
      <c r="AE617" s="40"/>
      <c r="AF617" s="40" t="s">
        <v>2898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238</v>
      </c>
      <c r="C618" s="113">
        <v>92</v>
      </c>
      <c r="D618" s="83" t="s">
        <v>227</v>
      </c>
      <c r="E618" s="113" t="s">
        <v>2893</v>
      </c>
      <c r="F618" s="113" t="s">
        <v>3765</v>
      </c>
      <c r="G618" s="47" t="s">
        <v>5604</v>
      </c>
      <c r="H618" s="340" t="s">
        <v>5608</v>
      </c>
      <c r="I618" s="47" t="s">
        <v>5609</v>
      </c>
      <c r="J618" s="88">
        <v>201939.79199999999</v>
      </c>
      <c r="K618" s="88">
        <v>2660085.852</v>
      </c>
      <c r="L618" s="88" t="s">
        <v>40</v>
      </c>
      <c r="M618" s="89">
        <v>9</v>
      </c>
      <c r="N618" s="88">
        <v>90</v>
      </c>
      <c r="O618" s="88">
        <v>242</v>
      </c>
      <c r="P618" s="88" t="s">
        <v>41</v>
      </c>
      <c r="Q618" s="88">
        <v>33</v>
      </c>
      <c r="R618" s="88">
        <v>287</v>
      </c>
      <c r="S618" s="88">
        <v>110</v>
      </c>
      <c r="T618" s="85" t="s">
        <v>575</v>
      </c>
      <c r="U618" s="85" t="str">
        <f>U554</f>
        <v>監測</v>
      </c>
      <c r="V618" s="113" t="s">
        <v>3039</v>
      </c>
      <c r="W618" s="113">
        <v>110</v>
      </c>
      <c r="X618" s="83"/>
      <c r="Y618" s="83"/>
      <c r="Z618" s="83"/>
      <c r="AA618" s="83"/>
      <c r="AB618" s="83"/>
      <c r="AC618" s="83" t="s">
        <v>2894</v>
      </c>
      <c r="AD618" s="83"/>
      <c r="AE618" s="83"/>
      <c r="AF618" s="83" t="s">
        <v>2894</v>
      </c>
      <c r="AG618" s="83" t="s">
        <v>2894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239</v>
      </c>
      <c r="C619" s="17">
        <v>682</v>
      </c>
      <c r="D619" s="17" t="s">
        <v>3041</v>
      </c>
      <c r="E619" s="19" t="s">
        <v>2893</v>
      </c>
      <c r="F619" s="19" t="s">
        <v>3766</v>
      </c>
      <c r="G619" s="21" t="s">
        <v>5604</v>
      </c>
      <c r="H619" s="434" t="s">
        <v>5606</v>
      </c>
      <c r="I619" s="21" t="s">
        <v>5609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575</v>
      </c>
      <c r="U619" s="20" t="s">
        <v>8</v>
      </c>
      <c r="V619" s="17" t="s">
        <v>3039</v>
      </c>
      <c r="W619" s="17">
        <v>112</v>
      </c>
      <c r="X619" s="19"/>
      <c r="Y619" s="19"/>
      <c r="Z619" s="19"/>
      <c r="AA619" s="19"/>
      <c r="AB619" s="19"/>
      <c r="AC619" s="19" t="s">
        <v>2894</v>
      </c>
      <c r="AD619" s="19"/>
      <c r="AE619" s="19" t="s">
        <v>2898</v>
      </c>
      <c r="AF619" s="19"/>
      <c r="AG619" s="19"/>
      <c r="AH619" s="19"/>
      <c r="AI619" s="19" t="s">
        <v>2894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249</v>
      </c>
      <c r="C620" s="27">
        <v>11</v>
      </c>
      <c r="D620" s="27" t="s">
        <v>248</v>
      </c>
      <c r="E620" s="29" t="s">
        <v>2893</v>
      </c>
      <c r="F620" s="29" t="s">
        <v>3767</v>
      </c>
      <c r="G620" s="31" t="s">
        <v>5604</v>
      </c>
      <c r="H620" s="145" t="s">
        <v>5606</v>
      </c>
      <c r="I620" s="31" t="s">
        <v>5609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52</v>
      </c>
      <c r="Q620" s="33">
        <v>41.4</v>
      </c>
      <c r="R620" s="33">
        <v>399</v>
      </c>
      <c r="S620" s="33">
        <v>97.3</v>
      </c>
      <c r="T620" s="30" t="s">
        <v>575</v>
      </c>
      <c r="U620" s="30" t="s">
        <v>8</v>
      </c>
      <c r="V620" s="27" t="s">
        <v>3039</v>
      </c>
      <c r="W620" s="27">
        <v>109</v>
      </c>
      <c r="X620" s="29"/>
      <c r="Y620" s="29"/>
      <c r="Z620" s="29"/>
      <c r="AA620" s="29"/>
      <c r="AB620" s="29"/>
      <c r="AC620" s="29" t="s">
        <v>2894</v>
      </c>
      <c r="AD620" s="29"/>
      <c r="AE620" s="29"/>
      <c r="AF620" s="29" t="s">
        <v>2894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250</v>
      </c>
      <c r="C621" s="113">
        <v>29</v>
      </c>
      <c r="D621" s="113" t="s">
        <v>248</v>
      </c>
      <c r="E621" s="83" t="s">
        <v>2893</v>
      </c>
      <c r="F621" s="83" t="s">
        <v>3768</v>
      </c>
      <c r="G621" s="47" t="s">
        <v>5604</v>
      </c>
      <c r="H621" s="340" t="s">
        <v>5606</v>
      </c>
      <c r="I621" s="47" t="s">
        <v>5609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77</v>
      </c>
      <c r="Q621" s="88">
        <v>38.4</v>
      </c>
      <c r="R621" s="88">
        <v>267</v>
      </c>
      <c r="S621" s="88">
        <v>71.400000000000006</v>
      </c>
      <c r="T621" s="85" t="s">
        <v>306</v>
      </c>
      <c r="U621" s="85" t="s">
        <v>3</v>
      </c>
      <c r="V621" s="113" t="s">
        <v>3039</v>
      </c>
      <c r="W621" s="113">
        <v>109</v>
      </c>
      <c r="X621" s="83"/>
      <c r="Y621" s="83"/>
      <c r="Z621" s="83"/>
      <c r="AA621" s="83"/>
      <c r="AB621" s="83"/>
      <c r="AC621" s="83" t="s">
        <v>2894</v>
      </c>
      <c r="AD621" s="83"/>
      <c r="AE621" s="83"/>
      <c r="AF621" s="83" t="s">
        <v>2898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252</v>
      </c>
      <c r="C622" s="27">
        <v>671</v>
      </c>
      <c r="D622" s="27" t="s">
        <v>251</v>
      </c>
      <c r="E622" s="29" t="s">
        <v>2893</v>
      </c>
      <c r="F622" s="29" t="s">
        <v>3769</v>
      </c>
      <c r="G622" s="192"/>
      <c r="H622" s="145" t="s">
        <v>5607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575</v>
      </c>
      <c r="U622" s="30" t="s">
        <v>8</v>
      </c>
      <c r="V622" s="27" t="s">
        <v>3039</v>
      </c>
      <c r="W622" s="27">
        <v>108</v>
      </c>
      <c r="X622" s="29"/>
      <c r="Y622" s="29"/>
      <c r="Z622" s="29"/>
      <c r="AA622" s="29"/>
      <c r="AB622" s="29"/>
      <c r="AC622" s="29" t="s">
        <v>2894</v>
      </c>
      <c r="AD622" s="29"/>
      <c r="AE622" s="29" t="s">
        <v>2894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253</v>
      </c>
      <c r="C623" s="38">
        <v>672</v>
      </c>
      <c r="D623" s="38" t="s">
        <v>251</v>
      </c>
      <c r="E623" s="40" t="s">
        <v>2893</v>
      </c>
      <c r="F623" s="40" t="s">
        <v>3770</v>
      </c>
      <c r="G623" s="41" t="s">
        <v>5604</v>
      </c>
      <c r="H623" s="150" t="s">
        <v>5606</v>
      </c>
      <c r="I623" s="41" t="s">
        <v>5609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575</v>
      </c>
      <c r="U623" s="2" t="s">
        <v>8</v>
      </c>
      <c r="V623" s="38" t="s">
        <v>3039</v>
      </c>
      <c r="W623" s="38">
        <v>112</v>
      </c>
      <c r="X623" s="40"/>
      <c r="Y623" s="40"/>
      <c r="Z623" s="40"/>
      <c r="AA623" s="40"/>
      <c r="AB623" s="40"/>
      <c r="AC623" s="40" t="s">
        <v>2894</v>
      </c>
      <c r="AD623" s="40"/>
      <c r="AE623" s="40" t="s">
        <v>2894</v>
      </c>
      <c r="AF623" s="40" t="s">
        <v>2894</v>
      </c>
      <c r="AG623" s="40"/>
      <c r="AH623" s="40"/>
      <c r="AI623" s="40" t="s">
        <v>2894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254</v>
      </c>
      <c r="C624" s="38">
        <v>673</v>
      </c>
      <c r="D624" s="38" t="s">
        <v>251</v>
      </c>
      <c r="E624" s="40" t="s">
        <v>2893</v>
      </c>
      <c r="F624" s="40" t="s">
        <v>3771</v>
      </c>
      <c r="G624" s="50"/>
      <c r="H624" s="150" t="s">
        <v>5606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3039</v>
      </c>
      <c r="W624" s="38">
        <v>106</v>
      </c>
      <c r="X624" s="40"/>
      <c r="Y624" s="40"/>
      <c r="Z624" s="40"/>
      <c r="AA624" s="40"/>
      <c r="AB624" s="40"/>
      <c r="AC624" s="40" t="s">
        <v>2894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255</v>
      </c>
      <c r="C625" s="38">
        <v>675</v>
      </c>
      <c r="D625" s="38" t="s">
        <v>251</v>
      </c>
      <c r="E625" s="40" t="s">
        <v>2893</v>
      </c>
      <c r="F625" s="40" t="s">
        <v>3772</v>
      </c>
      <c r="G625" s="50"/>
      <c r="H625" s="150" t="s">
        <v>5607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214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3039</v>
      </c>
      <c r="W625" s="38">
        <v>108</v>
      </c>
      <c r="X625" s="40"/>
      <c r="Y625" s="40"/>
      <c r="Z625" s="40"/>
      <c r="AA625" s="40"/>
      <c r="AB625" s="40"/>
      <c r="AC625" s="40" t="s">
        <v>2894</v>
      </c>
      <c r="AD625" s="40"/>
      <c r="AE625" s="40" t="s">
        <v>2894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256</v>
      </c>
      <c r="C626" s="38">
        <v>676</v>
      </c>
      <c r="D626" s="38" t="s">
        <v>251</v>
      </c>
      <c r="E626" s="40" t="s">
        <v>2893</v>
      </c>
      <c r="F626" s="40" t="s">
        <v>3773</v>
      </c>
      <c r="G626" s="41" t="s">
        <v>5604</v>
      </c>
      <c r="H626" s="150" t="s">
        <v>5607</v>
      </c>
      <c r="I626" s="41" t="s">
        <v>5609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3039</v>
      </c>
      <c r="W626" s="38">
        <v>108</v>
      </c>
      <c r="X626" s="40"/>
      <c r="Y626" s="40"/>
      <c r="Z626" s="40"/>
      <c r="AA626" s="40"/>
      <c r="AB626" s="40"/>
      <c r="AC626" s="40" t="s">
        <v>2894</v>
      </c>
      <c r="AD626" s="40"/>
      <c r="AE626" s="40" t="s">
        <v>2894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257</v>
      </c>
      <c r="C627" s="38">
        <v>678</v>
      </c>
      <c r="D627" s="38" t="s">
        <v>251</v>
      </c>
      <c r="E627" s="40" t="s">
        <v>2893</v>
      </c>
      <c r="F627" s="40" t="s">
        <v>3774</v>
      </c>
      <c r="G627" s="41" t="s">
        <v>5604</v>
      </c>
      <c r="H627" s="150" t="s">
        <v>5607</v>
      </c>
      <c r="I627" s="41" t="s">
        <v>5609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3039</v>
      </c>
      <c r="W627" s="38">
        <v>108</v>
      </c>
      <c r="X627" s="40"/>
      <c r="Y627" s="40"/>
      <c r="Z627" s="40"/>
      <c r="AA627" s="40"/>
      <c r="AB627" s="40"/>
      <c r="AC627" s="40" t="s">
        <v>2894</v>
      </c>
      <c r="AD627" s="40"/>
      <c r="AE627" s="40" t="s">
        <v>2894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258</v>
      </c>
      <c r="C628" s="38">
        <v>681</v>
      </c>
      <c r="D628" s="38" t="s">
        <v>251</v>
      </c>
      <c r="E628" s="40" t="s">
        <v>2893</v>
      </c>
      <c r="F628" s="40" t="s">
        <v>3775</v>
      </c>
      <c r="G628" s="41" t="s">
        <v>5604</v>
      </c>
      <c r="H628" s="150" t="s">
        <v>5607</v>
      </c>
      <c r="I628" s="41" t="s">
        <v>5609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3039</v>
      </c>
      <c r="W628" s="38">
        <v>108</v>
      </c>
      <c r="X628" s="40"/>
      <c r="Y628" s="40"/>
      <c r="Z628" s="40"/>
      <c r="AA628" s="40"/>
      <c r="AB628" s="40"/>
      <c r="AC628" s="40" t="s">
        <v>2894</v>
      </c>
      <c r="AD628" s="40"/>
      <c r="AE628" s="40" t="s">
        <v>2894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259</v>
      </c>
      <c r="C629" s="38">
        <v>683</v>
      </c>
      <c r="D629" s="38" t="s">
        <v>251</v>
      </c>
      <c r="E629" s="40" t="s">
        <v>2893</v>
      </c>
      <c r="F629" s="40" t="s">
        <v>3776</v>
      </c>
      <c r="G629" s="41" t="s">
        <v>5604</v>
      </c>
      <c r="H629" s="150" t="s">
        <v>5607</v>
      </c>
      <c r="I629" s="41" t="s">
        <v>5609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3039</v>
      </c>
      <c r="W629" s="38">
        <v>108</v>
      </c>
      <c r="X629" s="40"/>
      <c r="Y629" s="40"/>
      <c r="Z629" s="40"/>
      <c r="AA629" s="40"/>
      <c r="AB629" s="40"/>
      <c r="AC629" s="40" t="s">
        <v>2894</v>
      </c>
      <c r="AD629" s="40"/>
      <c r="AE629" s="40" t="s">
        <v>2894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260</v>
      </c>
      <c r="C630" s="38">
        <v>685</v>
      </c>
      <c r="D630" s="38" t="s">
        <v>251</v>
      </c>
      <c r="E630" s="40" t="s">
        <v>2893</v>
      </c>
      <c r="F630" s="40" t="s">
        <v>3777</v>
      </c>
      <c r="G630" s="41" t="s">
        <v>5604</v>
      </c>
      <c r="H630" s="150" t="s">
        <v>5606</v>
      </c>
      <c r="I630" s="41" t="s">
        <v>5609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575</v>
      </c>
      <c r="U630" s="2" t="s">
        <v>8</v>
      </c>
      <c r="V630" s="38" t="s">
        <v>3039</v>
      </c>
      <c r="W630" s="38">
        <v>111</v>
      </c>
      <c r="X630" s="40"/>
      <c r="Y630" s="40"/>
      <c r="Z630" s="40"/>
      <c r="AA630" s="40"/>
      <c r="AB630" s="40"/>
      <c r="AC630" s="40" t="s">
        <v>2894</v>
      </c>
      <c r="AD630" s="40"/>
      <c r="AE630" s="40" t="s">
        <v>2894</v>
      </c>
      <c r="AF630" s="40" t="s">
        <v>2894</v>
      </c>
      <c r="AG630" s="40"/>
      <c r="AH630" s="40" t="s">
        <v>2894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261</v>
      </c>
      <c r="C631" s="38">
        <v>674</v>
      </c>
      <c r="D631" s="38" t="s">
        <v>251</v>
      </c>
      <c r="E631" s="40" t="s">
        <v>2893</v>
      </c>
      <c r="F631" s="40" t="s">
        <v>3778</v>
      </c>
      <c r="G631" s="41" t="s">
        <v>5604</v>
      </c>
      <c r="H631" s="150" t="s">
        <v>5608</v>
      </c>
      <c r="I631" s="41" t="s">
        <v>5609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1697</v>
      </c>
      <c r="U631" s="2" t="s">
        <v>56</v>
      </c>
      <c r="V631" s="38" t="s">
        <v>3039</v>
      </c>
      <c r="W631" s="38">
        <v>109</v>
      </c>
      <c r="X631" s="40"/>
      <c r="Y631" s="40"/>
      <c r="Z631" s="40"/>
      <c r="AA631" s="40"/>
      <c r="AB631" s="40"/>
      <c r="AC631" s="40" t="s">
        <v>2894</v>
      </c>
      <c r="AD631" s="40"/>
      <c r="AE631" s="40" t="s">
        <v>2894</v>
      </c>
      <c r="AF631" s="40" t="s">
        <v>2905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262</v>
      </c>
      <c r="C632" s="38">
        <v>680</v>
      </c>
      <c r="D632" s="38" t="s">
        <v>251</v>
      </c>
      <c r="E632" s="40" t="s">
        <v>2893</v>
      </c>
      <c r="F632" s="40" t="s">
        <v>3779</v>
      </c>
      <c r="G632" s="41" t="s">
        <v>5604</v>
      </c>
      <c r="H632" s="150" t="s">
        <v>5608</v>
      </c>
      <c r="I632" s="41" t="s">
        <v>5609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1697</v>
      </c>
      <c r="U632" s="2" t="s">
        <v>56</v>
      </c>
      <c r="V632" s="38" t="s">
        <v>3039</v>
      </c>
      <c r="W632" s="38">
        <v>109</v>
      </c>
      <c r="X632" s="40"/>
      <c r="Y632" s="40"/>
      <c r="Z632" s="40"/>
      <c r="AA632" s="40"/>
      <c r="AB632" s="40"/>
      <c r="AC632" s="40" t="s">
        <v>2894</v>
      </c>
      <c r="AD632" s="40"/>
      <c r="AE632" s="40" t="s">
        <v>2894</v>
      </c>
      <c r="AF632" s="40" t="s">
        <v>2905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251</v>
      </c>
      <c r="E633" s="40" t="s">
        <v>2893</v>
      </c>
      <c r="F633" s="40" t="s">
        <v>3780</v>
      </c>
      <c r="G633" s="50"/>
      <c r="H633" s="150" t="s">
        <v>5607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3039</v>
      </c>
      <c r="W633" s="38">
        <v>108</v>
      </c>
      <c r="X633" s="40"/>
      <c r="Y633" s="40"/>
      <c r="Z633" s="40"/>
      <c r="AA633" s="40"/>
      <c r="AB633" s="40"/>
      <c r="AC633" s="40" t="s">
        <v>2894</v>
      </c>
      <c r="AD633" s="40"/>
      <c r="AE633" s="40" t="s">
        <v>2894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251</v>
      </c>
      <c r="E634" s="40" t="s">
        <v>2893</v>
      </c>
      <c r="F634" s="40" t="s">
        <v>3781</v>
      </c>
      <c r="G634" s="50"/>
      <c r="H634" s="150" t="s">
        <v>5608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3039</v>
      </c>
      <c r="W634" s="38">
        <v>108</v>
      </c>
      <c r="X634" s="40"/>
      <c r="Y634" s="40"/>
      <c r="Z634" s="40"/>
      <c r="AA634" s="40"/>
      <c r="AB634" s="40"/>
      <c r="AC634" s="40" t="s">
        <v>2894</v>
      </c>
      <c r="AD634" s="40"/>
      <c r="AE634" s="40" t="s">
        <v>2894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251</v>
      </c>
      <c r="E635" s="40" t="s">
        <v>2893</v>
      </c>
      <c r="F635" s="40" t="s">
        <v>3782</v>
      </c>
      <c r="G635" s="41" t="s">
        <v>5604</v>
      </c>
      <c r="H635" s="150" t="s">
        <v>5608</v>
      </c>
      <c r="I635" s="41" t="s">
        <v>5609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3039</v>
      </c>
      <c r="W635" s="38">
        <v>108</v>
      </c>
      <c r="X635" s="40"/>
      <c r="Y635" s="40"/>
      <c r="Z635" s="40"/>
      <c r="AA635" s="40"/>
      <c r="AB635" s="40"/>
      <c r="AC635" s="40" t="s">
        <v>2894</v>
      </c>
      <c r="AD635" s="40"/>
      <c r="AE635" s="40" t="s">
        <v>2894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263</v>
      </c>
      <c r="C636" s="38">
        <v>686</v>
      </c>
      <c r="D636" s="38" t="s">
        <v>251</v>
      </c>
      <c r="E636" s="40" t="s">
        <v>2893</v>
      </c>
      <c r="F636" s="40" t="s">
        <v>3783</v>
      </c>
      <c r="G636" s="50"/>
      <c r="H636" s="150" t="s">
        <v>5608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3039</v>
      </c>
      <c r="W636" s="38">
        <v>108</v>
      </c>
      <c r="X636" s="40"/>
      <c r="Y636" s="40"/>
      <c r="Z636" s="40"/>
      <c r="AA636" s="40"/>
      <c r="AB636" s="40"/>
      <c r="AC636" s="40" t="s">
        <v>2894</v>
      </c>
      <c r="AD636" s="40"/>
      <c r="AE636" s="40" t="s">
        <v>2894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251</v>
      </c>
      <c r="E637" s="58" t="s">
        <v>2893</v>
      </c>
      <c r="F637" s="58" t="s">
        <v>3784</v>
      </c>
      <c r="G637" s="127"/>
      <c r="H637" s="226" t="s">
        <v>5608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3039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2894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268</v>
      </c>
      <c r="C638" s="58">
        <v>1451</v>
      </c>
      <c r="D638" s="56" t="s">
        <v>266</v>
      </c>
      <c r="E638" s="58" t="s">
        <v>3042</v>
      </c>
      <c r="F638" s="58" t="s">
        <v>3785</v>
      </c>
      <c r="G638" s="127"/>
      <c r="H638" s="226" t="s">
        <v>5606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33</v>
      </c>
      <c r="Q638" s="62">
        <v>68.400000000000006</v>
      </c>
      <c r="R638" s="62">
        <v>593</v>
      </c>
      <c r="S638" s="62">
        <v>41.5</v>
      </c>
      <c r="T638" s="59" t="s">
        <v>575</v>
      </c>
      <c r="U638" s="59" t="s">
        <v>8</v>
      </c>
      <c r="V638" s="56" t="s">
        <v>3039</v>
      </c>
      <c r="W638" s="56">
        <v>112</v>
      </c>
      <c r="X638" s="58"/>
      <c r="Y638" s="58"/>
      <c r="Z638" s="58"/>
      <c r="AA638" s="58"/>
      <c r="AB638" s="58"/>
      <c r="AC638" s="58" t="s">
        <v>2939</v>
      </c>
      <c r="AD638" s="58"/>
      <c r="AE638" s="58" t="s">
        <v>2939</v>
      </c>
      <c r="AF638" s="58"/>
      <c r="AG638" s="58"/>
      <c r="AH638" s="58"/>
      <c r="AI638" s="58" t="s">
        <v>2939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272</v>
      </c>
      <c r="C639" s="231">
        <v>1444</v>
      </c>
      <c r="D639" s="229" t="s">
        <v>269</v>
      </c>
      <c r="E639" s="231" t="s">
        <v>3042</v>
      </c>
      <c r="F639" s="231" t="s">
        <v>3786</v>
      </c>
      <c r="G639" s="291" t="s">
        <v>5604</v>
      </c>
      <c r="H639" s="435" t="s">
        <v>5606</v>
      </c>
      <c r="I639" s="291" t="s">
        <v>5609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575</v>
      </c>
      <c r="U639" s="232" t="s">
        <v>8</v>
      </c>
      <c r="V639" s="229" t="s">
        <v>3039</v>
      </c>
      <c r="W639" s="229">
        <v>111</v>
      </c>
      <c r="X639" s="231"/>
      <c r="Y639" s="231"/>
      <c r="Z639" s="231"/>
      <c r="AA639" s="231"/>
      <c r="AB639" s="231"/>
      <c r="AC639" s="231" t="s">
        <v>2939</v>
      </c>
      <c r="AD639" s="231"/>
      <c r="AE639" s="231" t="s">
        <v>2939</v>
      </c>
      <c r="AF639" s="231"/>
      <c r="AG639" s="231"/>
      <c r="AH639" s="231" t="s">
        <v>2939</v>
      </c>
      <c r="AI639" s="231"/>
      <c r="AJ639" s="229"/>
      <c r="AK639" s="292"/>
      <c r="AL639" s="157" t="s">
        <v>2908</v>
      </c>
      <c r="AM639" s="228"/>
    </row>
    <row r="640" spans="1:39" x14ac:dyDescent="0.3">
      <c r="A640" s="15">
        <v>639</v>
      </c>
      <c r="B640" s="29" t="s">
        <v>277</v>
      </c>
      <c r="C640" s="29">
        <v>6</v>
      </c>
      <c r="D640" s="27" t="s">
        <v>276</v>
      </c>
      <c r="E640" s="29" t="s">
        <v>2893</v>
      </c>
      <c r="F640" s="29" t="s">
        <v>3787</v>
      </c>
      <c r="G640" s="31" t="s">
        <v>5604</v>
      </c>
      <c r="H640" s="145" t="s">
        <v>5606</v>
      </c>
      <c r="I640" s="31" t="s">
        <v>5609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278</v>
      </c>
      <c r="Q640" s="33">
        <v>38</v>
      </c>
      <c r="R640" s="33">
        <v>301</v>
      </c>
      <c r="S640" s="33">
        <v>74.400000000000006</v>
      </c>
      <c r="T640" s="30" t="s">
        <v>306</v>
      </c>
      <c r="U640" s="30" t="s">
        <v>3</v>
      </c>
      <c r="V640" s="27" t="s">
        <v>3039</v>
      </c>
      <c r="W640" s="27">
        <v>109</v>
      </c>
      <c r="X640" s="29"/>
      <c r="Y640" s="29"/>
      <c r="Z640" s="29"/>
      <c r="AA640" s="29"/>
      <c r="AB640" s="29"/>
      <c r="AC640" s="29" t="s">
        <v>2939</v>
      </c>
      <c r="AD640" s="29"/>
      <c r="AE640" s="29"/>
      <c r="AF640" s="29" t="s">
        <v>2898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279</v>
      </c>
      <c r="C641" s="40">
        <v>7</v>
      </c>
      <c r="D641" s="38" t="s">
        <v>276</v>
      </c>
      <c r="E641" s="40" t="s">
        <v>2893</v>
      </c>
      <c r="F641" s="40" t="s">
        <v>3788</v>
      </c>
      <c r="G641" s="50"/>
      <c r="H641" s="150" t="s">
        <v>5606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52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3039</v>
      </c>
      <c r="W641" s="38">
        <v>106</v>
      </c>
      <c r="X641" s="40"/>
      <c r="Y641" s="40"/>
      <c r="Z641" s="40"/>
      <c r="AA641" s="40"/>
      <c r="AB641" s="40"/>
      <c r="AC641" s="40" t="s">
        <v>2939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276</v>
      </c>
      <c r="E642" s="83" t="s">
        <v>2893</v>
      </c>
      <c r="F642" s="83" t="s">
        <v>3789</v>
      </c>
      <c r="G642" s="47" t="s">
        <v>5604</v>
      </c>
      <c r="H642" s="340" t="s">
        <v>5606</v>
      </c>
      <c r="I642" s="47" t="s">
        <v>5609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575</v>
      </c>
      <c r="U642" s="85" t="s">
        <v>8</v>
      </c>
      <c r="V642" s="113" t="s">
        <v>3039</v>
      </c>
      <c r="W642" s="113">
        <v>109</v>
      </c>
      <c r="X642" s="83"/>
      <c r="Y642" s="83"/>
      <c r="Z642" s="83"/>
      <c r="AA642" s="83"/>
      <c r="AB642" s="83"/>
      <c r="AC642" s="83" t="s">
        <v>2939</v>
      </c>
      <c r="AD642" s="83"/>
      <c r="AE642" s="83"/>
      <c r="AF642" s="83" t="s">
        <v>2939</v>
      </c>
      <c r="AG642" s="83"/>
      <c r="AH642" s="83"/>
      <c r="AI642" s="83"/>
      <c r="AJ642" s="113"/>
      <c r="AK642" s="287"/>
      <c r="AL642" s="157" t="s">
        <v>3043</v>
      </c>
      <c r="AM642" s="154"/>
    </row>
    <row r="643" spans="1:39" x14ac:dyDescent="0.3">
      <c r="A643" s="15">
        <v>642</v>
      </c>
      <c r="B643" s="29" t="s">
        <v>286</v>
      </c>
      <c r="C643" s="29">
        <v>670</v>
      </c>
      <c r="D643" s="27" t="s">
        <v>285</v>
      </c>
      <c r="E643" s="40" t="s">
        <v>2893</v>
      </c>
      <c r="F643" s="29" t="s">
        <v>3790</v>
      </c>
      <c r="G643" s="31" t="s">
        <v>5604</v>
      </c>
      <c r="H643" s="145" t="s">
        <v>5606</v>
      </c>
      <c r="I643" s="31" t="s">
        <v>5609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287</v>
      </c>
      <c r="Q643" s="33">
        <v>32.5</v>
      </c>
      <c r="R643" s="33">
        <v>122</v>
      </c>
      <c r="S643" s="33">
        <v>43.7</v>
      </c>
      <c r="T643" s="30" t="s">
        <v>575</v>
      </c>
      <c r="U643" s="30" t="s">
        <v>8</v>
      </c>
      <c r="V643" s="17" t="s">
        <v>3039</v>
      </c>
      <c r="W643" s="27">
        <v>111</v>
      </c>
      <c r="X643" s="29"/>
      <c r="Y643" s="29"/>
      <c r="Z643" s="29"/>
      <c r="AA643" s="29"/>
      <c r="AB643" s="29"/>
      <c r="AC643" s="29" t="s">
        <v>2939</v>
      </c>
      <c r="AD643" s="29"/>
      <c r="AE643" s="29" t="s">
        <v>2939</v>
      </c>
      <c r="AF643" s="29"/>
      <c r="AG643" s="29"/>
      <c r="AH643" s="29" t="s">
        <v>2939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285</v>
      </c>
      <c r="E644" s="83" t="s">
        <v>2893</v>
      </c>
      <c r="F644" s="83" t="s">
        <v>3791</v>
      </c>
      <c r="G644" s="138"/>
      <c r="H644" s="340" t="s">
        <v>5608</v>
      </c>
      <c r="I644" s="138"/>
      <c r="J644" s="88">
        <v>202877</v>
      </c>
      <c r="K644" s="88">
        <v>2660726</v>
      </c>
      <c r="L644" s="88" t="s">
        <v>40</v>
      </c>
      <c r="M644" s="89">
        <v>32</v>
      </c>
      <c r="N644" s="88">
        <v>35</v>
      </c>
      <c r="O644" s="88">
        <v>75</v>
      </c>
      <c r="P644" s="88" t="s">
        <v>41</v>
      </c>
      <c r="Q644" s="88">
        <v>29</v>
      </c>
      <c r="R644" s="88">
        <v>109</v>
      </c>
      <c r="S644" s="88">
        <v>37</v>
      </c>
      <c r="T644" s="85" t="s">
        <v>575</v>
      </c>
      <c r="U644" s="85" t="str">
        <f>U643</f>
        <v>監測</v>
      </c>
      <c r="V644" s="113" t="s">
        <v>3039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2939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299</v>
      </c>
      <c r="C645" s="29">
        <v>1147</v>
      </c>
      <c r="D645" s="27" t="s">
        <v>298</v>
      </c>
      <c r="E645" s="29" t="s">
        <v>2915</v>
      </c>
      <c r="F645" s="29" t="s">
        <v>3792</v>
      </c>
      <c r="G645" s="31" t="s">
        <v>5604</v>
      </c>
      <c r="H645" s="145" t="s">
        <v>5606</v>
      </c>
      <c r="I645" s="31" t="s">
        <v>5609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575</v>
      </c>
      <c r="U645" s="30" t="s">
        <v>8</v>
      </c>
      <c r="V645" s="27" t="s">
        <v>3039</v>
      </c>
      <c r="W645" s="27">
        <v>109</v>
      </c>
      <c r="X645" s="29"/>
      <c r="Y645" s="29"/>
      <c r="Z645" s="29"/>
      <c r="AA645" s="29"/>
      <c r="AB645" s="29" t="s">
        <v>2939</v>
      </c>
      <c r="AC645" s="29" t="s">
        <v>2939</v>
      </c>
      <c r="AD645" s="29"/>
      <c r="AE645" s="29" t="s">
        <v>2939</v>
      </c>
      <c r="AF645" s="29" t="s">
        <v>2939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298</v>
      </c>
      <c r="E646" s="40" t="s">
        <v>2915</v>
      </c>
      <c r="F646" s="40" t="s">
        <v>3793</v>
      </c>
      <c r="G646" s="50"/>
      <c r="H646" s="150" t="s">
        <v>5606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3039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2939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298</v>
      </c>
      <c r="E647" s="40" t="s">
        <v>2915</v>
      </c>
      <c r="F647" s="40" t="s">
        <v>3794</v>
      </c>
      <c r="G647" s="41" t="s">
        <v>5604</v>
      </c>
      <c r="H647" s="150" t="s">
        <v>5608</v>
      </c>
      <c r="I647" s="41" t="s">
        <v>5609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575</v>
      </c>
      <c r="U647" s="2" t="str">
        <f>U645</f>
        <v>監測</v>
      </c>
      <c r="V647" s="38" t="s">
        <v>3039</v>
      </c>
      <c r="W647" s="38">
        <v>109</v>
      </c>
      <c r="X647" s="40"/>
      <c r="Y647" s="40"/>
      <c r="Z647" s="40"/>
      <c r="AA647" s="40"/>
      <c r="AB647" s="40"/>
      <c r="AC647" s="40" t="s">
        <v>2939</v>
      </c>
      <c r="AD647" s="40"/>
      <c r="AE647" s="40" t="s">
        <v>2939</v>
      </c>
      <c r="AF647" s="40" t="s">
        <v>2939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281</v>
      </c>
      <c r="C648" s="83">
        <v>4</v>
      </c>
      <c r="D648" s="113" t="s">
        <v>280</v>
      </c>
      <c r="E648" s="83" t="s">
        <v>2893</v>
      </c>
      <c r="F648" s="83" t="s">
        <v>3795</v>
      </c>
      <c r="G648" s="47" t="s">
        <v>5604</v>
      </c>
      <c r="H648" s="340" t="s">
        <v>5606</v>
      </c>
      <c r="I648" s="47" t="s">
        <v>5609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214</v>
      </c>
      <c r="Q648" s="88">
        <v>42</v>
      </c>
      <c r="R648" s="88">
        <v>333</v>
      </c>
      <c r="S648" s="88">
        <v>85.8</v>
      </c>
      <c r="T648" s="85" t="s">
        <v>306</v>
      </c>
      <c r="U648" s="85" t="s">
        <v>3</v>
      </c>
      <c r="V648" s="113" t="s">
        <v>3039</v>
      </c>
      <c r="W648" s="113">
        <v>112</v>
      </c>
      <c r="X648" s="83"/>
      <c r="Y648" s="83"/>
      <c r="Z648" s="83"/>
      <c r="AA648" s="83"/>
      <c r="AB648" s="83"/>
      <c r="AC648" s="83" t="s">
        <v>2939</v>
      </c>
      <c r="AD648" s="83"/>
      <c r="AE648" s="83"/>
      <c r="AF648" s="83" t="s">
        <v>2939</v>
      </c>
      <c r="AG648" s="83"/>
      <c r="AH648" s="83"/>
      <c r="AI648" s="83" t="s">
        <v>2898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316</v>
      </c>
      <c r="C649" s="19">
        <v>669</v>
      </c>
      <c r="D649" s="17" t="s">
        <v>315</v>
      </c>
      <c r="E649" s="19" t="s">
        <v>2893</v>
      </c>
      <c r="F649" s="19" t="s">
        <v>3796</v>
      </c>
      <c r="G649" s="21" t="s">
        <v>5604</v>
      </c>
      <c r="H649" s="434" t="s">
        <v>5606</v>
      </c>
      <c r="I649" s="21" t="s">
        <v>5609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575</v>
      </c>
      <c r="U649" s="20" t="s">
        <v>8</v>
      </c>
      <c r="V649" s="17" t="s">
        <v>3039</v>
      </c>
      <c r="W649" s="17">
        <v>111</v>
      </c>
      <c r="X649" s="19"/>
      <c r="Y649" s="130"/>
      <c r="Z649" s="19"/>
      <c r="AA649" s="19"/>
      <c r="AB649" s="19"/>
      <c r="AC649" s="19" t="s">
        <v>2939</v>
      </c>
      <c r="AD649" s="19"/>
      <c r="AE649" s="19" t="s">
        <v>2939</v>
      </c>
      <c r="AF649" s="19"/>
      <c r="AG649" s="19"/>
      <c r="AH649" s="19" t="s">
        <v>2939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322</v>
      </c>
      <c r="C650" s="29">
        <v>1454</v>
      </c>
      <c r="D650" s="27" t="s">
        <v>321</v>
      </c>
      <c r="E650" s="29" t="s">
        <v>3042</v>
      </c>
      <c r="F650" s="29" t="s">
        <v>3797</v>
      </c>
      <c r="G650" s="31" t="s">
        <v>5604</v>
      </c>
      <c r="H650" s="145" t="s">
        <v>5606</v>
      </c>
      <c r="I650" s="31" t="s">
        <v>5609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192</v>
      </c>
      <c r="Q650" s="33">
        <v>54</v>
      </c>
      <c r="R650" s="33">
        <v>568</v>
      </c>
      <c r="S650" s="33">
        <v>47.3</v>
      </c>
      <c r="T650" s="30" t="s">
        <v>575</v>
      </c>
      <c r="U650" s="30" t="s">
        <v>8</v>
      </c>
      <c r="V650" s="27" t="s">
        <v>3039</v>
      </c>
      <c r="W650" s="27">
        <v>111</v>
      </c>
      <c r="X650" s="29"/>
      <c r="Y650" s="29"/>
      <c r="Z650" s="29"/>
      <c r="AA650" s="29"/>
      <c r="AB650" s="29"/>
      <c r="AC650" s="29" t="s">
        <v>2939</v>
      </c>
      <c r="AD650" s="29"/>
      <c r="AE650" s="29" t="s">
        <v>2939</v>
      </c>
      <c r="AF650" s="29"/>
      <c r="AG650" s="29"/>
      <c r="AH650" s="29" t="s">
        <v>2939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323</v>
      </c>
      <c r="C651" s="40">
        <v>1455</v>
      </c>
      <c r="D651" s="38" t="s">
        <v>321</v>
      </c>
      <c r="E651" s="40" t="s">
        <v>3042</v>
      </c>
      <c r="F651" s="40" t="s">
        <v>3798</v>
      </c>
      <c r="G651" s="50"/>
      <c r="H651" s="150" t="s">
        <v>5606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575</v>
      </c>
      <c r="U651" s="2" t="s">
        <v>8</v>
      </c>
      <c r="V651" s="38" t="s">
        <v>3039</v>
      </c>
      <c r="W651" s="38">
        <v>111</v>
      </c>
      <c r="X651" s="40"/>
      <c r="Y651" s="40"/>
      <c r="Z651" s="40"/>
      <c r="AA651" s="40"/>
      <c r="AB651" s="40"/>
      <c r="AC651" s="40" t="s">
        <v>2939</v>
      </c>
      <c r="AD651" s="40"/>
      <c r="AE651" s="40" t="s">
        <v>2939</v>
      </c>
      <c r="AF651" s="40"/>
      <c r="AG651" s="40"/>
      <c r="AH651" s="40" t="s">
        <v>2939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324</v>
      </c>
      <c r="C652" s="40">
        <v>1457</v>
      </c>
      <c r="D652" s="38" t="s">
        <v>321</v>
      </c>
      <c r="E652" s="40" t="s">
        <v>3042</v>
      </c>
      <c r="F652" s="40" t="s">
        <v>3799</v>
      </c>
      <c r="G652" s="50"/>
      <c r="H652" s="150" t="s">
        <v>5607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3039</v>
      </c>
      <c r="W652" s="38">
        <v>108</v>
      </c>
      <c r="X652" s="40"/>
      <c r="Y652" s="40"/>
      <c r="Z652" s="40"/>
      <c r="AA652" s="40"/>
      <c r="AB652" s="40"/>
      <c r="AC652" s="40" t="s">
        <v>2939</v>
      </c>
      <c r="AD652" s="40"/>
      <c r="AE652" s="40" t="s">
        <v>2898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325</v>
      </c>
      <c r="C653" s="40">
        <v>1458</v>
      </c>
      <c r="D653" s="38" t="s">
        <v>321</v>
      </c>
      <c r="E653" s="40" t="s">
        <v>3042</v>
      </c>
      <c r="F653" s="40" t="s">
        <v>3800</v>
      </c>
      <c r="G653" s="41" t="s">
        <v>5604</v>
      </c>
      <c r="H653" s="150" t="s">
        <v>5606</v>
      </c>
      <c r="I653" s="41" t="s">
        <v>5609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306</v>
      </c>
      <c r="U653" s="2" t="s">
        <v>3</v>
      </c>
      <c r="V653" s="38" t="s">
        <v>3039</v>
      </c>
      <c r="W653" s="38">
        <v>111</v>
      </c>
      <c r="X653" s="40"/>
      <c r="Y653" s="40"/>
      <c r="Z653" s="40"/>
      <c r="AA653" s="40"/>
      <c r="AB653" s="40"/>
      <c r="AC653" s="40" t="s">
        <v>2939</v>
      </c>
      <c r="AD653" s="40"/>
      <c r="AE653" s="40" t="s">
        <v>2939</v>
      </c>
      <c r="AF653" s="40"/>
      <c r="AG653" s="40"/>
      <c r="AH653" s="40" t="s">
        <v>2898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321</v>
      </c>
      <c r="E654" s="40" t="s">
        <v>3042</v>
      </c>
      <c r="F654" s="40" t="s">
        <v>3801</v>
      </c>
      <c r="G654" s="50"/>
      <c r="H654" s="150" t="s">
        <v>5608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3039</v>
      </c>
      <c r="W654" s="38">
        <v>108</v>
      </c>
      <c r="X654" s="40"/>
      <c r="Y654" s="40"/>
      <c r="Z654" s="40"/>
      <c r="AA654" s="40"/>
      <c r="AB654" s="40"/>
      <c r="AC654" s="40" t="s">
        <v>2939</v>
      </c>
      <c r="AD654" s="40"/>
      <c r="AE654" s="40" t="s">
        <v>2939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321</v>
      </c>
      <c r="E655" s="58" t="s">
        <v>3042</v>
      </c>
      <c r="F655" s="58" t="s">
        <v>3802</v>
      </c>
      <c r="G655" s="127"/>
      <c r="H655" s="226" t="s">
        <v>5607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3039</v>
      </c>
      <c r="W655" s="56">
        <v>108</v>
      </c>
      <c r="X655" s="58"/>
      <c r="Y655" s="58"/>
      <c r="Z655" s="58"/>
      <c r="AA655" s="58"/>
      <c r="AB655" s="58"/>
      <c r="AC655" s="58" t="s">
        <v>2939</v>
      </c>
      <c r="AD655" s="58"/>
      <c r="AE655" s="58" t="s">
        <v>2939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327</v>
      </c>
      <c r="C656" s="75">
        <v>1445</v>
      </c>
      <c r="D656" s="67" t="s">
        <v>326</v>
      </c>
      <c r="E656" s="75" t="s">
        <v>3042</v>
      </c>
      <c r="F656" s="75" t="s">
        <v>3803</v>
      </c>
      <c r="G656" s="76" t="s">
        <v>5604</v>
      </c>
      <c r="H656" s="414" t="s">
        <v>5606</v>
      </c>
      <c r="I656" s="76" t="s">
        <v>5609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306</v>
      </c>
      <c r="U656" s="69" t="s">
        <v>3</v>
      </c>
      <c r="V656" s="67" t="s">
        <v>3039</v>
      </c>
      <c r="W656" s="67">
        <v>111</v>
      </c>
      <c r="X656" s="75"/>
      <c r="Y656" s="75"/>
      <c r="Z656" s="75"/>
      <c r="AA656" s="75"/>
      <c r="AB656" s="75"/>
      <c r="AC656" s="75" t="s">
        <v>2939</v>
      </c>
      <c r="AD656" s="75"/>
      <c r="AE656" s="75"/>
      <c r="AF656" s="75"/>
      <c r="AG656" s="75" t="s">
        <v>2898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328</v>
      </c>
      <c r="C657" s="40">
        <v>1448</v>
      </c>
      <c r="D657" s="38" t="s">
        <v>326</v>
      </c>
      <c r="E657" s="40" t="s">
        <v>3042</v>
      </c>
      <c r="F657" s="40" t="s">
        <v>3804</v>
      </c>
      <c r="G657" s="50"/>
      <c r="H657" s="150" t="s">
        <v>5606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575</v>
      </c>
      <c r="U657" s="2" t="s">
        <v>8</v>
      </c>
      <c r="V657" s="38" t="s">
        <v>3039</v>
      </c>
      <c r="W657" s="38">
        <v>112</v>
      </c>
      <c r="X657" s="40"/>
      <c r="Y657" s="40"/>
      <c r="Z657" s="40"/>
      <c r="AA657" s="40"/>
      <c r="AB657" s="40"/>
      <c r="AC657" s="40" t="s">
        <v>2939</v>
      </c>
      <c r="AD657" s="40"/>
      <c r="AE657" s="40" t="s">
        <v>2939</v>
      </c>
      <c r="AF657" s="40"/>
      <c r="AG657" s="40"/>
      <c r="AH657" s="40"/>
      <c r="AI657" s="40" t="s">
        <v>2939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326</v>
      </c>
      <c r="E658" s="83" t="s">
        <v>3042</v>
      </c>
      <c r="F658" s="83" t="s">
        <v>3805</v>
      </c>
      <c r="G658" s="138"/>
      <c r="H658" s="340" t="s">
        <v>5608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575</v>
      </c>
      <c r="U658" s="85" t="str">
        <f>U657</f>
        <v>監測</v>
      </c>
      <c r="V658" s="113" t="s">
        <v>3039</v>
      </c>
      <c r="W658" s="113">
        <v>112</v>
      </c>
      <c r="X658" s="83"/>
      <c r="Y658" s="83"/>
      <c r="Z658" s="83"/>
      <c r="AA658" s="83"/>
      <c r="AB658" s="83"/>
      <c r="AC658" s="83" t="s">
        <v>2939</v>
      </c>
      <c r="AD658" s="83"/>
      <c r="AE658" s="83" t="s">
        <v>2939</v>
      </c>
      <c r="AF658" s="83"/>
      <c r="AG658" s="83"/>
      <c r="AH658" s="83"/>
      <c r="AI658" s="83" t="s">
        <v>2939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336</v>
      </c>
      <c r="C659" s="29">
        <v>1178</v>
      </c>
      <c r="D659" s="27" t="s">
        <v>334</v>
      </c>
      <c r="E659" s="29" t="s">
        <v>2915</v>
      </c>
      <c r="F659" s="29" t="s">
        <v>3806</v>
      </c>
      <c r="G659" s="31" t="s">
        <v>5604</v>
      </c>
      <c r="H659" s="145" t="s">
        <v>5606</v>
      </c>
      <c r="I659" s="31" t="s">
        <v>5609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575</v>
      </c>
      <c r="U659" s="30" t="s">
        <v>3</v>
      </c>
      <c r="V659" s="27" t="s">
        <v>3039</v>
      </c>
      <c r="W659" s="27">
        <v>111</v>
      </c>
      <c r="X659" s="29"/>
      <c r="Y659" s="29"/>
      <c r="Z659" s="29"/>
      <c r="AA659" s="29"/>
      <c r="AB659" s="29"/>
      <c r="AC659" s="29" t="s">
        <v>2894</v>
      </c>
      <c r="AD659" s="29"/>
      <c r="AE659" s="29" t="s">
        <v>2894</v>
      </c>
      <c r="AF659" s="29"/>
      <c r="AG659" s="29"/>
      <c r="AH659" s="29" t="s">
        <v>2898</v>
      </c>
      <c r="AI659" s="29"/>
      <c r="AJ659" s="27"/>
      <c r="AK659" s="160"/>
      <c r="AL659" s="105" t="s">
        <v>2908</v>
      </c>
      <c r="AM659" s="164"/>
    </row>
    <row r="660" spans="1:39" x14ac:dyDescent="0.3">
      <c r="A660" s="15">
        <v>659</v>
      </c>
      <c r="B660" s="40" t="s">
        <v>337</v>
      </c>
      <c r="C660" s="40">
        <v>1179</v>
      </c>
      <c r="D660" s="38" t="s">
        <v>334</v>
      </c>
      <c r="E660" s="40" t="s">
        <v>2915</v>
      </c>
      <c r="F660" s="40" t="s">
        <v>3807</v>
      </c>
      <c r="G660" s="41" t="s">
        <v>5604</v>
      </c>
      <c r="H660" s="150" t="s">
        <v>5606</v>
      </c>
      <c r="I660" s="41" t="s">
        <v>5609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575</v>
      </c>
      <c r="U660" s="2" t="s">
        <v>8</v>
      </c>
      <c r="V660" s="38" t="s">
        <v>3039</v>
      </c>
      <c r="W660" s="38">
        <v>111</v>
      </c>
      <c r="X660" s="40"/>
      <c r="Y660" s="40"/>
      <c r="Z660" s="40"/>
      <c r="AA660" s="40"/>
      <c r="AB660" s="40"/>
      <c r="AC660" s="40" t="s">
        <v>2939</v>
      </c>
      <c r="AD660" s="40"/>
      <c r="AE660" s="40" t="s">
        <v>2939</v>
      </c>
      <c r="AF660" s="40"/>
      <c r="AG660" s="40"/>
      <c r="AH660" s="40" t="s">
        <v>2939</v>
      </c>
      <c r="AI660" s="40"/>
      <c r="AJ660" s="38"/>
      <c r="AK660" s="162"/>
      <c r="AL660" s="54" t="s">
        <v>2908</v>
      </c>
      <c r="AM660" s="167"/>
    </row>
    <row r="661" spans="1:39" ht="14.4" thickBot="1" x14ac:dyDescent="0.35">
      <c r="A661" s="15">
        <v>660</v>
      </c>
      <c r="B661" s="83" t="s">
        <v>338</v>
      </c>
      <c r="C661" s="83">
        <v>1172</v>
      </c>
      <c r="D661" s="113" t="s">
        <v>334</v>
      </c>
      <c r="E661" s="83" t="s">
        <v>2915</v>
      </c>
      <c r="F661" s="83" t="s">
        <v>3808</v>
      </c>
      <c r="G661" s="47" t="s">
        <v>5604</v>
      </c>
      <c r="H661" s="340" t="s">
        <v>5606</v>
      </c>
      <c r="I661" s="47" t="s">
        <v>5609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575</v>
      </c>
      <c r="U661" s="85" t="s">
        <v>8</v>
      </c>
      <c r="V661" s="113" t="s">
        <v>3039</v>
      </c>
      <c r="W661" s="113">
        <v>111</v>
      </c>
      <c r="X661" s="83"/>
      <c r="Y661" s="83"/>
      <c r="Z661" s="83"/>
      <c r="AA661" s="83"/>
      <c r="AB661" s="83"/>
      <c r="AC661" s="83" t="s">
        <v>2939</v>
      </c>
      <c r="AD661" s="83"/>
      <c r="AE661" s="83" t="s">
        <v>2939</v>
      </c>
      <c r="AF661" s="83"/>
      <c r="AG661" s="83"/>
      <c r="AH661" s="83" t="s">
        <v>2939</v>
      </c>
      <c r="AI661" s="83"/>
      <c r="AJ661" s="113"/>
      <c r="AK661" s="287"/>
      <c r="AL661" s="157" t="s">
        <v>2908</v>
      </c>
      <c r="AM661" s="154"/>
    </row>
    <row r="662" spans="1:39" x14ac:dyDescent="0.3">
      <c r="A662" s="15">
        <v>661</v>
      </c>
      <c r="B662" s="29" t="s">
        <v>342</v>
      </c>
      <c r="C662" s="29">
        <v>1119</v>
      </c>
      <c r="D662" s="27" t="s">
        <v>341</v>
      </c>
      <c r="E662" s="29" t="s">
        <v>2915</v>
      </c>
      <c r="F662" s="29" t="s">
        <v>3809</v>
      </c>
      <c r="G662" s="192"/>
      <c r="H662" s="145" t="s">
        <v>5607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3039</v>
      </c>
      <c r="W662" s="27">
        <v>108</v>
      </c>
      <c r="X662" s="29"/>
      <c r="Y662" s="29"/>
      <c r="Z662" s="29"/>
      <c r="AA662" s="29"/>
      <c r="AB662" s="29"/>
      <c r="AC662" s="29" t="s">
        <v>2939</v>
      </c>
      <c r="AD662" s="29"/>
      <c r="AE662" s="29" t="s">
        <v>2939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343</v>
      </c>
      <c r="C663" s="40">
        <v>1124</v>
      </c>
      <c r="D663" s="38" t="s">
        <v>341</v>
      </c>
      <c r="E663" s="40" t="s">
        <v>2915</v>
      </c>
      <c r="F663" s="40" t="s">
        <v>3810</v>
      </c>
      <c r="G663" s="50"/>
      <c r="H663" s="150" t="s">
        <v>5607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3039</v>
      </c>
      <c r="W663" s="38">
        <v>108</v>
      </c>
      <c r="X663" s="40"/>
      <c r="Y663" s="40"/>
      <c r="Z663" s="40"/>
      <c r="AA663" s="40"/>
      <c r="AB663" s="40"/>
      <c r="AC663" s="40" t="s">
        <v>2939</v>
      </c>
      <c r="AD663" s="40"/>
      <c r="AE663" s="40" t="s">
        <v>2939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344</v>
      </c>
      <c r="C664" s="40">
        <v>1125</v>
      </c>
      <c r="D664" s="38" t="s">
        <v>341</v>
      </c>
      <c r="E664" s="40" t="s">
        <v>2915</v>
      </c>
      <c r="F664" s="40" t="s">
        <v>3811</v>
      </c>
      <c r="G664" s="41" t="s">
        <v>5604</v>
      </c>
      <c r="H664" s="150" t="s">
        <v>5606</v>
      </c>
      <c r="I664" s="41" t="s">
        <v>5609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331</v>
      </c>
      <c r="Q664" s="43">
        <v>36.200000000000003</v>
      </c>
      <c r="R664" s="43">
        <v>314</v>
      </c>
      <c r="S664" s="43">
        <v>112</v>
      </c>
      <c r="T664" s="2" t="s">
        <v>575</v>
      </c>
      <c r="U664" s="2" t="s">
        <v>8</v>
      </c>
      <c r="V664" s="38" t="s">
        <v>3039</v>
      </c>
      <c r="W664" s="38">
        <v>110</v>
      </c>
      <c r="X664" s="40"/>
      <c r="Y664" s="106"/>
      <c r="Z664" s="40"/>
      <c r="AA664" s="40" t="s">
        <v>2939</v>
      </c>
      <c r="AB664" s="40"/>
      <c r="AC664" s="40"/>
      <c r="AD664" s="40"/>
      <c r="AE664" s="40"/>
      <c r="AF664" s="40"/>
      <c r="AG664" s="40" t="s">
        <v>2939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345</v>
      </c>
      <c r="C665" s="40">
        <v>1126</v>
      </c>
      <c r="D665" s="38" t="s">
        <v>341</v>
      </c>
      <c r="E665" s="40" t="s">
        <v>2915</v>
      </c>
      <c r="F665" s="40" t="s">
        <v>3812</v>
      </c>
      <c r="G665" s="41" t="s">
        <v>5604</v>
      </c>
      <c r="H665" s="150" t="s">
        <v>5608</v>
      </c>
      <c r="I665" s="41" t="s">
        <v>5609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331</v>
      </c>
      <c r="Q665" s="43">
        <v>35.700000000000003</v>
      </c>
      <c r="R665" s="43">
        <v>279</v>
      </c>
      <c r="S665" s="43">
        <v>104</v>
      </c>
      <c r="T665" s="2" t="s">
        <v>575</v>
      </c>
      <c r="U665" s="2" t="str">
        <f>U664</f>
        <v>監測</v>
      </c>
      <c r="V665" s="38" t="s">
        <v>3039</v>
      </c>
      <c r="W665" s="38">
        <v>110</v>
      </c>
      <c r="X665" s="40"/>
      <c r="Y665" s="106"/>
      <c r="Z665" s="40"/>
      <c r="AA665" s="40" t="s">
        <v>2939</v>
      </c>
      <c r="AB665" s="40"/>
      <c r="AC665" s="40"/>
      <c r="AD665" s="40"/>
      <c r="AE665" s="40"/>
      <c r="AF665" s="40"/>
      <c r="AG665" s="40" t="s">
        <v>2939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346</v>
      </c>
      <c r="C666" s="40">
        <v>1127</v>
      </c>
      <c r="D666" s="38" t="s">
        <v>341</v>
      </c>
      <c r="E666" s="40" t="s">
        <v>2915</v>
      </c>
      <c r="F666" s="40" t="s">
        <v>3813</v>
      </c>
      <c r="G666" s="41" t="s">
        <v>5604</v>
      </c>
      <c r="H666" s="150" t="s">
        <v>5606</v>
      </c>
      <c r="I666" s="41" t="s">
        <v>5609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331</v>
      </c>
      <c r="Q666" s="43">
        <v>36.200000000000003</v>
      </c>
      <c r="R666" s="43">
        <v>295</v>
      </c>
      <c r="S666" s="43">
        <v>130</v>
      </c>
      <c r="T666" s="2" t="s">
        <v>575</v>
      </c>
      <c r="U666" s="2" t="s">
        <v>8</v>
      </c>
      <c r="V666" s="38" t="s">
        <v>3039</v>
      </c>
      <c r="W666" s="38">
        <v>110</v>
      </c>
      <c r="X666" s="40"/>
      <c r="Y666" s="106"/>
      <c r="Z666" s="40"/>
      <c r="AA666" s="40" t="s">
        <v>2939</v>
      </c>
      <c r="AB666" s="40"/>
      <c r="AC666" s="40"/>
      <c r="AD666" s="40"/>
      <c r="AE666" s="40"/>
      <c r="AF666" s="40"/>
      <c r="AG666" s="40" t="s">
        <v>2939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347</v>
      </c>
      <c r="C667" s="40">
        <v>1129</v>
      </c>
      <c r="D667" s="38" t="s">
        <v>341</v>
      </c>
      <c r="E667" s="40" t="s">
        <v>2915</v>
      </c>
      <c r="F667" s="40" t="s">
        <v>3814</v>
      </c>
      <c r="G667" s="41" t="s">
        <v>5604</v>
      </c>
      <c r="H667" s="150" t="s">
        <v>5606</v>
      </c>
      <c r="I667" s="41" t="s">
        <v>5609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575</v>
      </c>
      <c r="U667" s="2" t="s">
        <v>8</v>
      </c>
      <c r="V667" s="38" t="s">
        <v>3039</v>
      </c>
      <c r="W667" s="38">
        <v>110</v>
      </c>
      <c r="X667" s="40"/>
      <c r="Y667" s="40"/>
      <c r="Z667" s="40"/>
      <c r="AA667" s="40"/>
      <c r="AB667" s="40"/>
      <c r="AC667" s="40" t="s">
        <v>2939</v>
      </c>
      <c r="AD667" s="40"/>
      <c r="AE667" s="40" t="s">
        <v>2939</v>
      </c>
      <c r="AF667" s="40"/>
      <c r="AG667" s="40" t="s">
        <v>2939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348</v>
      </c>
      <c r="C668" s="40">
        <v>1144</v>
      </c>
      <c r="D668" s="38" t="s">
        <v>341</v>
      </c>
      <c r="E668" s="40" t="s">
        <v>2915</v>
      </c>
      <c r="F668" s="40" t="s">
        <v>3815</v>
      </c>
      <c r="G668" s="50"/>
      <c r="H668" s="150" t="s">
        <v>5607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3039</v>
      </c>
      <c r="W668" s="38">
        <v>108</v>
      </c>
      <c r="X668" s="40"/>
      <c r="Y668" s="40"/>
      <c r="Z668" s="40"/>
      <c r="AA668" s="40"/>
      <c r="AB668" s="40"/>
      <c r="AC668" s="40" t="s">
        <v>2939</v>
      </c>
      <c r="AD668" s="40"/>
      <c r="AE668" s="40" t="s">
        <v>2939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349</v>
      </c>
      <c r="C669" s="40">
        <v>1173</v>
      </c>
      <c r="D669" s="38" t="s">
        <v>341</v>
      </c>
      <c r="E669" s="40" t="s">
        <v>2915</v>
      </c>
      <c r="F669" s="40" t="s">
        <v>3816</v>
      </c>
      <c r="G669" s="50"/>
      <c r="H669" s="150" t="s">
        <v>5607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3039</v>
      </c>
      <c r="W669" s="38">
        <v>108</v>
      </c>
      <c r="X669" s="40"/>
      <c r="Y669" s="40"/>
      <c r="Z669" s="40"/>
      <c r="AA669" s="40"/>
      <c r="AB669" s="40"/>
      <c r="AC669" s="40" t="s">
        <v>2939</v>
      </c>
      <c r="AD669" s="40"/>
      <c r="AE669" s="40" t="s">
        <v>2939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350</v>
      </c>
      <c r="C670" s="40">
        <v>1176</v>
      </c>
      <c r="D670" s="38" t="s">
        <v>341</v>
      </c>
      <c r="E670" s="40" t="s">
        <v>2915</v>
      </c>
      <c r="F670" s="40" t="s">
        <v>3817</v>
      </c>
      <c r="G670" s="50"/>
      <c r="H670" s="150" t="s">
        <v>5607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3039</v>
      </c>
      <c r="W670" s="38">
        <v>108</v>
      </c>
      <c r="X670" s="40"/>
      <c r="Y670" s="40"/>
      <c r="Z670" s="40"/>
      <c r="AA670" s="40"/>
      <c r="AB670" s="40"/>
      <c r="AC670" s="40" t="s">
        <v>2939</v>
      </c>
      <c r="AD670" s="40"/>
      <c r="AE670" s="40" t="s">
        <v>2898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351</v>
      </c>
      <c r="C671" s="40">
        <v>1177</v>
      </c>
      <c r="D671" s="38" t="s">
        <v>341</v>
      </c>
      <c r="E671" s="40" t="s">
        <v>2915</v>
      </c>
      <c r="F671" s="40" t="s">
        <v>3818</v>
      </c>
      <c r="G671" s="50"/>
      <c r="H671" s="150" t="s">
        <v>5607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3039</v>
      </c>
      <c r="W671" s="38">
        <v>108</v>
      </c>
      <c r="X671" s="40"/>
      <c r="Y671" s="40"/>
      <c r="Z671" s="40"/>
      <c r="AA671" s="40"/>
      <c r="AB671" s="40"/>
      <c r="AC671" s="40" t="s">
        <v>2939</v>
      </c>
      <c r="AD671" s="40"/>
      <c r="AE671" s="40" t="s">
        <v>2939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352</v>
      </c>
      <c r="C672" s="40">
        <v>1180</v>
      </c>
      <c r="D672" s="38" t="s">
        <v>341</v>
      </c>
      <c r="E672" s="40" t="s">
        <v>2915</v>
      </c>
      <c r="F672" s="40" t="s">
        <v>3819</v>
      </c>
      <c r="G672" s="50"/>
      <c r="H672" s="150" t="s">
        <v>5607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3039</v>
      </c>
      <c r="W672" s="38">
        <v>108</v>
      </c>
      <c r="X672" s="40"/>
      <c r="Y672" s="40"/>
      <c r="Z672" s="40"/>
      <c r="AA672" s="40"/>
      <c r="AB672" s="40"/>
      <c r="AC672" s="40" t="s">
        <v>2939</v>
      </c>
      <c r="AD672" s="40"/>
      <c r="AE672" s="40" t="s">
        <v>2898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353</v>
      </c>
      <c r="C673" s="40">
        <v>1181</v>
      </c>
      <c r="D673" s="38" t="s">
        <v>341</v>
      </c>
      <c r="E673" s="40" t="s">
        <v>2915</v>
      </c>
      <c r="F673" s="40" t="s">
        <v>3820</v>
      </c>
      <c r="G673" s="50"/>
      <c r="H673" s="150" t="s">
        <v>5607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3039</v>
      </c>
      <c r="W673" s="38">
        <v>108</v>
      </c>
      <c r="X673" s="40"/>
      <c r="Y673" s="40"/>
      <c r="Z673" s="40"/>
      <c r="AA673" s="40"/>
      <c r="AB673" s="40"/>
      <c r="AC673" s="40" t="s">
        <v>2939</v>
      </c>
      <c r="AD673" s="40"/>
      <c r="AE673" s="40" t="s">
        <v>2939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341</v>
      </c>
      <c r="E674" s="40" t="s">
        <v>2915</v>
      </c>
      <c r="F674" s="40" t="s">
        <v>3821</v>
      </c>
      <c r="G674" s="50"/>
      <c r="H674" s="150" t="s">
        <v>5607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3039</v>
      </c>
      <c r="W674" s="38">
        <v>108</v>
      </c>
      <c r="X674" s="40"/>
      <c r="Y674" s="40"/>
      <c r="Z674" s="40"/>
      <c r="AA674" s="40"/>
      <c r="AB674" s="40"/>
      <c r="AC674" s="40" t="s">
        <v>2939</v>
      </c>
      <c r="AD674" s="40"/>
      <c r="AE674" s="40" t="s">
        <v>2939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341</v>
      </c>
      <c r="E675" s="40" t="s">
        <v>2915</v>
      </c>
      <c r="F675" s="40" t="s">
        <v>3822</v>
      </c>
      <c r="G675" s="50"/>
      <c r="H675" s="150" t="s">
        <v>5608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3039</v>
      </c>
      <c r="W675" s="38">
        <v>108</v>
      </c>
      <c r="X675" s="40"/>
      <c r="Y675" s="40"/>
      <c r="Z675" s="40"/>
      <c r="AA675" s="40"/>
      <c r="AB675" s="40"/>
      <c r="AC675" s="40" t="s">
        <v>2939</v>
      </c>
      <c r="AD675" s="40"/>
      <c r="AE675" s="40" t="s">
        <v>2939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354</v>
      </c>
      <c r="C676" s="40">
        <v>2434</v>
      </c>
      <c r="D676" s="38" t="s">
        <v>341</v>
      </c>
      <c r="E676" s="40" t="s">
        <v>2915</v>
      </c>
      <c r="F676" s="40" t="s">
        <v>3823</v>
      </c>
      <c r="G676" s="41" t="s">
        <v>5604</v>
      </c>
      <c r="H676" s="150" t="s">
        <v>5607</v>
      </c>
      <c r="I676" s="41" t="s">
        <v>5609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41</v>
      </c>
      <c r="Q676" s="43">
        <v>40</v>
      </c>
      <c r="R676" s="43">
        <v>259</v>
      </c>
      <c r="S676" s="43">
        <v>73</v>
      </c>
      <c r="T676" s="2" t="s">
        <v>575</v>
      </c>
      <c r="U676" s="2" t="s">
        <v>8</v>
      </c>
      <c r="V676" s="38" t="s">
        <v>3039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2939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355</v>
      </c>
      <c r="C677" s="83">
        <v>2435</v>
      </c>
      <c r="D677" s="113" t="s">
        <v>341</v>
      </c>
      <c r="E677" s="83" t="s">
        <v>2915</v>
      </c>
      <c r="F677" s="83" t="s">
        <v>3824</v>
      </c>
      <c r="G677" s="47" t="s">
        <v>5604</v>
      </c>
      <c r="H677" s="340" t="s">
        <v>5607</v>
      </c>
      <c r="I677" s="47" t="s">
        <v>5609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41</v>
      </c>
      <c r="Q677" s="88">
        <v>43</v>
      </c>
      <c r="R677" s="88">
        <v>285</v>
      </c>
      <c r="S677" s="88">
        <v>74</v>
      </c>
      <c r="T677" s="85" t="s">
        <v>575</v>
      </c>
      <c r="U677" s="85" t="s">
        <v>8</v>
      </c>
      <c r="V677" s="113" t="s">
        <v>3039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2939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398</v>
      </c>
      <c r="E678" s="83" t="s">
        <v>2915</v>
      </c>
      <c r="F678" s="83" t="s">
        <v>3825</v>
      </c>
      <c r="G678" s="47"/>
      <c r="H678" s="150" t="s">
        <v>5607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3039</v>
      </c>
      <c r="W678" s="113">
        <v>108</v>
      </c>
      <c r="X678" s="83"/>
      <c r="Y678" s="83"/>
      <c r="Z678" s="83"/>
      <c r="AA678" s="83"/>
      <c r="AB678" s="83"/>
      <c r="AC678" s="83" t="s">
        <v>2939</v>
      </c>
      <c r="AD678" s="83"/>
      <c r="AE678" s="83" t="s">
        <v>2898</v>
      </c>
      <c r="AF678" s="83"/>
      <c r="AG678" s="83"/>
      <c r="AH678" s="83"/>
      <c r="AI678" s="83"/>
      <c r="AJ678" s="113"/>
      <c r="AK678" s="287"/>
      <c r="AL678" s="157" t="s">
        <v>2908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365</v>
      </c>
      <c r="E679" s="29" t="s">
        <v>3042</v>
      </c>
      <c r="F679" s="29" t="s">
        <v>3826</v>
      </c>
      <c r="G679" s="31" t="s">
        <v>5604</v>
      </c>
      <c r="H679" s="145" t="s">
        <v>5606</v>
      </c>
      <c r="I679" s="31" t="s">
        <v>5609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575</v>
      </c>
      <c r="U679" s="30" t="s">
        <v>8</v>
      </c>
      <c r="V679" s="27" t="s">
        <v>3039</v>
      </c>
      <c r="W679" s="27">
        <v>111</v>
      </c>
      <c r="X679" s="29"/>
      <c r="Y679" s="29"/>
      <c r="Z679" s="29"/>
      <c r="AA679" s="29"/>
      <c r="AB679" s="29"/>
      <c r="AC679" s="29" t="s">
        <v>2939</v>
      </c>
      <c r="AD679" s="29"/>
      <c r="AE679" s="29" t="s">
        <v>2939</v>
      </c>
      <c r="AF679" s="29"/>
      <c r="AG679" s="29"/>
      <c r="AH679" s="29" t="s">
        <v>2939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365</v>
      </c>
      <c r="E680" s="40" t="s">
        <v>3042</v>
      </c>
      <c r="F680" s="40" t="s">
        <v>3827</v>
      </c>
      <c r="G680" s="41" t="s">
        <v>5604</v>
      </c>
      <c r="H680" s="150" t="s">
        <v>5608</v>
      </c>
      <c r="I680" s="41" t="s">
        <v>5609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575</v>
      </c>
      <c r="U680" s="2" t="str">
        <f>U679</f>
        <v>監測</v>
      </c>
      <c r="V680" s="38" t="s">
        <v>3039</v>
      </c>
      <c r="W680" s="38">
        <v>111</v>
      </c>
      <c r="X680" s="40"/>
      <c r="Y680" s="40"/>
      <c r="Z680" s="40"/>
      <c r="AA680" s="40"/>
      <c r="AB680" s="40"/>
      <c r="AC680" s="40" t="s">
        <v>2939</v>
      </c>
      <c r="AD680" s="40"/>
      <c r="AE680" s="40" t="s">
        <v>2939</v>
      </c>
      <c r="AF680" s="40"/>
      <c r="AG680" s="40"/>
      <c r="AH680" s="40" t="s">
        <v>2939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367</v>
      </c>
      <c r="C681" s="40">
        <v>1462</v>
      </c>
      <c r="D681" s="38" t="s">
        <v>365</v>
      </c>
      <c r="E681" s="40" t="s">
        <v>3042</v>
      </c>
      <c r="F681" s="40" t="s">
        <v>3828</v>
      </c>
      <c r="G681" s="41" t="s">
        <v>5604</v>
      </c>
      <c r="H681" s="150" t="s">
        <v>5608</v>
      </c>
      <c r="I681" s="41" t="s">
        <v>5609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575</v>
      </c>
      <c r="U681" s="2" t="str">
        <f>U679</f>
        <v>監測</v>
      </c>
      <c r="V681" s="38" t="s">
        <v>3039</v>
      </c>
      <c r="W681" s="38">
        <v>111</v>
      </c>
      <c r="X681" s="40"/>
      <c r="Y681" s="40"/>
      <c r="Z681" s="40"/>
      <c r="AA681" s="40"/>
      <c r="AB681" s="40"/>
      <c r="AC681" s="40" t="s">
        <v>2939</v>
      </c>
      <c r="AD681" s="40"/>
      <c r="AE681" s="40" t="s">
        <v>2939</v>
      </c>
      <c r="AF681" s="40"/>
      <c r="AG681" s="40"/>
      <c r="AH681" s="40" t="s">
        <v>2939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365</v>
      </c>
      <c r="E682" s="40" t="s">
        <v>3042</v>
      </c>
      <c r="F682" s="40" t="s">
        <v>3829</v>
      </c>
      <c r="G682" s="41" t="s">
        <v>5604</v>
      </c>
      <c r="H682" s="150" t="s">
        <v>5608</v>
      </c>
      <c r="I682" s="41" t="s">
        <v>5609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575</v>
      </c>
      <c r="U682" s="2" t="str">
        <f>U679</f>
        <v>監測</v>
      </c>
      <c r="V682" s="38" t="s">
        <v>3039</v>
      </c>
      <c r="W682" s="38">
        <v>111</v>
      </c>
      <c r="X682" s="40"/>
      <c r="Y682" s="40"/>
      <c r="Z682" s="40"/>
      <c r="AA682" s="40"/>
      <c r="AB682" s="40"/>
      <c r="AC682" s="40" t="s">
        <v>2939</v>
      </c>
      <c r="AD682" s="40"/>
      <c r="AE682" s="40" t="s">
        <v>2939</v>
      </c>
      <c r="AF682" s="40"/>
      <c r="AG682" s="40"/>
      <c r="AH682" s="40" t="s">
        <v>2939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365</v>
      </c>
      <c r="E683" s="83" t="s">
        <v>3042</v>
      </c>
      <c r="F683" s="83" t="s">
        <v>3830</v>
      </c>
      <c r="G683" s="47" t="s">
        <v>5604</v>
      </c>
      <c r="H683" s="340" t="s">
        <v>5608</v>
      </c>
      <c r="I683" s="47" t="s">
        <v>5609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575</v>
      </c>
      <c r="U683" s="85" t="str">
        <f>U679</f>
        <v>監測</v>
      </c>
      <c r="V683" s="113" t="s">
        <v>3039</v>
      </c>
      <c r="W683" s="113">
        <v>111</v>
      </c>
      <c r="X683" s="83"/>
      <c r="Y683" s="83"/>
      <c r="Z683" s="83"/>
      <c r="AA683" s="83"/>
      <c r="AB683" s="83"/>
      <c r="AC683" s="83" t="s">
        <v>2939</v>
      </c>
      <c r="AD683" s="83"/>
      <c r="AE683" s="83" t="s">
        <v>2939</v>
      </c>
      <c r="AF683" s="83"/>
      <c r="AG683" s="83"/>
      <c r="AH683" s="83" t="s">
        <v>2939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402</v>
      </c>
      <c r="C684" s="29">
        <v>1080</v>
      </c>
      <c r="D684" s="27" t="s">
        <v>401</v>
      </c>
      <c r="E684" s="29" t="s">
        <v>2915</v>
      </c>
      <c r="F684" s="29" t="s">
        <v>3831</v>
      </c>
      <c r="G684" s="31" t="s">
        <v>5604</v>
      </c>
      <c r="H684" s="434" t="s">
        <v>5608</v>
      </c>
      <c r="I684" s="31" t="s">
        <v>5609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1697</v>
      </c>
      <c r="U684" s="30" t="s">
        <v>56</v>
      </c>
      <c r="V684" s="27" t="s">
        <v>3039</v>
      </c>
      <c r="W684" s="27">
        <v>109</v>
      </c>
      <c r="X684" s="29"/>
      <c r="Y684" s="29"/>
      <c r="Z684" s="29"/>
      <c r="AA684" s="29"/>
      <c r="AB684" s="29"/>
      <c r="AC684" s="29" t="s">
        <v>2939</v>
      </c>
      <c r="AD684" s="29"/>
      <c r="AE684" s="29"/>
      <c r="AF684" s="29" t="s">
        <v>2905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403</v>
      </c>
      <c r="C685" s="58">
        <v>1072</v>
      </c>
      <c r="D685" s="56" t="s">
        <v>401</v>
      </c>
      <c r="E685" s="58" t="s">
        <v>2915</v>
      </c>
      <c r="F685" s="58" t="s">
        <v>3832</v>
      </c>
      <c r="G685" s="60" t="s">
        <v>5604</v>
      </c>
      <c r="H685" s="226" t="s">
        <v>5606</v>
      </c>
      <c r="I685" s="60" t="s">
        <v>5609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575</v>
      </c>
      <c r="U685" s="59" t="s">
        <v>8</v>
      </c>
      <c r="V685" s="56" t="s">
        <v>3039</v>
      </c>
      <c r="W685" s="56">
        <v>110</v>
      </c>
      <c r="X685" s="58"/>
      <c r="Y685" s="58"/>
      <c r="Z685" s="58"/>
      <c r="AA685" s="58"/>
      <c r="AB685" s="58"/>
      <c r="AC685" s="58" t="s">
        <v>2939</v>
      </c>
      <c r="AD685" s="58"/>
      <c r="AE685" s="58"/>
      <c r="AF685" s="58" t="s">
        <v>2939</v>
      </c>
      <c r="AG685" s="58" t="s">
        <v>2939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409</v>
      </c>
      <c r="C686" s="29">
        <v>1845</v>
      </c>
      <c r="D686" s="27" t="s">
        <v>410</v>
      </c>
      <c r="E686" s="29" t="s">
        <v>2915</v>
      </c>
      <c r="F686" s="29" t="s">
        <v>3833</v>
      </c>
      <c r="G686" s="31"/>
      <c r="H686" s="145" t="s">
        <v>5607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3044</v>
      </c>
      <c r="W686" s="31">
        <v>103</v>
      </c>
      <c r="X686" s="29"/>
      <c r="Y686" s="102"/>
      <c r="Z686" s="29" t="s">
        <v>2894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411</v>
      </c>
      <c r="C687" s="40">
        <v>1846</v>
      </c>
      <c r="D687" s="38" t="s">
        <v>410</v>
      </c>
      <c r="E687" s="40" t="s">
        <v>2915</v>
      </c>
      <c r="F687" s="40" t="s">
        <v>3834</v>
      </c>
      <c r="G687" s="41" t="s">
        <v>5604</v>
      </c>
      <c r="H687" s="150" t="s">
        <v>5606</v>
      </c>
      <c r="I687" s="41" t="s">
        <v>5609</v>
      </c>
      <c r="J687" s="42">
        <v>199651</v>
      </c>
      <c r="K687" s="42">
        <v>2661621</v>
      </c>
      <c r="L687" s="43" t="s">
        <v>412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575</v>
      </c>
      <c r="U687" s="2" t="s">
        <v>8</v>
      </c>
      <c r="V687" s="93" t="s">
        <v>3044</v>
      </c>
      <c r="W687" s="41">
        <v>110</v>
      </c>
      <c r="X687" s="40"/>
      <c r="Y687" s="106"/>
      <c r="Z687" s="40" t="s">
        <v>2894</v>
      </c>
      <c r="AA687" s="40"/>
      <c r="AB687" s="40"/>
      <c r="AC687" s="40"/>
      <c r="AD687" s="40"/>
      <c r="AE687" s="40" t="s">
        <v>2898</v>
      </c>
      <c r="AF687" s="40"/>
      <c r="AG687" s="40" t="s">
        <v>2894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413</v>
      </c>
      <c r="C688" s="40">
        <v>1886</v>
      </c>
      <c r="D688" s="38" t="s">
        <v>410</v>
      </c>
      <c r="E688" s="40" t="s">
        <v>2915</v>
      </c>
      <c r="F688" s="40" t="s">
        <v>3835</v>
      </c>
      <c r="G688" s="41" t="s">
        <v>5604</v>
      </c>
      <c r="H688" s="150" t="s">
        <v>5606</v>
      </c>
      <c r="I688" s="41" t="s">
        <v>5609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575</v>
      </c>
      <c r="U688" s="2" t="s">
        <v>8</v>
      </c>
      <c r="V688" s="93" t="s">
        <v>3044</v>
      </c>
      <c r="W688" s="41">
        <v>110</v>
      </c>
      <c r="X688" s="40"/>
      <c r="Y688" s="40"/>
      <c r="Z688" s="40"/>
      <c r="AA688" s="40"/>
      <c r="AB688" s="40"/>
      <c r="AC688" s="40" t="s">
        <v>2894</v>
      </c>
      <c r="AD688" s="40"/>
      <c r="AE688" s="40" t="s">
        <v>2898</v>
      </c>
      <c r="AF688" s="40"/>
      <c r="AG688" s="40" t="s">
        <v>2894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414</v>
      </c>
      <c r="C689" s="40">
        <v>1889</v>
      </c>
      <c r="D689" s="38" t="s">
        <v>410</v>
      </c>
      <c r="E689" s="40" t="s">
        <v>2915</v>
      </c>
      <c r="F689" s="40" t="s">
        <v>3836</v>
      </c>
      <c r="G689" s="41" t="s">
        <v>5604</v>
      </c>
      <c r="H689" s="150" t="s">
        <v>5606</v>
      </c>
      <c r="I689" s="41" t="s">
        <v>5609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575</v>
      </c>
      <c r="U689" s="2" t="s">
        <v>8</v>
      </c>
      <c r="V689" s="93" t="s">
        <v>3044</v>
      </c>
      <c r="W689" s="41">
        <v>110</v>
      </c>
      <c r="X689" s="40"/>
      <c r="Y689" s="40"/>
      <c r="Z689" s="40"/>
      <c r="AA689" s="40"/>
      <c r="AB689" s="40"/>
      <c r="AC689" s="40" t="s">
        <v>2894</v>
      </c>
      <c r="AD689" s="40"/>
      <c r="AE689" s="40" t="s">
        <v>2898</v>
      </c>
      <c r="AF689" s="40"/>
      <c r="AG689" s="40" t="s">
        <v>2894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415</v>
      </c>
      <c r="C690" s="83">
        <v>1838</v>
      </c>
      <c r="D690" s="113" t="s">
        <v>410</v>
      </c>
      <c r="E690" s="83" t="s">
        <v>2915</v>
      </c>
      <c r="F690" s="83" t="s">
        <v>3837</v>
      </c>
      <c r="G690" s="47"/>
      <c r="H690" s="340" t="s">
        <v>5607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303</v>
      </c>
      <c r="V690" s="94" t="s">
        <v>3044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453</v>
      </c>
      <c r="C691" s="29">
        <v>1069</v>
      </c>
      <c r="D691" s="27" t="s">
        <v>452</v>
      </c>
      <c r="E691" s="29" t="s">
        <v>2915</v>
      </c>
      <c r="F691" s="29" t="s">
        <v>3838</v>
      </c>
      <c r="G691" s="31"/>
      <c r="H691" s="145" t="s">
        <v>5606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3044</v>
      </c>
      <c r="W691" s="31">
        <v>106</v>
      </c>
      <c r="X691" s="29"/>
      <c r="Y691" s="29"/>
      <c r="Z691" s="29"/>
      <c r="AA691" s="29"/>
      <c r="AB691" s="29"/>
      <c r="AC691" s="29" t="s">
        <v>2894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454</v>
      </c>
      <c r="C692" s="83">
        <v>1070</v>
      </c>
      <c r="D692" s="113" t="s">
        <v>452</v>
      </c>
      <c r="E692" s="83" t="s">
        <v>2915</v>
      </c>
      <c r="F692" s="83" t="s">
        <v>3839</v>
      </c>
      <c r="G692" s="47" t="s">
        <v>5604</v>
      </c>
      <c r="H692" s="340" t="s">
        <v>5606</v>
      </c>
      <c r="I692" s="47" t="s">
        <v>5609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575</v>
      </c>
      <c r="U692" s="85" t="s">
        <v>8</v>
      </c>
      <c r="V692" s="94" t="s">
        <v>3044</v>
      </c>
      <c r="W692" s="47">
        <v>111</v>
      </c>
      <c r="X692" s="83"/>
      <c r="Y692" s="83"/>
      <c r="Z692" s="83"/>
      <c r="AA692" s="83"/>
      <c r="AB692" s="83"/>
      <c r="AC692" s="83" t="s">
        <v>2894</v>
      </c>
      <c r="AD692" s="83"/>
      <c r="AE692" s="83"/>
      <c r="AF692" s="83"/>
      <c r="AG692" s="83"/>
      <c r="AH692" s="83" t="s">
        <v>2894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519</v>
      </c>
      <c r="C693" s="144">
        <v>1856</v>
      </c>
      <c r="D693" s="27" t="s">
        <v>518</v>
      </c>
      <c r="E693" s="29" t="s">
        <v>2915</v>
      </c>
      <c r="F693" s="29" t="s">
        <v>3840</v>
      </c>
      <c r="G693" s="144"/>
      <c r="H693" s="145" t="s">
        <v>5607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3044</v>
      </c>
      <c r="W693" s="31">
        <v>104</v>
      </c>
      <c r="X693" s="29"/>
      <c r="Y693" s="102"/>
      <c r="Z693" s="29"/>
      <c r="AA693" s="29" t="s">
        <v>2894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2908</v>
      </c>
      <c r="AM693" s="164"/>
    </row>
    <row r="694" spans="1:39" x14ac:dyDescent="0.3">
      <c r="A694" s="15">
        <v>693</v>
      </c>
      <c r="B694" s="40" t="s">
        <v>520</v>
      </c>
      <c r="C694" s="161">
        <v>1825</v>
      </c>
      <c r="D694" s="38" t="s">
        <v>518</v>
      </c>
      <c r="E694" s="40" t="s">
        <v>2915</v>
      </c>
      <c r="F694" s="40" t="s">
        <v>3841</v>
      </c>
      <c r="G694" s="161"/>
      <c r="H694" s="150" t="s">
        <v>5607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3044</v>
      </c>
      <c r="W694" s="41">
        <v>106</v>
      </c>
      <c r="X694" s="40"/>
      <c r="Y694" s="106"/>
      <c r="Z694" s="40"/>
      <c r="AA694" s="40"/>
      <c r="AB694" s="40"/>
      <c r="AC694" s="40" t="s">
        <v>2898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2908</v>
      </c>
      <c r="AM694" s="167"/>
    </row>
    <row r="695" spans="1:39" x14ac:dyDescent="0.3">
      <c r="A695" s="15">
        <v>694</v>
      </c>
      <c r="B695" s="40" t="s">
        <v>521</v>
      </c>
      <c r="C695" s="161">
        <v>1827</v>
      </c>
      <c r="D695" s="38" t="s">
        <v>518</v>
      </c>
      <c r="E695" s="40" t="s">
        <v>2915</v>
      </c>
      <c r="F695" s="40" t="s">
        <v>3842</v>
      </c>
      <c r="G695" s="161"/>
      <c r="H695" s="150" t="s">
        <v>5606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3044</v>
      </c>
      <c r="W695" s="41">
        <v>105</v>
      </c>
      <c r="X695" s="40"/>
      <c r="Y695" s="106"/>
      <c r="Z695" s="40"/>
      <c r="AA695" s="40"/>
      <c r="AB695" s="40" t="s">
        <v>2894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2908</v>
      </c>
      <c r="AM695" s="167"/>
    </row>
    <row r="696" spans="1:39" x14ac:dyDescent="0.3">
      <c r="A696" s="15">
        <v>695</v>
      </c>
      <c r="B696" s="40" t="s">
        <v>522</v>
      </c>
      <c r="C696" s="161">
        <v>1839</v>
      </c>
      <c r="D696" s="38" t="s">
        <v>518</v>
      </c>
      <c r="E696" s="40" t="s">
        <v>2915</v>
      </c>
      <c r="F696" s="40" t="s">
        <v>3843</v>
      </c>
      <c r="G696" s="161"/>
      <c r="H696" s="150" t="s">
        <v>5607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3044</v>
      </c>
      <c r="W696" s="41">
        <v>105</v>
      </c>
      <c r="X696" s="40"/>
      <c r="Y696" s="106"/>
      <c r="Z696" s="40"/>
      <c r="AA696" s="40"/>
      <c r="AB696" s="40" t="s">
        <v>2894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2908</v>
      </c>
      <c r="AM696" s="167"/>
    </row>
    <row r="697" spans="1:39" x14ac:dyDescent="0.3">
      <c r="A697" s="15">
        <v>696</v>
      </c>
      <c r="B697" s="40" t="s">
        <v>523</v>
      </c>
      <c r="C697" s="161">
        <v>1857</v>
      </c>
      <c r="D697" s="38" t="s">
        <v>518</v>
      </c>
      <c r="E697" s="40" t="s">
        <v>2915</v>
      </c>
      <c r="F697" s="40" t="s">
        <v>3844</v>
      </c>
      <c r="G697" s="161"/>
      <c r="H697" s="150" t="s">
        <v>5606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3044</v>
      </c>
      <c r="W697" s="41">
        <v>105</v>
      </c>
      <c r="X697" s="40"/>
      <c r="Y697" s="106"/>
      <c r="Z697" s="40"/>
      <c r="AA697" s="40"/>
      <c r="AB697" s="40" t="s">
        <v>2898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2908</v>
      </c>
      <c r="AM697" s="167"/>
    </row>
    <row r="698" spans="1:39" ht="14.4" thickBot="1" x14ac:dyDescent="0.35">
      <c r="A698" s="15">
        <v>697</v>
      </c>
      <c r="B698" s="83" t="s">
        <v>525</v>
      </c>
      <c r="C698" s="113">
        <v>1882</v>
      </c>
      <c r="D698" s="113" t="s">
        <v>518</v>
      </c>
      <c r="E698" s="83" t="s">
        <v>2915</v>
      </c>
      <c r="F698" s="83" t="s">
        <v>3845</v>
      </c>
      <c r="G698" s="47" t="s">
        <v>5604</v>
      </c>
      <c r="H698" s="340" t="s">
        <v>5606</v>
      </c>
      <c r="I698" s="47" t="s">
        <v>5609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575</v>
      </c>
      <c r="U698" s="85" t="s">
        <v>8</v>
      </c>
      <c r="V698" s="94" t="s">
        <v>3044</v>
      </c>
      <c r="W698" s="47">
        <v>109</v>
      </c>
      <c r="X698" s="83"/>
      <c r="Y698" s="83"/>
      <c r="Z698" s="83"/>
      <c r="AA698" s="83" t="s">
        <v>2894</v>
      </c>
      <c r="AB698" s="83"/>
      <c r="AC698" s="83"/>
      <c r="AD698" s="83"/>
      <c r="AE698" s="83"/>
      <c r="AF698" s="83" t="s">
        <v>2894</v>
      </c>
      <c r="AG698" s="83"/>
      <c r="AH698" s="83"/>
      <c r="AI698" s="83"/>
      <c r="AJ698" s="113"/>
      <c r="AK698" s="287"/>
      <c r="AL698" s="157" t="s">
        <v>2908</v>
      </c>
      <c r="AM698" s="252"/>
    </row>
    <row r="699" spans="1:39" x14ac:dyDescent="0.3">
      <c r="A699" s="15">
        <v>698</v>
      </c>
      <c r="B699" s="27" t="s">
        <v>565</v>
      </c>
      <c r="C699" s="27">
        <v>1386</v>
      </c>
      <c r="D699" s="27" t="s">
        <v>564</v>
      </c>
      <c r="E699" s="27" t="s">
        <v>2929</v>
      </c>
      <c r="F699" s="27" t="s">
        <v>3846</v>
      </c>
      <c r="G699" s="31" t="s">
        <v>5604</v>
      </c>
      <c r="H699" s="145" t="s">
        <v>5606</v>
      </c>
      <c r="I699" s="31" t="s">
        <v>5609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566</v>
      </c>
      <c r="Q699" s="33">
        <v>41.8</v>
      </c>
      <c r="R699" s="33">
        <v>290</v>
      </c>
      <c r="S699" s="33">
        <v>59.7</v>
      </c>
      <c r="T699" s="30" t="s">
        <v>575</v>
      </c>
      <c r="U699" s="30" t="s">
        <v>240</v>
      </c>
      <c r="V699" s="27" t="s">
        <v>3039</v>
      </c>
      <c r="W699" s="27">
        <v>111</v>
      </c>
      <c r="X699" s="29"/>
      <c r="Y699" s="29"/>
      <c r="Z699" s="29"/>
      <c r="AA699" s="29"/>
      <c r="AB699" s="29"/>
      <c r="AC699" s="29" t="s">
        <v>2894</v>
      </c>
      <c r="AD699" s="29"/>
      <c r="AE699" s="29"/>
      <c r="AF699" s="29" t="s">
        <v>2894</v>
      </c>
      <c r="AG699" s="29"/>
      <c r="AH699" s="29" t="s">
        <v>2894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567</v>
      </c>
      <c r="C700" s="113">
        <v>1395</v>
      </c>
      <c r="D700" s="113" t="s">
        <v>564</v>
      </c>
      <c r="E700" s="113" t="s">
        <v>2929</v>
      </c>
      <c r="F700" s="113" t="s">
        <v>3847</v>
      </c>
      <c r="G700" s="47" t="s">
        <v>5604</v>
      </c>
      <c r="H700" s="340" t="s">
        <v>5606</v>
      </c>
      <c r="I700" s="47" t="s">
        <v>5609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33</v>
      </c>
      <c r="Q700" s="88">
        <v>42.4</v>
      </c>
      <c r="R700" s="88">
        <v>287</v>
      </c>
      <c r="S700" s="88">
        <v>83.5</v>
      </c>
      <c r="T700" s="85" t="s">
        <v>575</v>
      </c>
      <c r="U700" s="85" t="s">
        <v>240</v>
      </c>
      <c r="V700" s="113" t="s">
        <v>3039</v>
      </c>
      <c r="W700" s="113">
        <v>111</v>
      </c>
      <c r="X700" s="83"/>
      <c r="Y700" s="83"/>
      <c r="Z700" s="83"/>
      <c r="AA700" s="83"/>
      <c r="AB700" s="83"/>
      <c r="AC700" s="83" t="s">
        <v>2894</v>
      </c>
      <c r="AD700" s="83"/>
      <c r="AE700" s="83"/>
      <c r="AF700" s="83" t="s">
        <v>2894</v>
      </c>
      <c r="AG700" s="83"/>
      <c r="AH700" s="83" t="s">
        <v>2894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571</v>
      </c>
      <c r="C701" s="27">
        <v>1869</v>
      </c>
      <c r="D701" s="27" t="s">
        <v>570</v>
      </c>
      <c r="E701" s="27" t="s">
        <v>2915</v>
      </c>
      <c r="F701" s="27" t="s">
        <v>3848</v>
      </c>
      <c r="G701" s="31" t="s">
        <v>5604</v>
      </c>
      <c r="H701" s="145" t="s">
        <v>5606</v>
      </c>
      <c r="I701" s="31" t="s">
        <v>5609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575</v>
      </c>
      <c r="U701" s="141" t="s">
        <v>8</v>
      </c>
      <c r="V701" s="27" t="s">
        <v>3039</v>
      </c>
      <c r="W701" s="27">
        <v>108</v>
      </c>
      <c r="X701" s="29"/>
      <c r="Y701" s="102"/>
      <c r="Z701" s="29"/>
      <c r="AA701" s="29" t="s">
        <v>2894</v>
      </c>
      <c r="AB701" s="29"/>
      <c r="AC701" s="29"/>
      <c r="AD701" s="29"/>
      <c r="AE701" s="29"/>
      <c r="AF701" s="29" t="s">
        <v>2894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572</v>
      </c>
      <c r="C702" s="38">
        <v>2379</v>
      </c>
      <c r="D702" s="38" t="s">
        <v>570</v>
      </c>
      <c r="E702" s="38" t="s">
        <v>2915</v>
      </c>
      <c r="F702" s="38" t="s">
        <v>3849</v>
      </c>
      <c r="G702" s="41" t="s">
        <v>5604</v>
      </c>
      <c r="H702" s="150" t="s">
        <v>5606</v>
      </c>
      <c r="I702" s="41" t="s">
        <v>5609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575</v>
      </c>
      <c r="U702" s="79" t="s">
        <v>8</v>
      </c>
      <c r="V702" s="38" t="s">
        <v>3039</v>
      </c>
      <c r="W702" s="38">
        <v>109</v>
      </c>
      <c r="X702" s="38"/>
      <c r="Y702" s="38"/>
      <c r="Z702" s="40"/>
      <c r="AA702" s="40"/>
      <c r="AB702" s="40" t="s">
        <v>2894</v>
      </c>
      <c r="AC702" s="38"/>
      <c r="AD702" s="38"/>
      <c r="AE702" s="38"/>
      <c r="AF702" s="40"/>
      <c r="AG702" s="40" t="s">
        <v>2894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573</v>
      </c>
      <c r="C703" s="113">
        <v>2433</v>
      </c>
      <c r="D703" s="113" t="s">
        <v>570</v>
      </c>
      <c r="E703" s="113" t="s">
        <v>2915</v>
      </c>
      <c r="F703" s="113" t="s">
        <v>3850</v>
      </c>
      <c r="G703" s="47" t="s">
        <v>5604</v>
      </c>
      <c r="H703" s="340" t="s">
        <v>5608</v>
      </c>
      <c r="I703" s="47" t="s">
        <v>5609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41</v>
      </c>
      <c r="Q703" s="88">
        <v>36</v>
      </c>
      <c r="R703" s="88">
        <v>522</v>
      </c>
      <c r="S703" s="88">
        <v>79</v>
      </c>
      <c r="T703" s="85" t="s">
        <v>575</v>
      </c>
      <c r="U703" s="112" t="str">
        <f>U702</f>
        <v>監測</v>
      </c>
      <c r="V703" s="113" t="s">
        <v>3039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2894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589</v>
      </c>
      <c r="C704" s="27">
        <v>932</v>
      </c>
      <c r="D704" s="27" t="s">
        <v>588</v>
      </c>
      <c r="E704" s="27" t="s">
        <v>2929</v>
      </c>
      <c r="F704" s="27" t="s">
        <v>3851</v>
      </c>
      <c r="G704" s="31" t="s">
        <v>5604</v>
      </c>
      <c r="H704" s="145" t="s">
        <v>5607</v>
      </c>
      <c r="I704" s="31" t="s">
        <v>5609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306</v>
      </c>
      <c r="U704" s="30" t="s">
        <v>3</v>
      </c>
      <c r="V704" s="27" t="s">
        <v>3039</v>
      </c>
      <c r="W704" s="27">
        <v>109</v>
      </c>
      <c r="X704" s="29"/>
      <c r="Y704" s="29"/>
      <c r="Z704" s="29"/>
      <c r="AA704" s="29"/>
      <c r="AB704" s="29"/>
      <c r="AC704" s="29" t="s">
        <v>2894</v>
      </c>
      <c r="AD704" s="29"/>
      <c r="AE704" s="29"/>
      <c r="AF704" s="29" t="s">
        <v>2898</v>
      </c>
      <c r="AG704" s="29"/>
      <c r="AH704" s="29"/>
      <c r="AI704" s="29"/>
      <c r="AJ704" s="27"/>
      <c r="AK704" s="286"/>
      <c r="AL704" s="257" t="s">
        <v>2908</v>
      </c>
      <c r="AM704" s="219"/>
    </row>
    <row r="705" spans="1:39" x14ac:dyDescent="0.3">
      <c r="A705" s="15">
        <v>704</v>
      </c>
      <c r="B705" s="40" t="s">
        <v>591</v>
      </c>
      <c r="C705" s="40">
        <v>936</v>
      </c>
      <c r="D705" s="38" t="s">
        <v>588</v>
      </c>
      <c r="E705" s="40" t="s">
        <v>2929</v>
      </c>
      <c r="F705" s="40" t="s">
        <v>3852</v>
      </c>
      <c r="G705" s="41" t="s">
        <v>5604</v>
      </c>
      <c r="H705" s="150" t="s">
        <v>5606</v>
      </c>
      <c r="I705" s="41" t="s">
        <v>5609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575</v>
      </c>
      <c r="U705" s="2" t="s">
        <v>240</v>
      </c>
      <c r="V705" s="38" t="s">
        <v>3039</v>
      </c>
      <c r="W705" s="38">
        <v>109</v>
      </c>
      <c r="X705" s="40"/>
      <c r="Y705" s="40"/>
      <c r="Z705" s="40"/>
      <c r="AA705" s="40"/>
      <c r="AB705" s="40"/>
      <c r="AC705" s="40" t="s">
        <v>2894</v>
      </c>
      <c r="AD705" s="40"/>
      <c r="AE705" s="40"/>
      <c r="AF705" s="40" t="s">
        <v>2894</v>
      </c>
      <c r="AG705" s="40"/>
      <c r="AH705" s="40"/>
      <c r="AI705" s="40"/>
      <c r="AJ705" s="38"/>
      <c r="AK705" s="287"/>
      <c r="AL705" s="157" t="s">
        <v>2908</v>
      </c>
      <c r="AM705" s="167"/>
    </row>
    <row r="706" spans="1:39" x14ac:dyDescent="0.3">
      <c r="A706" s="15">
        <v>705</v>
      </c>
      <c r="B706" s="40" t="s">
        <v>592</v>
      </c>
      <c r="C706" s="40">
        <v>939</v>
      </c>
      <c r="D706" s="38" t="s">
        <v>588</v>
      </c>
      <c r="E706" s="40" t="s">
        <v>2929</v>
      </c>
      <c r="F706" s="40" t="s">
        <v>3853</v>
      </c>
      <c r="G706" s="41" t="s">
        <v>5604</v>
      </c>
      <c r="H706" s="150" t="s">
        <v>5607</v>
      </c>
      <c r="I706" s="41" t="s">
        <v>5609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306</v>
      </c>
      <c r="U706" s="2" t="s">
        <v>3</v>
      </c>
      <c r="V706" s="38" t="s">
        <v>3039</v>
      </c>
      <c r="W706" s="38">
        <v>109</v>
      </c>
      <c r="X706" s="40"/>
      <c r="Y706" s="40"/>
      <c r="Z706" s="40"/>
      <c r="AA706" s="40"/>
      <c r="AB706" s="40"/>
      <c r="AC706" s="40" t="s">
        <v>2894</v>
      </c>
      <c r="AD706" s="40"/>
      <c r="AE706" s="40"/>
      <c r="AF706" s="40" t="s">
        <v>2898</v>
      </c>
      <c r="AG706" s="40"/>
      <c r="AH706" s="40"/>
      <c r="AI706" s="40"/>
      <c r="AJ706" s="38"/>
      <c r="AK706" s="287"/>
      <c r="AL706" s="157" t="s">
        <v>2908</v>
      </c>
      <c r="AM706" s="167"/>
    </row>
    <row r="707" spans="1:39" x14ac:dyDescent="0.3">
      <c r="A707" s="15">
        <v>706</v>
      </c>
      <c r="B707" s="40" t="s">
        <v>593</v>
      </c>
      <c r="C707" s="40">
        <v>940</v>
      </c>
      <c r="D707" s="38" t="s">
        <v>588</v>
      </c>
      <c r="E707" s="40" t="s">
        <v>2929</v>
      </c>
      <c r="F707" s="40" t="s">
        <v>3854</v>
      </c>
      <c r="G707" s="41" t="s">
        <v>5604</v>
      </c>
      <c r="H707" s="150" t="s">
        <v>5606</v>
      </c>
      <c r="I707" s="41" t="s">
        <v>5609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306</v>
      </c>
      <c r="U707" s="2" t="s">
        <v>3</v>
      </c>
      <c r="V707" s="38" t="s">
        <v>3039</v>
      </c>
      <c r="W707" s="38">
        <v>109</v>
      </c>
      <c r="X707" s="40"/>
      <c r="Y707" s="40"/>
      <c r="Z707" s="40"/>
      <c r="AA707" s="40"/>
      <c r="AB707" s="40"/>
      <c r="AC707" s="40" t="s">
        <v>2894</v>
      </c>
      <c r="AD707" s="40"/>
      <c r="AE707" s="40"/>
      <c r="AF707" s="40" t="s">
        <v>2898</v>
      </c>
      <c r="AG707" s="40"/>
      <c r="AH707" s="40"/>
      <c r="AI707" s="40"/>
      <c r="AJ707" s="38"/>
      <c r="AK707" s="287"/>
      <c r="AL707" s="157" t="s">
        <v>2908</v>
      </c>
      <c r="AM707" s="167"/>
    </row>
    <row r="708" spans="1:39" x14ac:dyDescent="0.3">
      <c r="A708" s="15">
        <v>707</v>
      </c>
      <c r="B708" s="40" t="s">
        <v>594</v>
      </c>
      <c r="C708" s="40">
        <v>941</v>
      </c>
      <c r="D708" s="38" t="s">
        <v>588</v>
      </c>
      <c r="E708" s="40" t="s">
        <v>2929</v>
      </c>
      <c r="F708" s="40" t="s">
        <v>3855</v>
      </c>
      <c r="G708" s="41" t="s">
        <v>5604</v>
      </c>
      <c r="H708" s="150" t="s">
        <v>5607</v>
      </c>
      <c r="I708" s="41" t="s">
        <v>5609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306</v>
      </c>
      <c r="U708" s="2" t="s">
        <v>3</v>
      </c>
      <c r="V708" s="38" t="s">
        <v>3039</v>
      </c>
      <c r="W708" s="38">
        <v>109</v>
      </c>
      <c r="X708" s="40"/>
      <c r="Y708" s="40"/>
      <c r="Z708" s="40"/>
      <c r="AA708" s="40"/>
      <c r="AB708" s="40"/>
      <c r="AC708" s="40" t="s">
        <v>2894</v>
      </c>
      <c r="AD708" s="40"/>
      <c r="AE708" s="40"/>
      <c r="AF708" s="40" t="s">
        <v>2898</v>
      </c>
      <c r="AG708" s="40"/>
      <c r="AH708" s="40"/>
      <c r="AI708" s="40"/>
      <c r="AJ708" s="38"/>
      <c r="AK708" s="287"/>
      <c r="AL708" s="157" t="s">
        <v>2908</v>
      </c>
      <c r="AM708" s="167"/>
    </row>
    <row r="709" spans="1:39" x14ac:dyDescent="0.3">
      <c r="A709" s="15">
        <v>708</v>
      </c>
      <c r="B709" s="40" t="s">
        <v>595</v>
      </c>
      <c r="C709" s="40">
        <v>933</v>
      </c>
      <c r="D709" s="38" t="s">
        <v>588</v>
      </c>
      <c r="E709" s="40" t="s">
        <v>2929</v>
      </c>
      <c r="F709" s="40" t="s">
        <v>3856</v>
      </c>
      <c r="G709" s="41" t="s">
        <v>5604</v>
      </c>
      <c r="H709" s="340" t="s">
        <v>5608</v>
      </c>
      <c r="I709" s="41" t="s">
        <v>5609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708</v>
      </c>
      <c r="U709" s="2" t="s">
        <v>56</v>
      </c>
      <c r="V709" s="38" t="s">
        <v>3039</v>
      </c>
      <c r="W709" s="38">
        <v>109</v>
      </c>
      <c r="X709" s="40"/>
      <c r="Y709" s="40"/>
      <c r="Z709" s="40"/>
      <c r="AA709" s="40"/>
      <c r="AB709" s="40"/>
      <c r="AC709" s="40" t="s">
        <v>2894</v>
      </c>
      <c r="AD709" s="40"/>
      <c r="AE709" s="40"/>
      <c r="AF709" s="40" t="s">
        <v>2905</v>
      </c>
      <c r="AG709" s="40"/>
      <c r="AH709" s="40"/>
      <c r="AI709" s="40"/>
      <c r="AJ709" s="38"/>
      <c r="AK709" s="287"/>
      <c r="AL709" s="157" t="s">
        <v>2908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588</v>
      </c>
      <c r="E710" s="40" t="s">
        <v>2929</v>
      </c>
      <c r="F710" s="40" t="s">
        <v>3857</v>
      </c>
      <c r="G710" s="50"/>
      <c r="H710" s="150" t="s">
        <v>5607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240</v>
      </c>
      <c r="V710" s="38" t="s">
        <v>3039</v>
      </c>
      <c r="W710" s="38">
        <v>109</v>
      </c>
      <c r="X710" s="40"/>
      <c r="Y710" s="40"/>
      <c r="Z710" s="40"/>
      <c r="AA710" s="40"/>
      <c r="AB710" s="40"/>
      <c r="AC710" s="40" t="s">
        <v>2894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2908</v>
      </c>
      <c r="AM710" s="167"/>
    </row>
    <row r="711" spans="1:39" ht="14.4" thickBot="1" x14ac:dyDescent="0.35">
      <c r="A711" s="15">
        <v>710</v>
      </c>
      <c r="B711" s="83" t="s">
        <v>596</v>
      </c>
      <c r="C711" s="83">
        <v>2495</v>
      </c>
      <c r="D711" s="113" t="s">
        <v>588</v>
      </c>
      <c r="E711" s="83" t="s">
        <v>2929</v>
      </c>
      <c r="F711" s="83" t="s">
        <v>3858</v>
      </c>
      <c r="G711" s="47" t="s">
        <v>5604</v>
      </c>
      <c r="H711" s="340" t="s">
        <v>5606</v>
      </c>
      <c r="I711" s="47" t="s">
        <v>5609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306</v>
      </c>
      <c r="U711" s="85" t="s">
        <v>3</v>
      </c>
      <c r="V711" s="113" t="s">
        <v>3039</v>
      </c>
      <c r="W711" s="113">
        <v>109</v>
      </c>
      <c r="X711" s="83"/>
      <c r="Y711" s="83"/>
      <c r="Z711" s="83"/>
      <c r="AA711" s="83"/>
      <c r="AB711" s="83" t="s">
        <v>2898</v>
      </c>
      <c r="AC711" s="83"/>
      <c r="AD711" s="83"/>
      <c r="AE711" s="83"/>
      <c r="AF711" s="83" t="s">
        <v>2898</v>
      </c>
      <c r="AG711" s="83"/>
      <c r="AH711" s="83"/>
      <c r="AI711" s="83"/>
      <c r="AJ711" s="113"/>
      <c r="AK711" s="287"/>
      <c r="AL711" s="157" t="s">
        <v>2908</v>
      </c>
      <c r="AM711" s="154"/>
    </row>
    <row r="712" spans="1:39" x14ac:dyDescent="0.3">
      <c r="A712" s="15">
        <v>711</v>
      </c>
      <c r="B712" s="29" t="s">
        <v>605</v>
      </c>
      <c r="C712" s="29">
        <v>904</v>
      </c>
      <c r="D712" s="27" t="s">
        <v>604</v>
      </c>
      <c r="E712" s="29" t="s">
        <v>2929</v>
      </c>
      <c r="F712" s="29" t="s">
        <v>3859</v>
      </c>
      <c r="G712" s="31" t="s">
        <v>5604</v>
      </c>
      <c r="H712" s="145" t="s">
        <v>5606</v>
      </c>
      <c r="I712" s="31" t="s">
        <v>5609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575</v>
      </c>
      <c r="U712" s="30" t="s">
        <v>240</v>
      </c>
      <c r="V712" s="27" t="s">
        <v>2900</v>
      </c>
      <c r="W712" s="31">
        <v>109</v>
      </c>
      <c r="X712" s="29"/>
      <c r="Y712" s="29"/>
      <c r="Z712" s="29"/>
      <c r="AA712" s="29"/>
      <c r="AB712" s="29"/>
      <c r="AC712" s="29" t="s">
        <v>2894</v>
      </c>
      <c r="AD712" s="29"/>
      <c r="AE712" s="29"/>
      <c r="AF712" s="29" t="s">
        <v>2894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604</v>
      </c>
      <c r="E713" s="40" t="s">
        <v>2929</v>
      </c>
      <c r="F713" s="40" t="s">
        <v>3860</v>
      </c>
      <c r="G713" s="41" t="s">
        <v>5604</v>
      </c>
      <c r="H713" s="150" t="s">
        <v>5608</v>
      </c>
      <c r="I713" s="41" t="s">
        <v>5609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575</v>
      </c>
      <c r="U713" s="2" t="str">
        <f>U712</f>
        <v>監測</v>
      </c>
      <c r="V713" s="38" t="s">
        <v>2900</v>
      </c>
      <c r="W713" s="41">
        <v>109</v>
      </c>
      <c r="X713" s="40"/>
      <c r="Y713" s="40"/>
      <c r="Z713" s="40"/>
      <c r="AA713" s="40"/>
      <c r="AB713" s="40"/>
      <c r="AC713" s="40" t="s">
        <v>2894</v>
      </c>
      <c r="AD713" s="40"/>
      <c r="AE713" s="40"/>
      <c r="AF713" s="40" t="s">
        <v>2894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604</v>
      </c>
      <c r="E714" s="83" t="s">
        <v>2929</v>
      </c>
      <c r="F714" s="83" t="s">
        <v>3861</v>
      </c>
      <c r="G714" s="47" t="s">
        <v>5604</v>
      </c>
      <c r="H714" s="340" t="s">
        <v>5608</v>
      </c>
      <c r="I714" s="47" t="s">
        <v>5609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575</v>
      </c>
      <c r="U714" s="85" t="str">
        <f>U712</f>
        <v>監測</v>
      </c>
      <c r="V714" s="113" t="s">
        <v>2900</v>
      </c>
      <c r="W714" s="47">
        <v>109</v>
      </c>
      <c r="X714" s="83"/>
      <c r="Y714" s="83"/>
      <c r="Z714" s="83"/>
      <c r="AA714" s="83"/>
      <c r="AB714" s="83"/>
      <c r="AC714" s="83" t="s">
        <v>2894</v>
      </c>
      <c r="AD714" s="83"/>
      <c r="AE714" s="83"/>
      <c r="AF714" s="83" t="s">
        <v>2894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607</v>
      </c>
      <c r="C715" s="19">
        <v>1417</v>
      </c>
      <c r="D715" s="17" t="s">
        <v>606</v>
      </c>
      <c r="E715" s="19" t="s">
        <v>2929</v>
      </c>
      <c r="F715" s="19" t="s">
        <v>3862</v>
      </c>
      <c r="G715" s="21" t="s">
        <v>5604</v>
      </c>
      <c r="H715" s="434" t="s">
        <v>5606</v>
      </c>
      <c r="I715" s="21" t="s">
        <v>5609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122</v>
      </c>
      <c r="Q715" s="23">
        <v>37.4</v>
      </c>
      <c r="R715" s="23">
        <v>271</v>
      </c>
      <c r="S715" s="23">
        <v>42.7</v>
      </c>
      <c r="T715" s="20" t="s">
        <v>575</v>
      </c>
      <c r="U715" s="20" t="s">
        <v>240</v>
      </c>
      <c r="V715" s="17" t="s">
        <v>2900</v>
      </c>
      <c r="W715" s="21">
        <v>109</v>
      </c>
      <c r="X715" s="19"/>
      <c r="Y715" s="19"/>
      <c r="Z715" s="19"/>
      <c r="AA715" s="19"/>
      <c r="AB715" s="19"/>
      <c r="AC715" s="19" t="s">
        <v>2894</v>
      </c>
      <c r="AD715" s="19"/>
      <c r="AE715" s="19"/>
      <c r="AF715" s="19" t="s">
        <v>2894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609</v>
      </c>
      <c r="C716" s="29">
        <v>1406</v>
      </c>
      <c r="D716" s="27" t="s">
        <v>608</v>
      </c>
      <c r="E716" s="29" t="s">
        <v>2929</v>
      </c>
      <c r="F716" s="29" t="s">
        <v>3863</v>
      </c>
      <c r="G716" s="192"/>
      <c r="H716" s="145" t="s">
        <v>5606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575</v>
      </c>
      <c r="U716" s="30" t="s">
        <v>240</v>
      </c>
      <c r="V716" s="27" t="s">
        <v>2900</v>
      </c>
      <c r="W716" s="31">
        <v>112</v>
      </c>
      <c r="X716" s="29"/>
      <c r="Y716" s="29"/>
      <c r="Z716" s="29"/>
      <c r="AA716" s="29"/>
      <c r="AB716" s="29"/>
      <c r="AC716" s="29" t="s">
        <v>2894</v>
      </c>
      <c r="AD716" s="29"/>
      <c r="AE716" s="29"/>
      <c r="AF716" s="29"/>
      <c r="AG716" s="29"/>
      <c r="AH716" s="29"/>
      <c r="AI716" s="29" t="s">
        <v>2894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610</v>
      </c>
      <c r="C717" s="83">
        <v>1407</v>
      </c>
      <c r="D717" s="113" t="s">
        <v>608</v>
      </c>
      <c r="E717" s="83" t="s">
        <v>2929</v>
      </c>
      <c r="F717" s="83" t="s">
        <v>3864</v>
      </c>
      <c r="G717" s="47" t="s">
        <v>5604</v>
      </c>
      <c r="H717" s="340" t="s">
        <v>5606</v>
      </c>
      <c r="I717" s="47" t="s">
        <v>5609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306</v>
      </c>
      <c r="U717" s="85" t="s">
        <v>3</v>
      </c>
      <c r="V717" s="113" t="s">
        <v>2900</v>
      </c>
      <c r="W717" s="47">
        <v>109</v>
      </c>
      <c r="X717" s="83"/>
      <c r="Y717" s="83"/>
      <c r="Z717" s="83"/>
      <c r="AA717" s="83"/>
      <c r="AB717" s="83"/>
      <c r="AC717" s="83" t="s">
        <v>2894</v>
      </c>
      <c r="AD717" s="83"/>
      <c r="AE717" s="83"/>
      <c r="AF717" s="83" t="s">
        <v>2898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612</v>
      </c>
      <c r="C718" s="29">
        <v>1387</v>
      </c>
      <c r="D718" s="27" t="s">
        <v>611</v>
      </c>
      <c r="E718" s="29" t="s">
        <v>2929</v>
      </c>
      <c r="F718" s="29" t="s">
        <v>3865</v>
      </c>
      <c r="G718" s="31" t="s">
        <v>5604</v>
      </c>
      <c r="H718" s="145" t="s">
        <v>5606</v>
      </c>
      <c r="I718" s="31" t="s">
        <v>5609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287</v>
      </c>
      <c r="Q718" s="33">
        <v>40.4</v>
      </c>
      <c r="R718" s="33">
        <v>248</v>
      </c>
      <c r="S718" s="33">
        <v>62.3</v>
      </c>
      <c r="T718" s="30" t="s">
        <v>575</v>
      </c>
      <c r="U718" s="30" t="s">
        <v>240</v>
      </c>
      <c r="V718" s="27" t="s">
        <v>2900</v>
      </c>
      <c r="W718" s="31">
        <v>111</v>
      </c>
      <c r="X718" s="29"/>
      <c r="Y718" s="29"/>
      <c r="Z718" s="29"/>
      <c r="AA718" s="29"/>
      <c r="AB718" s="29"/>
      <c r="AC718" s="29" t="s">
        <v>2894</v>
      </c>
      <c r="AD718" s="29"/>
      <c r="AE718" s="29"/>
      <c r="AF718" s="29" t="s">
        <v>2894</v>
      </c>
      <c r="AG718" s="29"/>
      <c r="AH718" s="29" t="s">
        <v>2894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613</v>
      </c>
      <c r="C719" s="40">
        <v>1389</v>
      </c>
      <c r="D719" s="38" t="s">
        <v>611</v>
      </c>
      <c r="E719" s="40" t="s">
        <v>2929</v>
      </c>
      <c r="F719" s="40" t="s">
        <v>3866</v>
      </c>
      <c r="G719" s="41" t="s">
        <v>5604</v>
      </c>
      <c r="H719" s="150" t="s">
        <v>5606</v>
      </c>
      <c r="I719" s="41" t="s">
        <v>5609</v>
      </c>
      <c r="J719" s="42">
        <v>196961</v>
      </c>
      <c r="K719" s="42">
        <v>2662747</v>
      </c>
      <c r="L719" s="43" t="s">
        <v>614</v>
      </c>
      <c r="M719" s="44">
        <v>11</v>
      </c>
      <c r="N719" s="43">
        <v>172</v>
      </c>
      <c r="O719" s="43">
        <v>47.6</v>
      </c>
      <c r="P719" s="43" t="s">
        <v>615</v>
      </c>
      <c r="Q719" s="43">
        <v>41.4</v>
      </c>
      <c r="R719" s="43">
        <v>248</v>
      </c>
      <c r="S719" s="43">
        <v>57.2</v>
      </c>
      <c r="T719" s="2" t="s">
        <v>575</v>
      </c>
      <c r="U719" s="2" t="s">
        <v>240</v>
      </c>
      <c r="V719" s="38" t="s">
        <v>2900</v>
      </c>
      <c r="W719" s="41">
        <v>111</v>
      </c>
      <c r="X719" s="40"/>
      <c r="Y719" s="40"/>
      <c r="Z719" s="40"/>
      <c r="AA719" s="40"/>
      <c r="AB719" s="40"/>
      <c r="AC719" s="40" t="s">
        <v>2894</v>
      </c>
      <c r="AD719" s="40"/>
      <c r="AE719" s="40"/>
      <c r="AF719" s="40" t="s">
        <v>2894</v>
      </c>
      <c r="AG719" s="40"/>
      <c r="AH719" s="40" t="s">
        <v>2894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616</v>
      </c>
      <c r="C720" s="40">
        <v>1390</v>
      </c>
      <c r="D720" s="38" t="s">
        <v>611</v>
      </c>
      <c r="E720" s="40" t="s">
        <v>2929</v>
      </c>
      <c r="F720" s="40" t="s">
        <v>3867</v>
      </c>
      <c r="G720" s="41" t="s">
        <v>5604</v>
      </c>
      <c r="H720" s="150" t="s">
        <v>5606</v>
      </c>
      <c r="I720" s="41" t="s">
        <v>5609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575</v>
      </c>
      <c r="U720" s="2" t="s">
        <v>240</v>
      </c>
      <c r="V720" s="38" t="s">
        <v>2900</v>
      </c>
      <c r="W720" s="41">
        <v>111</v>
      </c>
      <c r="X720" s="40"/>
      <c r="Y720" s="40"/>
      <c r="Z720" s="40"/>
      <c r="AA720" s="40"/>
      <c r="AB720" s="40"/>
      <c r="AC720" s="40" t="s">
        <v>2894</v>
      </c>
      <c r="AD720" s="40"/>
      <c r="AE720" s="40"/>
      <c r="AF720" s="40" t="s">
        <v>2894</v>
      </c>
      <c r="AG720" s="40"/>
      <c r="AH720" s="40" t="s">
        <v>2894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611</v>
      </c>
      <c r="E721" s="83" t="s">
        <v>2929</v>
      </c>
      <c r="F721" s="83" t="s">
        <v>3868</v>
      </c>
      <c r="G721" s="47" t="s">
        <v>5604</v>
      </c>
      <c r="H721" s="340" t="s">
        <v>5608</v>
      </c>
      <c r="I721" s="47" t="s">
        <v>5609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575</v>
      </c>
      <c r="U721" s="85" t="str">
        <f>U718</f>
        <v>監測</v>
      </c>
      <c r="V721" s="113" t="s">
        <v>2900</v>
      </c>
      <c r="W721" s="47">
        <v>111</v>
      </c>
      <c r="X721" s="83"/>
      <c r="Y721" s="83"/>
      <c r="Z721" s="83"/>
      <c r="AA721" s="83"/>
      <c r="AB721" s="83"/>
      <c r="AC721" s="83" t="s">
        <v>2894</v>
      </c>
      <c r="AD721" s="83"/>
      <c r="AE721" s="83"/>
      <c r="AF721" s="83" t="s">
        <v>2894</v>
      </c>
      <c r="AG721" s="83"/>
      <c r="AH721" s="83" t="s">
        <v>2894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618</v>
      </c>
      <c r="C722" s="29">
        <v>1864</v>
      </c>
      <c r="D722" s="27" t="s">
        <v>617</v>
      </c>
      <c r="E722" s="29" t="s">
        <v>2915</v>
      </c>
      <c r="F722" s="29" t="s">
        <v>3869</v>
      </c>
      <c r="G722" s="31" t="s">
        <v>5604</v>
      </c>
      <c r="H722" s="145" t="s">
        <v>5606</v>
      </c>
      <c r="I722" s="31" t="s">
        <v>5609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306</v>
      </c>
      <c r="U722" s="30" t="s">
        <v>3</v>
      </c>
      <c r="V722" s="27" t="s">
        <v>2900</v>
      </c>
      <c r="W722" s="31">
        <v>109</v>
      </c>
      <c r="X722" s="29"/>
      <c r="Y722" s="102"/>
      <c r="Z722" s="29"/>
      <c r="AA722" s="29" t="s">
        <v>2894</v>
      </c>
      <c r="AB722" s="29"/>
      <c r="AC722" s="29"/>
      <c r="AD722" s="29"/>
      <c r="AE722" s="29"/>
      <c r="AF722" s="29" t="s">
        <v>2898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619</v>
      </c>
      <c r="C723" s="40">
        <v>1865</v>
      </c>
      <c r="D723" s="38" t="s">
        <v>617</v>
      </c>
      <c r="E723" s="40" t="s">
        <v>2915</v>
      </c>
      <c r="F723" s="40" t="s">
        <v>3870</v>
      </c>
      <c r="G723" s="41" t="s">
        <v>5604</v>
      </c>
      <c r="H723" s="150" t="s">
        <v>5606</v>
      </c>
      <c r="I723" s="41" t="s">
        <v>5609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575</v>
      </c>
      <c r="U723" s="2" t="s">
        <v>240</v>
      </c>
      <c r="V723" s="38" t="s">
        <v>2900</v>
      </c>
      <c r="W723" s="41">
        <v>112</v>
      </c>
      <c r="X723" s="40"/>
      <c r="Y723" s="106"/>
      <c r="Z723" s="40" t="s">
        <v>2894</v>
      </c>
      <c r="AA723" s="40"/>
      <c r="AB723" s="40"/>
      <c r="AC723" s="40"/>
      <c r="AD723" s="40"/>
      <c r="AE723" s="40" t="s">
        <v>2894</v>
      </c>
      <c r="AF723" s="40" t="s">
        <v>2894</v>
      </c>
      <c r="AG723" s="40"/>
      <c r="AH723" s="40"/>
      <c r="AI723" s="40" t="s">
        <v>2894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620</v>
      </c>
      <c r="C724" s="40">
        <v>1884</v>
      </c>
      <c r="D724" s="38" t="s">
        <v>617</v>
      </c>
      <c r="E724" s="40" t="s">
        <v>2915</v>
      </c>
      <c r="F724" s="40" t="s">
        <v>3871</v>
      </c>
      <c r="G724" s="41" t="s">
        <v>5604</v>
      </c>
      <c r="H724" s="150" t="s">
        <v>5608</v>
      </c>
      <c r="I724" s="41" t="s">
        <v>5609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306</v>
      </c>
      <c r="U724" s="2" t="str">
        <f>U722</f>
        <v>正常</v>
      </c>
      <c r="V724" s="38" t="s">
        <v>2900</v>
      </c>
      <c r="W724" s="41">
        <v>109</v>
      </c>
      <c r="X724" s="40"/>
      <c r="Y724" s="40"/>
      <c r="Z724" s="40"/>
      <c r="AA724" s="40" t="s">
        <v>2894</v>
      </c>
      <c r="AB724" s="40"/>
      <c r="AC724" s="40"/>
      <c r="AD724" s="40"/>
      <c r="AE724" s="40"/>
      <c r="AF724" s="40" t="s">
        <v>2898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621</v>
      </c>
      <c r="C725" s="134">
        <v>1885</v>
      </c>
      <c r="D725" s="113" t="s">
        <v>617</v>
      </c>
      <c r="E725" s="83" t="s">
        <v>2915</v>
      </c>
      <c r="F725" s="83" t="s">
        <v>3872</v>
      </c>
      <c r="G725" s="47" t="s">
        <v>5604</v>
      </c>
      <c r="H725" s="340" t="s">
        <v>5608</v>
      </c>
      <c r="I725" s="47" t="s">
        <v>5609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306</v>
      </c>
      <c r="U725" s="85" t="str">
        <f>U722</f>
        <v>正常</v>
      </c>
      <c r="V725" s="113" t="s">
        <v>2900</v>
      </c>
      <c r="W725" s="47">
        <v>109</v>
      </c>
      <c r="X725" s="83"/>
      <c r="Y725" s="83"/>
      <c r="Z725" s="83"/>
      <c r="AA725" s="83" t="s">
        <v>2894</v>
      </c>
      <c r="AB725" s="83"/>
      <c r="AC725" s="83"/>
      <c r="AD725" s="83"/>
      <c r="AE725" s="83"/>
      <c r="AF725" s="83" t="s">
        <v>2898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628</v>
      </c>
      <c r="C726" s="135">
        <v>703</v>
      </c>
      <c r="D726" s="27" t="s">
        <v>626</v>
      </c>
      <c r="E726" s="29" t="s">
        <v>2915</v>
      </c>
      <c r="F726" s="29" t="s">
        <v>3873</v>
      </c>
      <c r="G726" s="192"/>
      <c r="H726" s="145" t="s">
        <v>5606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331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2900</v>
      </c>
      <c r="W726" s="31">
        <v>105</v>
      </c>
      <c r="X726" s="29"/>
      <c r="Y726" s="102"/>
      <c r="Z726" s="29"/>
      <c r="AA726" s="29"/>
      <c r="AB726" s="29" t="s">
        <v>2898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2908</v>
      </c>
      <c r="AM726" s="26"/>
    </row>
    <row r="727" spans="1:39" x14ac:dyDescent="0.3">
      <c r="A727" s="15">
        <v>726</v>
      </c>
      <c r="B727" s="40" t="s">
        <v>629</v>
      </c>
      <c r="C727" s="133">
        <v>993</v>
      </c>
      <c r="D727" s="38" t="s">
        <v>626</v>
      </c>
      <c r="E727" s="40" t="s">
        <v>2915</v>
      </c>
      <c r="F727" s="40" t="s">
        <v>3874</v>
      </c>
      <c r="G727" s="50"/>
      <c r="H727" s="150" t="s">
        <v>5606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575</v>
      </c>
      <c r="U727" s="2" t="s">
        <v>240</v>
      </c>
      <c r="V727" s="38" t="s">
        <v>2900</v>
      </c>
      <c r="W727" s="41">
        <v>111</v>
      </c>
      <c r="X727" s="40"/>
      <c r="Y727" s="40"/>
      <c r="Z727" s="40" t="s">
        <v>2894</v>
      </c>
      <c r="AA727" s="40"/>
      <c r="AB727" s="40"/>
      <c r="AC727" s="40"/>
      <c r="AD727" s="40"/>
      <c r="AE727" s="40" t="s">
        <v>2894</v>
      </c>
      <c r="AF727" s="40"/>
      <c r="AG727" s="40"/>
      <c r="AH727" s="40" t="s">
        <v>2894</v>
      </c>
      <c r="AI727" s="40"/>
      <c r="AJ727" s="41"/>
      <c r="AK727" s="48"/>
      <c r="AL727" s="157" t="s">
        <v>2908</v>
      </c>
      <c r="AM727" s="37"/>
    </row>
    <row r="728" spans="1:39" x14ac:dyDescent="0.3">
      <c r="A728" s="15">
        <v>727</v>
      </c>
      <c r="B728" s="40" t="s">
        <v>630</v>
      </c>
      <c r="C728" s="133">
        <v>995</v>
      </c>
      <c r="D728" s="38" t="s">
        <v>626</v>
      </c>
      <c r="E728" s="40" t="s">
        <v>2915</v>
      </c>
      <c r="F728" s="40" t="s">
        <v>3875</v>
      </c>
      <c r="G728" s="50"/>
      <c r="H728" s="150" t="s">
        <v>5607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2900</v>
      </c>
      <c r="W728" s="41">
        <v>107</v>
      </c>
      <c r="X728" s="40"/>
      <c r="Y728" s="40"/>
      <c r="Z728" s="40" t="s">
        <v>2894</v>
      </c>
      <c r="AA728" s="40"/>
      <c r="AB728" s="40"/>
      <c r="AC728" s="40"/>
      <c r="AD728" s="40" t="s">
        <v>2898</v>
      </c>
      <c r="AE728" s="40"/>
      <c r="AF728" s="40"/>
      <c r="AG728" s="40"/>
      <c r="AH728" s="40"/>
      <c r="AI728" s="40"/>
      <c r="AJ728" s="41"/>
      <c r="AK728" s="48"/>
      <c r="AL728" s="157" t="s">
        <v>2908</v>
      </c>
      <c r="AM728" s="37"/>
    </row>
    <row r="729" spans="1:39" x14ac:dyDescent="0.3">
      <c r="A729" s="15">
        <v>728</v>
      </c>
      <c r="B729" s="40" t="s">
        <v>631</v>
      </c>
      <c r="C729" s="133">
        <v>996</v>
      </c>
      <c r="D729" s="38" t="s">
        <v>626</v>
      </c>
      <c r="E729" s="40" t="s">
        <v>2915</v>
      </c>
      <c r="F729" s="40" t="s">
        <v>3876</v>
      </c>
      <c r="G729" s="41" t="s">
        <v>5604</v>
      </c>
      <c r="H729" s="150" t="s">
        <v>5606</v>
      </c>
      <c r="I729" s="41" t="s">
        <v>5609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52</v>
      </c>
      <c r="Q729" s="43">
        <v>49.4</v>
      </c>
      <c r="R729" s="43">
        <v>306</v>
      </c>
      <c r="S729" s="43">
        <v>122</v>
      </c>
      <c r="T729" s="2" t="s">
        <v>575</v>
      </c>
      <c r="U729" s="2" t="s">
        <v>240</v>
      </c>
      <c r="V729" s="38" t="s">
        <v>2900</v>
      </c>
      <c r="W729" s="41">
        <v>111</v>
      </c>
      <c r="X729" s="40"/>
      <c r="Y729" s="40"/>
      <c r="Z729" s="40" t="s">
        <v>2894</v>
      </c>
      <c r="AA729" s="40"/>
      <c r="AB729" s="40"/>
      <c r="AC729" s="40"/>
      <c r="AD729" s="40"/>
      <c r="AE729" s="40" t="s">
        <v>2898</v>
      </c>
      <c r="AF729" s="40"/>
      <c r="AG729" s="40"/>
      <c r="AH729" s="40" t="s">
        <v>2894</v>
      </c>
      <c r="AI729" s="40"/>
      <c r="AJ729" s="41"/>
      <c r="AK729" s="45"/>
      <c r="AL729" s="54" t="s">
        <v>2908</v>
      </c>
      <c r="AM729" s="37"/>
    </row>
    <row r="730" spans="1:39" ht="14.4" thickBot="1" x14ac:dyDescent="0.35">
      <c r="A730" s="15">
        <v>729</v>
      </c>
      <c r="B730" s="231" t="s">
        <v>632</v>
      </c>
      <c r="C730" s="294">
        <v>1000</v>
      </c>
      <c r="D730" s="229" t="s">
        <v>626</v>
      </c>
      <c r="E730" s="231" t="s">
        <v>2915</v>
      </c>
      <c r="F730" s="231" t="s">
        <v>3877</v>
      </c>
      <c r="G730" s="233"/>
      <c r="H730" s="435" t="s">
        <v>5608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633</v>
      </c>
      <c r="Q730" s="296">
        <v>38.299999999999997</v>
      </c>
      <c r="R730" s="296">
        <v>231</v>
      </c>
      <c r="S730" s="296">
        <v>95.8</v>
      </c>
      <c r="T730" s="232" t="s">
        <v>575</v>
      </c>
      <c r="U730" s="232" t="str">
        <f>U729</f>
        <v>監測</v>
      </c>
      <c r="V730" s="229" t="s">
        <v>2900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2894</v>
      </c>
      <c r="AF730" s="231"/>
      <c r="AG730" s="231"/>
      <c r="AH730" s="231" t="s">
        <v>2894</v>
      </c>
      <c r="AI730" s="231"/>
      <c r="AJ730" s="291"/>
      <c r="AK730" s="298"/>
      <c r="AL730" s="251" t="s">
        <v>2908</v>
      </c>
      <c r="AM730" s="264"/>
    </row>
    <row r="731" spans="1:39" x14ac:dyDescent="0.3">
      <c r="A731" s="15">
        <v>730</v>
      </c>
      <c r="B731" s="29" t="s">
        <v>641</v>
      </c>
      <c r="C731" s="135">
        <v>900</v>
      </c>
      <c r="D731" s="27" t="s">
        <v>640</v>
      </c>
      <c r="E731" s="29" t="s">
        <v>2929</v>
      </c>
      <c r="F731" s="29" t="s">
        <v>3878</v>
      </c>
      <c r="G731" s="31" t="s">
        <v>5604</v>
      </c>
      <c r="H731" s="145" t="s">
        <v>5606</v>
      </c>
      <c r="I731" s="31" t="s">
        <v>5609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306</v>
      </c>
      <c r="U731" s="30" t="s">
        <v>3</v>
      </c>
      <c r="V731" s="27" t="s">
        <v>2900</v>
      </c>
      <c r="W731" s="31">
        <v>111</v>
      </c>
      <c r="X731" s="29"/>
      <c r="Y731" s="29"/>
      <c r="Z731" s="29"/>
      <c r="AA731" s="29"/>
      <c r="AB731" s="29"/>
      <c r="AC731" s="29" t="s">
        <v>2894</v>
      </c>
      <c r="AD731" s="29"/>
      <c r="AE731" s="29"/>
      <c r="AF731" s="29" t="s">
        <v>2898</v>
      </c>
      <c r="AG731" s="29"/>
      <c r="AH731" s="29" t="s">
        <v>2898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642</v>
      </c>
      <c r="C732" s="133">
        <v>905</v>
      </c>
      <c r="D732" s="38" t="s">
        <v>640</v>
      </c>
      <c r="E732" s="40" t="s">
        <v>2929</v>
      </c>
      <c r="F732" s="40" t="s">
        <v>3879</v>
      </c>
      <c r="G732" s="41" t="s">
        <v>5604</v>
      </c>
      <c r="H732" s="150" t="s">
        <v>5607</v>
      </c>
      <c r="I732" s="41" t="s">
        <v>5609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287</v>
      </c>
      <c r="Q732" s="43">
        <v>36</v>
      </c>
      <c r="R732" s="43">
        <v>376</v>
      </c>
      <c r="S732" s="43">
        <v>130</v>
      </c>
      <c r="T732" s="79"/>
      <c r="U732" s="2" t="s">
        <v>240</v>
      </c>
      <c r="V732" s="38" t="s">
        <v>2900</v>
      </c>
      <c r="W732" s="41">
        <v>106</v>
      </c>
      <c r="X732" s="40"/>
      <c r="Y732" s="40"/>
      <c r="Z732" s="40"/>
      <c r="AA732" s="40"/>
      <c r="AB732" s="40"/>
      <c r="AC732" s="40" t="s">
        <v>2894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643</v>
      </c>
      <c r="C733" s="133">
        <v>906</v>
      </c>
      <c r="D733" s="38" t="s">
        <v>640</v>
      </c>
      <c r="E733" s="40" t="s">
        <v>2929</v>
      </c>
      <c r="F733" s="40" t="s">
        <v>3880</v>
      </c>
      <c r="G733" s="41" t="s">
        <v>5604</v>
      </c>
      <c r="H733" s="150" t="s">
        <v>5607</v>
      </c>
      <c r="I733" s="41" t="s">
        <v>5609</v>
      </c>
      <c r="J733" s="42">
        <v>195385</v>
      </c>
      <c r="K733" s="42">
        <v>2662835</v>
      </c>
      <c r="L733" s="43" t="s">
        <v>644</v>
      </c>
      <c r="M733" s="44">
        <v>12.1</v>
      </c>
      <c r="N733" s="43">
        <v>179</v>
      </c>
      <c r="O733" s="43">
        <v>88.9</v>
      </c>
      <c r="P733" s="43" t="s">
        <v>209</v>
      </c>
      <c r="Q733" s="43">
        <v>38.700000000000003</v>
      </c>
      <c r="R733" s="43">
        <v>398</v>
      </c>
      <c r="S733" s="43">
        <v>153</v>
      </c>
      <c r="T733" s="79"/>
      <c r="U733" s="2" t="s">
        <v>240</v>
      </c>
      <c r="V733" s="38" t="s">
        <v>2900</v>
      </c>
      <c r="W733" s="41">
        <v>106</v>
      </c>
      <c r="X733" s="40"/>
      <c r="Y733" s="40"/>
      <c r="Z733" s="40"/>
      <c r="AA733" s="40"/>
      <c r="AB733" s="40"/>
      <c r="AC733" s="40" t="s">
        <v>2894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645</v>
      </c>
      <c r="C734" s="133">
        <v>907</v>
      </c>
      <c r="D734" s="38" t="s">
        <v>640</v>
      </c>
      <c r="E734" s="40" t="s">
        <v>2929</v>
      </c>
      <c r="F734" s="40" t="s">
        <v>3881</v>
      </c>
      <c r="G734" s="41" t="s">
        <v>5604</v>
      </c>
      <c r="H734" s="150" t="s">
        <v>5607</v>
      </c>
      <c r="I734" s="41" t="s">
        <v>5609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138</v>
      </c>
      <c r="Q734" s="43">
        <v>41.2</v>
      </c>
      <c r="R734" s="43">
        <v>423</v>
      </c>
      <c r="S734" s="43">
        <v>181</v>
      </c>
      <c r="T734" s="2" t="s">
        <v>575</v>
      </c>
      <c r="U734" s="2" t="s">
        <v>240</v>
      </c>
      <c r="V734" s="38" t="s">
        <v>2900</v>
      </c>
      <c r="W734" s="41">
        <v>109</v>
      </c>
      <c r="X734" s="40"/>
      <c r="Y734" s="40"/>
      <c r="Z734" s="40"/>
      <c r="AA734" s="40"/>
      <c r="AB734" s="40"/>
      <c r="AC734" s="40" t="s">
        <v>2894</v>
      </c>
      <c r="AD734" s="40"/>
      <c r="AE734" s="40"/>
      <c r="AF734" s="40" t="s">
        <v>2894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646</v>
      </c>
      <c r="C735" s="133">
        <v>909</v>
      </c>
      <c r="D735" s="38" t="s">
        <v>640</v>
      </c>
      <c r="E735" s="40" t="s">
        <v>2929</v>
      </c>
      <c r="F735" s="40" t="s">
        <v>3882</v>
      </c>
      <c r="G735" s="41" t="s">
        <v>5604</v>
      </c>
      <c r="H735" s="150" t="s">
        <v>5606</v>
      </c>
      <c r="I735" s="41" t="s">
        <v>5609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240</v>
      </c>
      <c r="V735" s="38" t="s">
        <v>2900</v>
      </c>
      <c r="W735" s="41">
        <v>106</v>
      </c>
      <c r="X735" s="40"/>
      <c r="Y735" s="40"/>
      <c r="Z735" s="40"/>
      <c r="AA735" s="40"/>
      <c r="AB735" s="40"/>
      <c r="AC735" s="40" t="s">
        <v>2894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647</v>
      </c>
      <c r="C736" s="133">
        <v>911</v>
      </c>
      <c r="D736" s="38" t="s">
        <v>640</v>
      </c>
      <c r="E736" s="40" t="s">
        <v>2929</v>
      </c>
      <c r="F736" s="40" t="s">
        <v>3883</v>
      </c>
      <c r="G736" s="41" t="s">
        <v>5604</v>
      </c>
      <c r="H736" s="150" t="s">
        <v>5606</v>
      </c>
      <c r="I736" s="41" t="s">
        <v>5609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575</v>
      </c>
      <c r="U736" s="2" t="s">
        <v>240</v>
      </c>
      <c r="V736" s="38" t="s">
        <v>2900</v>
      </c>
      <c r="W736" s="41">
        <v>110</v>
      </c>
      <c r="X736" s="40"/>
      <c r="Y736" s="40"/>
      <c r="Z736" s="40"/>
      <c r="AA736" s="40"/>
      <c r="AB736" s="40"/>
      <c r="AC736" s="40" t="s">
        <v>2894</v>
      </c>
      <c r="AD736" s="40"/>
      <c r="AE736" s="40"/>
      <c r="AF736" s="40" t="s">
        <v>2894</v>
      </c>
      <c r="AG736" s="40" t="s">
        <v>2894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640</v>
      </c>
      <c r="E737" s="40" t="s">
        <v>2929</v>
      </c>
      <c r="F737" s="40" t="s">
        <v>3884</v>
      </c>
      <c r="G737" s="41" t="s">
        <v>5604</v>
      </c>
      <c r="H737" s="150" t="s">
        <v>5608</v>
      </c>
      <c r="I737" s="41" t="s">
        <v>5609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575</v>
      </c>
      <c r="U737" s="2" t="str">
        <f>U712</f>
        <v>監測</v>
      </c>
      <c r="V737" s="38" t="s">
        <v>2900</v>
      </c>
      <c r="W737" s="41">
        <v>109</v>
      </c>
      <c r="X737" s="40"/>
      <c r="Y737" s="40"/>
      <c r="Z737" s="40"/>
      <c r="AA737" s="40"/>
      <c r="AB737" s="40"/>
      <c r="AC737" s="40" t="s">
        <v>2894</v>
      </c>
      <c r="AD737" s="40"/>
      <c r="AE737" s="40"/>
      <c r="AF737" s="40" t="s">
        <v>2894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640</v>
      </c>
      <c r="E738" s="83" t="s">
        <v>2929</v>
      </c>
      <c r="F738" s="83" t="s">
        <v>3885</v>
      </c>
      <c r="G738" s="138"/>
      <c r="H738" s="340" t="s">
        <v>5607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240</v>
      </c>
      <c r="V738" s="113" t="s">
        <v>2900</v>
      </c>
      <c r="W738" s="47">
        <v>106</v>
      </c>
      <c r="X738" s="83"/>
      <c r="Y738" s="83"/>
      <c r="Z738" s="83"/>
      <c r="AA738" s="83"/>
      <c r="AB738" s="83"/>
      <c r="AC738" s="83" t="s">
        <v>2894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649</v>
      </c>
      <c r="C739" s="135">
        <v>1418</v>
      </c>
      <c r="D739" s="27" t="s">
        <v>648</v>
      </c>
      <c r="E739" s="29" t="s">
        <v>2929</v>
      </c>
      <c r="F739" s="29" t="s">
        <v>3886</v>
      </c>
      <c r="G739" s="31" t="s">
        <v>5604</v>
      </c>
      <c r="H739" s="145" t="s">
        <v>5607</v>
      </c>
      <c r="I739" s="31" t="s">
        <v>5609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306</v>
      </c>
      <c r="U739" s="30" t="s">
        <v>3</v>
      </c>
      <c r="V739" s="27" t="s">
        <v>2900</v>
      </c>
      <c r="W739" s="31">
        <v>109</v>
      </c>
      <c r="X739" s="29"/>
      <c r="Y739" s="29"/>
      <c r="Z739" s="29"/>
      <c r="AA739" s="29"/>
      <c r="AB739" s="29"/>
      <c r="AC739" s="29" t="s">
        <v>2894</v>
      </c>
      <c r="AD739" s="29"/>
      <c r="AE739" s="29"/>
      <c r="AF739" s="29" t="s">
        <v>2898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650</v>
      </c>
      <c r="C740" s="133">
        <v>1420</v>
      </c>
      <c r="D740" s="38" t="s">
        <v>648</v>
      </c>
      <c r="E740" s="40" t="s">
        <v>2929</v>
      </c>
      <c r="F740" s="40" t="s">
        <v>3887</v>
      </c>
      <c r="G740" s="41" t="s">
        <v>5604</v>
      </c>
      <c r="H740" s="150" t="s">
        <v>5606</v>
      </c>
      <c r="I740" s="41" t="s">
        <v>5609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575</v>
      </c>
      <c r="U740" s="2" t="s">
        <v>240</v>
      </c>
      <c r="V740" s="38" t="s">
        <v>2900</v>
      </c>
      <c r="W740" s="41">
        <v>109</v>
      </c>
      <c r="X740" s="40"/>
      <c r="Y740" s="40"/>
      <c r="Z740" s="40"/>
      <c r="AA740" s="40"/>
      <c r="AB740" s="40"/>
      <c r="AC740" s="40" t="s">
        <v>2894</v>
      </c>
      <c r="AD740" s="40"/>
      <c r="AE740" s="40"/>
      <c r="AF740" s="40" t="s">
        <v>2894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651</v>
      </c>
      <c r="C741" s="133">
        <v>1422</v>
      </c>
      <c r="D741" s="38" t="s">
        <v>648</v>
      </c>
      <c r="E741" s="40" t="s">
        <v>2929</v>
      </c>
      <c r="F741" s="40" t="s">
        <v>3888</v>
      </c>
      <c r="G741" s="41" t="s">
        <v>5604</v>
      </c>
      <c r="H741" s="150" t="s">
        <v>5606</v>
      </c>
      <c r="I741" s="41" t="s">
        <v>5609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306</v>
      </c>
      <c r="U741" s="2" t="s">
        <v>3</v>
      </c>
      <c r="V741" s="38" t="s">
        <v>2900</v>
      </c>
      <c r="W741" s="41">
        <v>109</v>
      </c>
      <c r="X741" s="40"/>
      <c r="Y741" s="40"/>
      <c r="Z741" s="40"/>
      <c r="AA741" s="40"/>
      <c r="AB741" s="40"/>
      <c r="AC741" s="40" t="s">
        <v>2894</v>
      </c>
      <c r="AD741" s="40"/>
      <c r="AE741" s="40"/>
      <c r="AF741" s="40" t="s">
        <v>2898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652</v>
      </c>
      <c r="C742" s="134">
        <v>1419</v>
      </c>
      <c r="D742" s="113" t="s">
        <v>648</v>
      </c>
      <c r="E742" s="83" t="s">
        <v>2929</v>
      </c>
      <c r="F742" s="83" t="s">
        <v>3889</v>
      </c>
      <c r="G742" s="47" t="s">
        <v>5604</v>
      </c>
      <c r="H742" s="340" t="s">
        <v>5606</v>
      </c>
      <c r="I742" s="47" t="s">
        <v>5609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575</v>
      </c>
      <c r="U742" s="85" t="s">
        <v>240</v>
      </c>
      <c r="V742" s="113" t="s">
        <v>2900</v>
      </c>
      <c r="W742" s="47">
        <v>109</v>
      </c>
      <c r="X742" s="83"/>
      <c r="Y742" s="83"/>
      <c r="Z742" s="83"/>
      <c r="AA742" s="83"/>
      <c r="AB742" s="83" t="s">
        <v>2894</v>
      </c>
      <c r="AC742" s="83" t="s">
        <v>2894</v>
      </c>
      <c r="AD742" s="83"/>
      <c r="AE742" s="83"/>
      <c r="AF742" s="83" t="s">
        <v>2894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683</v>
      </c>
      <c r="C743" s="29">
        <v>836</v>
      </c>
      <c r="D743" s="27" t="s">
        <v>682</v>
      </c>
      <c r="E743" s="29" t="s">
        <v>2929</v>
      </c>
      <c r="F743" s="29" t="s">
        <v>3890</v>
      </c>
      <c r="G743" s="31" t="s">
        <v>5604</v>
      </c>
      <c r="H743" s="145" t="s">
        <v>5607</v>
      </c>
      <c r="I743" s="31" t="s">
        <v>5609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306</v>
      </c>
      <c r="U743" s="30" t="s">
        <v>3</v>
      </c>
      <c r="V743" s="27" t="s">
        <v>2900</v>
      </c>
      <c r="W743" s="28">
        <v>109</v>
      </c>
      <c r="X743" s="29"/>
      <c r="Y743" s="29"/>
      <c r="Z743" s="29"/>
      <c r="AA743" s="29"/>
      <c r="AB743" s="29"/>
      <c r="AC743" s="29" t="s">
        <v>2939</v>
      </c>
      <c r="AD743" s="29"/>
      <c r="AE743" s="29"/>
      <c r="AF743" s="29" t="s">
        <v>2898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684</v>
      </c>
      <c r="C744" s="40">
        <v>849</v>
      </c>
      <c r="D744" s="38" t="s">
        <v>682</v>
      </c>
      <c r="E744" s="40" t="s">
        <v>2929</v>
      </c>
      <c r="F744" s="40" t="s">
        <v>3891</v>
      </c>
      <c r="G744" s="41" t="s">
        <v>5604</v>
      </c>
      <c r="H744" s="150" t="s">
        <v>5606</v>
      </c>
      <c r="I744" s="41" t="s">
        <v>5609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306</v>
      </c>
      <c r="U744" s="2" t="s">
        <v>3</v>
      </c>
      <c r="V744" s="38" t="s">
        <v>2900</v>
      </c>
      <c r="W744" s="39">
        <v>109</v>
      </c>
      <c r="X744" s="40"/>
      <c r="Y744" s="40"/>
      <c r="Z744" s="40"/>
      <c r="AA744" s="40"/>
      <c r="AB744" s="40"/>
      <c r="AC744" s="40" t="s">
        <v>2939</v>
      </c>
      <c r="AD744" s="40"/>
      <c r="AE744" s="40"/>
      <c r="AF744" s="40" t="s">
        <v>2898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685</v>
      </c>
      <c r="C745" s="40">
        <v>928</v>
      </c>
      <c r="D745" s="38" t="s">
        <v>682</v>
      </c>
      <c r="E745" s="40" t="s">
        <v>2929</v>
      </c>
      <c r="F745" s="40" t="s">
        <v>3892</v>
      </c>
      <c r="G745" s="41" t="s">
        <v>5604</v>
      </c>
      <c r="H745" s="150" t="s">
        <v>5606</v>
      </c>
      <c r="I745" s="41" t="s">
        <v>5609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575</v>
      </c>
      <c r="U745" s="2" t="s">
        <v>240</v>
      </c>
      <c r="V745" s="38" t="s">
        <v>2900</v>
      </c>
      <c r="W745" s="39">
        <v>109</v>
      </c>
      <c r="X745" s="40"/>
      <c r="Y745" s="40"/>
      <c r="Z745" s="40"/>
      <c r="AA745" s="40"/>
      <c r="AB745" s="40"/>
      <c r="AC745" s="40" t="s">
        <v>2939</v>
      </c>
      <c r="AD745" s="40"/>
      <c r="AE745" s="40"/>
      <c r="AF745" s="40" t="s">
        <v>2939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686</v>
      </c>
      <c r="C746" s="40">
        <v>929</v>
      </c>
      <c r="D746" s="38" t="s">
        <v>682</v>
      </c>
      <c r="E746" s="40" t="s">
        <v>2929</v>
      </c>
      <c r="F746" s="40" t="s">
        <v>3893</v>
      </c>
      <c r="G746" s="50"/>
      <c r="H746" s="150" t="s">
        <v>5607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240</v>
      </c>
      <c r="V746" s="38" t="s">
        <v>2900</v>
      </c>
      <c r="W746" s="39">
        <v>106</v>
      </c>
      <c r="X746" s="40"/>
      <c r="Y746" s="40"/>
      <c r="Z746" s="40"/>
      <c r="AA746" s="40"/>
      <c r="AB746" s="40"/>
      <c r="AC746" s="40" t="s">
        <v>2939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687</v>
      </c>
      <c r="C747" s="40">
        <v>2293</v>
      </c>
      <c r="D747" s="38" t="s">
        <v>682</v>
      </c>
      <c r="E747" s="40" t="s">
        <v>2929</v>
      </c>
      <c r="F747" s="40" t="s">
        <v>3894</v>
      </c>
      <c r="G747" s="50"/>
      <c r="H747" s="150" t="s">
        <v>5607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2900</v>
      </c>
      <c r="W747" s="39">
        <v>108</v>
      </c>
      <c r="X747" s="40"/>
      <c r="Y747" s="40"/>
      <c r="Z747" s="40"/>
      <c r="AA747" s="40"/>
      <c r="AB747" s="40"/>
      <c r="AC747" s="40" t="s">
        <v>2939</v>
      </c>
      <c r="AD747" s="40"/>
      <c r="AE747" s="40" t="s">
        <v>2898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682</v>
      </c>
      <c r="E748" s="40" t="s">
        <v>2929</v>
      </c>
      <c r="F748" s="40" t="s">
        <v>3895</v>
      </c>
      <c r="G748" s="50"/>
      <c r="H748" s="150" t="s">
        <v>5608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2900</v>
      </c>
      <c r="W748" s="39">
        <v>106</v>
      </c>
      <c r="X748" s="40"/>
      <c r="Y748" s="40"/>
      <c r="Z748" s="40"/>
      <c r="AA748" s="40"/>
      <c r="AB748" s="40"/>
      <c r="AC748" s="40" t="s">
        <v>2939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688</v>
      </c>
      <c r="C749" s="83">
        <v>850</v>
      </c>
      <c r="D749" s="113" t="s">
        <v>682</v>
      </c>
      <c r="E749" s="83" t="s">
        <v>2929</v>
      </c>
      <c r="F749" s="83" t="s">
        <v>3896</v>
      </c>
      <c r="G749" s="47" t="s">
        <v>5604</v>
      </c>
      <c r="H749" s="340" t="s">
        <v>5606</v>
      </c>
      <c r="I749" s="47" t="s">
        <v>5609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575</v>
      </c>
      <c r="U749" s="85" t="s">
        <v>240</v>
      </c>
      <c r="V749" s="113" t="s">
        <v>2900</v>
      </c>
      <c r="W749" s="86">
        <v>109</v>
      </c>
      <c r="X749" s="83"/>
      <c r="Y749" s="83"/>
      <c r="Z749" s="83"/>
      <c r="AA749" s="83"/>
      <c r="AB749" s="83"/>
      <c r="AC749" s="83" t="s">
        <v>2939</v>
      </c>
      <c r="AD749" s="83"/>
      <c r="AE749" s="83"/>
      <c r="AF749" s="83" t="s">
        <v>2939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691</v>
      </c>
      <c r="C750" s="29">
        <v>872</v>
      </c>
      <c r="D750" s="27" t="s">
        <v>690</v>
      </c>
      <c r="E750" s="29" t="s">
        <v>2929</v>
      </c>
      <c r="F750" s="29" t="s">
        <v>3897</v>
      </c>
      <c r="G750" s="31" t="s">
        <v>5604</v>
      </c>
      <c r="H750" s="145" t="s">
        <v>5606</v>
      </c>
      <c r="I750" s="31" t="s">
        <v>5609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575</v>
      </c>
      <c r="U750" s="30" t="s">
        <v>240</v>
      </c>
      <c r="V750" s="27" t="s">
        <v>2900</v>
      </c>
      <c r="W750" s="28">
        <v>109</v>
      </c>
      <c r="X750" s="29"/>
      <c r="Y750" s="29"/>
      <c r="Z750" s="29"/>
      <c r="AA750" s="29"/>
      <c r="AB750" s="29"/>
      <c r="AC750" s="29" t="s">
        <v>2939</v>
      </c>
      <c r="AD750" s="29"/>
      <c r="AE750" s="29"/>
      <c r="AF750" s="29" t="s">
        <v>2939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692</v>
      </c>
      <c r="C751" s="40">
        <v>896</v>
      </c>
      <c r="D751" s="38" t="s">
        <v>690</v>
      </c>
      <c r="E751" s="40" t="s">
        <v>2929</v>
      </c>
      <c r="F751" s="40" t="s">
        <v>3898</v>
      </c>
      <c r="G751" s="41" t="s">
        <v>5604</v>
      </c>
      <c r="H751" s="150" t="s">
        <v>5607</v>
      </c>
      <c r="I751" s="41" t="s">
        <v>5609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575</v>
      </c>
      <c r="U751" s="2" t="s">
        <v>240</v>
      </c>
      <c r="V751" s="38" t="s">
        <v>2900</v>
      </c>
      <c r="W751" s="39">
        <v>109</v>
      </c>
      <c r="X751" s="40"/>
      <c r="Y751" s="40"/>
      <c r="Z751" s="40"/>
      <c r="AA751" s="40"/>
      <c r="AB751" s="40"/>
      <c r="AC751" s="40" t="s">
        <v>2939</v>
      </c>
      <c r="AD751" s="40"/>
      <c r="AE751" s="40"/>
      <c r="AF751" s="40" t="s">
        <v>2939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693</v>
      </c>
      <c r="C752" s="40">
        <v>897</v>
      </c>
      <c r="D752" s="38" t="s">
        <v>690</v>
      </c>
      <c r="E752" s="40" t="s">
        <v>2929</v>
      </c>
      <c r="F752" s="40" t="s">
        <v>3899</v>
      </c>
      <c r="G752" s="41" t="s">
        <v>5604</v>
      </c>
      <c r="H752" s="150" t="s">
        <v>5608</v>
      </c>
      <c r="I752" s="41" t="s">
        <v>5609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306</v>
      </c>
      <c r="U752" s="2" t="s">
        <v>3</v>
      </c>
      <c r="V752" s="38" t="s">
        <v>2900</v>
      </c>
      <c r="W752" s="39">
        <v>109</v>
      </c>
      <c r="X752" s="40"/>
      <c r="Y752" s="40"/>
      <c r="Z752" s="40"/>
      <c r="AA752" s="40"/>
      <c r="AB752" s="40"/>
      <c r="AC752" s="40" t="s">
        <v>2939</v>
      </c>
      <c r="AD752" s="40"/>
      <c r="AE752" s="40"/>
      <c r="AF752" s="40" t="s">
        <v>2898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694</v>
      </c>
      <c r="C753" s="40">
        <v>898</v>
      </c>
      <c r="D753" s="38" t="s">
        <v>690</v>
      </c>
      <c r="E753" s="40" t="s">
        <v>2929</v>
      </c>
      <c r="F753" s="40" t="s">
        <v>3900</v>
      </c>
      <c r="G753" s="41" t="s">
        <v>5604</v>
      </c>
      <c r="H753" s="150" t="s">
        <v>5606</v>
      </c>
      <c r="I753" s="41" t="s">
        <v>5609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306</v>
      </c>
      <c r="U753" s="2" t="str">
        <f>U752</f>
        <v>正常</v>
      </c>
      <c r="V753" s="38" t="s">
        <v>2900</v>
      </c>
      <c r="W753" s="39">
        <v>109</v>
      </c>
      <c r="X753" s="40"/>
      <c r="Y753" s="40"/>
      <c r="Z753" s="40"/>
      <c r="AA753" s="40"/>
      <c r="AB753" s="40"/>
      <c r="AC753" s="40" t="s">
        <v>2939</v>
      </c>
      <c r="AD753" s="40"/>
      <c r="AE753" s="40"/>
      <c r="AF753" s="40" t="s">
        <v>2898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695</v>
      </c>
      <c r="C754" s="40">
        <v>899</v>
      </c>
      <c r="D754" s="38" t="s">
        <v>690</v>
      </c>
      <c r="E754" s="40" t="s">
        <v>2929</v>
      </c>
      <c r="F754" s="40" t="s">
        <v>3901</v>
      </c>
      <c r="G754" s="41" t="s">
        <v>5604</v>
      </c>
      <c r="H754" s="150" t="s">
        <v>5606</v>
      </c>
      <c r="I754" s="41" t="s">
        <v>5609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575</v>
      </c>
      <c r="U754" s="2" t="s">
        <v>240</v>
      </c>
      <c r="V754" s="38" t="s">
        <v>2900</v>
      </c>
      <c r="W754" s="39">
        <v>109</v>
      </c>
      <c r="X754" s="40"/>
      <c r="Y754" s="40"/>
      <c r="Z754" s="40"/>
      <c r="AA754" s="40"/>
      <c r="AB754" s="40"/>
      <c r="AC754" s="40" t="s">
        <v>2939</v>
      </c>
      <c r="AD754" s="40"/>
      <c r="AE754" s="40"/>
      <c r="AF754" s="40" t="s">
        <v>2939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696</v>
      </c>
      <c r="C755" s="58">
        <v>910</v>
      </c>
      <c r="D755" s="56" t="s">
        <v>690</v>
      </c>
      <c r="E755" s="58" t="s">
        <v>2929</v>
      </c>
      <c r="F755" s="58" t="s">
        <v>3902</v>
      </c>
      <c r="G755" s="60" t="s">
        <v>5604</v>
      </c>
      <c r="H755" s="226" t="s">
        <v>5607</v>
      </c>
      <c r="I755" s="60" t="s">
        <v>5609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219</v>
      </c>
      <c r="Q755" s="62">
        <v>40.700000000000003</v>
      </c>
      <c r="R755" s="62">
        <v>466</v>
      </c>
      <c r="S755" s="62">
        <v>102</v>
      </c>
      <c r="T755" s="143"/>
      <c r="U755" s="59" t="s">
        <v>240</v>
      </c>
      <c r="V755" s="56" t="s">
        <v>2900</v>
      </c>
      <c r="W755" s="57">
        <v>106</v>
      </c>
      <c r="X755" s="58"/>
      <c r="Y755" s="58"/>
      <c r="Z755" s="58"/>
      <c r="AA755" s="58"/>
      <c r="AB755" s="58"/>
      <c r="AC755" s="58" t="s">
        <v>2939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701</v>
      </c>
      <c r="C756" s="29">
        <v>1338</v>
      </c>
      <c r="D756" s="27" t="s">
        <v>700</v>
      </c>
      <c r="E756" s="29" t="s">
        <v>2929</v>
      </c>
      <c r="F756" s="29" t="s">
        <v>3903</v>
      </c>
      <c r="G756" s="31" t="s">
        <v>5604</v>
      </c>
      <c r="H756" s="145" t="s">
        <v>5606</v>
      </c>
      <c r="I756" s="31" t="s">
        <v>5609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575</v>
      </c>
      <c r="U756" s="30" t="s">
        <v>240</v>
      </c>
      <c r="V756" s="27" t="s">
        <v>2900</v>
      </c>
      <c r="W756" s="28">
        <v>110</v>
      </c>
      <c r="X756" s="29"/>
      <c r="Y756" s="29"/>
      <c r="Z756" s="29"/>
      <c r="AA756" s="29"/>
      <c r="AB756" s="29"/>
      <c r="AC756" s="29" t="s">
        <v>2939</v>
      </c>
      <c r="AD756" s="29"/>
      <c r="AE756" s="29" t="s">
        <v>2898</v>
      </c>
      <c r="AF756" s="29"/>
      <c r="AG756" s="29" t="s">
        <v>2939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702</v>
      </c>
      <c r="C757" s="40">
        <v>1339</v>
      </c>
      <c r="D757" s="38" t="s">
        <v>700</v>
      </c>
      <c r="E757" s="40" t="s">
        <v>2929</v>
      </c>
      <c r="F757" s="40" t="s">
        <v>3904</v>
      </c>
      <c r="G757" s="41" t="s">
        <v>5604</v>
      </c>
      <c r="H757" s="150" t="s">
        <v>5608</v>
      </c>
      <c r="I757" s="41" t="s">
        <v>5609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708</v>
      </c>
      <c r="U757" s="2" t="s">
        <v>56</v>
      </c>
      <c r="V757" s="38" t="s">
        <v>2900</v>
      </c>
      <c r="W757" s="39">
        <v>110</v>
      </c>
      <c r="X757" s="40"/>
      <c r="Y757" s="40"/>
      <c r="Z757" s="40"/>
      <c r="AA757" s="40"/>
      <c r="AB757" s="40"/>
      <c r="AC757" s="40" t="s">
        <v>2939</v>
      </c>
      <c r="AD757" s="40"/>
      <c r="AE757" s="40" t="s">
        <v>2898</v>
      </c>
      <c r="AF757" s="40"/>
      <c r="AG757" s="40" t="s">
        <v>2943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703</v>
      </c>
      <c r="C758" s="40">
        <v>1353</v>
      </c>
      <c r="D758" s="38" t="s">
        <v>700</v>
      </c>
      <c r="E758" s="40" t="s">
        <v>2929</v>
      </c>
      <c r="F758" s="40" t="s">
        <v>3905</v>
      </c>
      <c r="G758" s="50"/>
      <c r="H758" s="150" t="s">
        <v>5607</v>
      </c>
      <c r="I758" s="50"/>
      <c r="J758" s="43">
        <v>196027</v>
      </c>
      <c r="K758" s="43">
        <v>2663204</v>
      </c>
      <c r="L758" s="43" t="s">
        <v>704</v>
      </c>
      <c r="M758" s="44">
        <v>13</v>
      </c>
      <c r="N758" s="43">
        <v>120</v>
      </c>
      <c r="O758" s="43">
        <v>41.7</v>
      </c>
      <c r="P758" s="43" t="s">
        <v>566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2900</v>
      </c>
      <c r="W758" s="39">
        <v>108</v>
      </c>
      <c r="X758" s="40"/>
      <c r="Y758" s="40"/>
      <c r="Z758" s="40"/>
      <c r="AA758" s="40"/>
      <c r="AB758" s="40"/>
      <c r="AC758" s="40" t="s">
        <v>2939</v>
      </c>
      <c r="AD758" s="40"/>
      <c r="AE758" s="40" t="s">
        <v>2898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705</v>
      </c>
      <c r="C759" s="40">
        <v>1354</v>
      </c>
      <c r="D759" s="38" t="s">
        <v>700</v>
      </c>
      <c r="E759" s="40" t="s">
        <v>2929</v>
      </c>
      <c r="F759" s="40" t="s">
        <v>3906</v>
      </c>
      <c r="G759" s="50"/>
      <c r="H759" s="150" t="s">
        <v>5607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2900</v>
      </c>
      <c r="W759" s="39">
        <v>108</v>
      </c>
      <c r="X759" s="40"/>
      <c r="Y759" s="40"/>
      <c r="Z759" s="40"/>
      <c r="AA759" s="40"/>
      <c r="AB759" s="40"/>
      <c r="AC759" s="40" t="s">
        <v>2939</v>
      </c>
      <c r="AD759" s="40"/>
      <c r="AE759" s="40" t="s">
        <v>2898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706</v>
      </c>
      <c r="C760" s="40">
        <v>1411</v>
      </c>
      <c r="D760" s="38" t="s">
        <v>700</v>
      </c>
      <c r="E760" s="40" t="s">
        <v>2929</v>
      </c>
      <c r="F760" s="40" t="s">
        <v>3907</v>
      </c>
      <c r="G760" s="41" t="s">
        <v>5604</v>
      </c>
      <c r="H760" s="150" t="s">
        <v>5606</v>
      </c>
      <c r="I760" s="41" t="s">
        <v>5609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306</v>
      </c>
      <c r="U760" s="2" t="s">
        <v>3</v>
      </c>
      <c r="V760" s="38" t="s">
        <v>2900</v>
      </c>
      <c r="W760" s="39">
        <v>110</v>
      </c>
      <c r="X760" s="40"/>
      <c r="Y760" s="40"/>
      <c r="Z760" s="40"/>
      <c r="AA760" s="40"/>
      <c r="AB760" s="40"/>
      <c r="AC760" s="40" t="s">
        <v>2939</v>
      </c>
      <c r="AD760" s="40"/>
      <c r="AE760" s="40"/>
      <c r="AF760" s="40"/>
      <c r="AG760" s="40" t="s">
        <v>2898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707</v>
      </c>
      <c r="C761" s="40">
        <v>1340</v>
      </c>
      <c r="D761" s="38" t="s">
        <v>700</v>
      </c>
      <c r="E761" s="40" t="s">
        <v>2929</v>
      </c>
      <c r="F761" s="40" t="s">
        <v>3908</v>
      </c>
      <c r="G761" s="41" t="s">
        <v>5604</v>
      </c>
      <c r="H761" s="150" t="s">
        <v>5608</v>
      </c>
      <c r="I761" s="41" t="s">
        <v>5609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102</v>
      </c>
      <c r="Q761" s="43">
        <v>15.7</v>
      </c>
      <c r="R761" s="43">
        <v>132</v>
      </c>
      <c r="S761" s="43">
        <v>38.1</v>
      </c>
      <c r="T761" s="79" t="s">
        <v>708</v>
      </c>
      <c r="U761" s="2" t="str">
        <f>U757</f>
        <v>管制</v>
      </c>
      <c r="V761" s="38" t="s">
        <v>2900</v>
      </c>
      <c r="W761" s="39">
        <v>110</v>
      </c>
      <c r="X761" s="40"/>
      <c r="Y761" s="40"/>
      <c r="Z761" s="40"/>
      <c r="AA761" s="40"/>
      <c r="AB761" s="40"/>
      <c r="AC761" s="40" t="s">
        <v>2939</v>
      </c>
      <c r="AD761" s="40"/>
      <c r="AE761" s="40" t="s">
        <v>2898</v>
      </c>
      <c r="AF761" s="40"/>
      <c r="AG761" s="40" t="s">
        <v>2943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700</v>
      </c>
      <c r="E762" s="40" t="s">
        <v>2929</v>
      </c>
      <c r="F762" s="40" t="s">
        <v>3909</v>
      </c>
      <c r="G762" s="50"/>
      <c r="H762" s="150" t="s">
        <v>5608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102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2900</v>
      </c>
      <c r="W762" s="39">
        <v>108</v>
      </c>
      <c r="X762" s="40"/>
      <c r="Y762" s="40"/>
      <c r="Z762" s="40"/>
      <c r="AA762" s="40"/>
      <c r="AB762" s="40"/>
      <c r="AC762" s="40" t="s">
        <v>2939</v>
      </c>
      <c r="AD762" s="40"/>
      <c r="AE762" s="40" t="s">
        <v>2898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700</v>
      </c>
      <c r="E763" s="83" t="s">
        <v>2929</v>
      </c>
      <c r="F763" s="83" t="s">
        <v>3910</v>
      </c>
      <c r="G763" s="138"/>
      <c r="H763" s="340" t="s">
        <v>5606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233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2900</v>
      </c>
      <c r="W763" s="86">
        <v>108</v>
      </c>
      <c r="X763" s="83"/>
      <c r="Y763" s="83"/>
      <c r="Z763" s="83"/>
      <c r="AA763" s="83"/>
      <c r="AB763" s="83"/>
      <c r="AC763" s="83" t="s">
        <v>2939</v>
      </c>
      <c r="AD763" s="83"/>
      <c r="AE763" s="83" t="s">
        <v>2898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710</v>
      </c>
      <c r="C764" s="29">
        <v>1352</v>
      </c>
      <c r="D764" s="27" t="s">
        <v>709</v>
      </c>
      <c r="E764" s="29" t="s">
        <v>2929</v>
      </c>
      <c r="F764" s="29" t="s">
        <v>3911</v>
      </c>
      <c r="G764" s="31" t="s">
        <v>5604</v>
      </c>
      <c r="H764" s="145" t="s">
        <v>5606</v>
      </c>
      <c r="I764" s="31" t="s">
        <v>5609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306</v>
      </c>
      <c r="U764" s="30" t="s">
        <v>3</v>
      </c>
      <c r="V764" s="27" t="s">
        <v>2900</v>
      </c>
      <c r="W764" s="28">
        <v>111</v>
      </c>
      <c r="X764" s="29"/>
      <c r="Y764" s="29"/>
      <c r="Z764" s="29"/>
      <c r="AA764" s="29"/>
      <c r="AB764" s="29"/>
      <c r="AC764" s="29" t="s">
        <v>2939</v>
      </c>
      <c r="AD764" s="29"/>
      <c r="AE764" s="29" t="s">
        <v>2898</v>
      </c>
      <c r="AF764" s="29"/>
      <c r="AG764" s="29"/>
      <c r="AH764" s="29" t="s">
        <v>2898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711</v>
      </c>
      <c r="C765" s="40">
        <v>1358</v>
      </c>
      <c r="D765" s="38" t="s">
        <v>709</v>
      </c>
      <c r="E765" s="40" t="s">
        <v>2929</v>
      </c>
      <c r="F765" s="40" t="s">
        <v>3912</v>
      </c>
      <c r="G765" s="41" t="s">
        <v>5604</v>
      </c>
      <c r="H765" s="150" t="s">
        <v>5606</v>
      </c>
      <c r="I765" s="41" t="s">
        <v>5609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306</v>
      </c>
      <c r="U765" s="2" t="s">
        <v>3</v>
      </c>
      <c r="V765" s="38" t="s">
        <v>2900</v>
      </c>
      <c r="W765" s="39">
        <v>111</v>
      </c>
      <c r="X765" s="40"/>
      <c r="Y765" s="40"/>
      <c r="Z765" s="40"/>
      <c r="AA765" s="40"/>
      <c r="AB765" s="40"/>
      <c r="AC765" s="40" t="s">
        <v>2939</v>
      </c>
      <c r="AD765" s="40"/>
      <c r="AE765" s="40" t="s">
        <v>2898</v>
      </c>
      <c r="AF765" s="40"/>
      <c r="AG765" s="40"/>
      <c r="AH765" s="40" t="s">
        <v>2898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712</v>
      </c>
      <c r="C766" s="40">
        <v>1361</v>
      </c>
      <c r="D766" s="38" t="s">
        <v>709</v>
      </c>
      <c r="E766" s="40" t="s">
        <v>2929</v>
      </c>
      <c r="F766" s="40" t="s">
        <v>3913</v>
      </c>
      <c r="G766" s="41" t="s">
        <v>5604</v>
      </c>
      <c r="H766" s="150" t="s">
        <v>5607</v>
      </c>
      <c r="I766" s="41" t="s">
        <v>5609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306</v>
      </c>
      <c r="U766" s="2" t="s">
        <v>3</v>
      </c>
      <c r="V766" s="38" t="s">
        <v>2900</v>
      </c>
      <c r="W766" s="39">
        <v>111</v>
      </c>
      <c r="X766" s="40"/>
      <c r="Y766" s="40"/>
      <c r="Z766" s="40"/>
      <c r="AA766" s="40"/>
      <c r="AB766" s="40"/>
      <c r="AC766" s="40" t="s">
        <v>2939</v>
      </c>
      <c r="AD766" s="40"/>
      <c r="AE766" s="40" t="s">
        <v>2898</v>
      </c>
      <c r="AF766" s="40"/>
      <c r="AG766" s="40"/>
      <c r="AH766" s="40" t="s">
        <v>2898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713</v>
      </c>
      <c r="C767" s="40">
        <v>1362</v>
      </c>
      <c r="D767" s="38" t="s">
        <v>709</v>
      </c>
      <c r="E767" s="40" t="s">
        <v>2929</v>
      </c>
      <c r="F767" s="40" t="s">
        <v>3914</v>
      </c>
      <c r="G767" s="41" t="s">
        <v>5604</v>
      </c>
      <c r="H767" s="150" t="s">
        <v>5607</v>
      </c>
      <c r="I767" s="41" t="s">
        <v>5609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306</v>
      </c>
      <c r="U767" s="2" t="s">
        <v>3</v>
      </c>
      <c r="V767" s="38" t="s">
        <v>2900</v>
      </c>
      <c r="W767" s="39">
        <v>111</v>
      </c>
      <c r="X767" s="40"/>
      <c r="Y767" s="40"/>
      <c r="Z767" s="40"/>
      <c r="AA767" s="40"/>
      <c r="AB767" s="40"/>
      <c r="AC767" s="40" t="s">
        <v>2939</v>
      </c>
      <c r="AD767" s="40"/>
      <c r="AE767" s="40" t="s">
        <v>2939</v>
      </c>
      <c r="AF767" s="40"/>
      <c r="AG767" s="40"/>
      <c r="AH767" s="40" t="s">
        <v>2898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714</v>
      </c>
      <c r="C768" s="40">
        <v>1363</v>
      </c>
      <c r="D768" s="38" t="s">
        <v>709</v>
      </c>
      <c r="E768" s="40" t="s">
        <v>2929</v>
      </c>
      <c r="F768" s="40" t="s">
        <v>3915</v>
      </c>
      <c r="G768" s="41" t="s">
        <v>5604</v>
      </c>
      <c r="H768" s="150" t="s">
        <v>5607</v>
      </c>
      <c r="I768" s="41" t="s">
        <v>5609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306</v>
      </c>
      <c r="U768" s="2" t="s">
        <v>3</v>
      </c>
      <c r="V768" s="38" t="s">
        <v>2900</v>
      </c>
      <c r="W768" s="39">
        <v>111</v>
      </c>
      <c r="X768" s="40"/>
      <c r="Y768" s="40"/>
      <c r="Z768" s="40"/>
      <c r="AA768" s="40"/>
      <c r="AB768" s="40"/>
      <c r="AC768" s="40" t="s">
        <v>2939</v>
      </c>
      <c r="AD768" s="40"/>
      <c r="AE768" s="40" t="s">
        <v>2898</v>
      </c>
      <c r="AF768" s="40"/>
      <c r="AG768" s="40"/>
      <c r="AH768" s="40" t="s">
        <v>2898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715</v>
      </c>
      <c r="C769" s="40">
        <v>1364</v>
      </c>
      <c r="D769" s="38" t="s">
        <v>709</v>
      </c>
      <c r="E769" s="40" t="s">
        <v>2929</v>
      </c>
      <c r="F769" s="40" t="s">
        <v>3916</v>
      </c>
      <c r="G769" s="41" t="s">
        <v>5604</v>
      </c>
      <c r="H769" s="150" t="s">
        <v>5606</v>
      </c>
      <c r="I769" s="41" t="s">
        <v>5609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575</v>
      </c>
      <c r="U769" s="2" t="s">
        <v>240</v>
      </c>
      <c r="V769" s="38" t="s">
        <v>2900</v>
      </c>
      <c r="W769" s="39">
        <v>111</v>
      </c>
      <c r="X769" s="40"/>
      <c r="Y769" s="40"/>
      <c r="Z769" s="40"/>
      <c r="AA769" s="40"/>
      <c r="AB769" s="40"/>
      <c r="AC769" s="40" t="s">
        <v>2939</v>
      </c>
      <c r="AD769" s="40"/>
      <c r="AE769" s="40" t="s">
        <v>2939</v>
      </c>
      <c r="AF769" s="40"/>
      <c r="AG769" s="40"/>
      <c r="AH769" s="40" t="s">
        <v>2939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716</v>
      </c>
      <c r="C770" s="40">
        <v>1359</v>
      </c>
      <c r="D770" s="38" t="s">
        <v>709</v>
      </c>
      <c r="E770" s="40" t="s">
        <v>2929</v>
      </c>
      <c r="F770" s="40" t="s">
        <v>3917</v>
      </c>
      <c r="G770" s="41" t="s">
        <v>5604</v>
      </c>
      <c r="H770" s="150" t="s">
        <v>5608</v>
      </c>
      <c r="I770" s="41" t="s">
        <v>5609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102</v>
      </c>
      <c r="Q770" s="43">
        <v>20.2</v>
      </c>
      <c r="R770" s="43">
        <v>178</v>
      </c>
      <c r="S770" s="43">
        <v>47.4</v>
      </c>
      <c r="T770" s="2" t="s">
        <v>306</v>
      </c>
      <c r="U770" s="2" t="str">
        <f>U765</f>
        <v>正常</v>
      </c>
      <c r="V770" s="38" t="s">
        <v>2900</v>
      </c>
      <c r="W770" s="39">
        <v>111</v>
      </c>
      <c r="X770" s="40"/>
      <c r="Y770" s="40"/>
      <c r="Z770" s="40"/>
      <c r="AA770" s="40"/>
      <c r="AB770" s="40"/>
      <c r="AC770" s="40" t="s">
        <v>2939</v>
      </c>
      <c r="AD770" s="40"/>
      <c r="AE770" s="40" t="s">
        <v>2898</v>
      </c>
      <c r="AF770" s="40"/>
      <c r="AG770" s="40"/>
      <c r="AH770" s="40" t="s">
        <v>2898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717</v>
      </c>
      <c r="C771" s="83">
        <v>1360</v>
      </c>
      <c r="D771" s="113" t="s">
        <v>709</v>
      </c>
      <c r="E771" s="83" t="s">
        <v>2929</v>
      </c>
      <c r="F771" s="83" t="s">
        <v>3918</v>
      </c>
      <c r="G771" s="47" t="s">
        <v>5604</v>
      </c>
      <c r="H771" s="340" t="s">
        <v>5608</v>
      </c>
      <c r="I771" s="47" t="s">
        <v>5609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102</v>
      </c>
      <c r="Q771" s="88">
        <v>25.4</v>
      </c>
      <c r="R771" s="88">
        <v>231</v>
      </c>
      <c r="S771" s="88">
        <v>67.2</v>
      </c>
      <c r="T771" s="85" t="s">
        <v>306</v>
      </c>
      <c r="U771" s="85" t="str">
        <f>U766</f>
        <v>正常</v>
      </c>
      <c r="V771" s="113" t="s">
        <v>2900</v>
      </c>
      <c r="W771" s="86">
        <v>111</v>
      </c>
      <c r="X771" s="83"/>
      <c r="Y771" s="83"/>
      <c r="Z771" s="83"/>
      <c r="AA771" s="83"/>
      <c r="AB771" s="83"/>
      <c r="AC771" s="83" t="s">
        <v>2939</v>
      </c>
      <c r="AD771" s="83"/>
      <c r="AE771" s="83" t="s">
        <v>2898</v>
      </c>
      <c r="AF771" s="83"/>
      <c r="AG771" s="83"/>
      <c r="AH771" s="83" t="s">
        <v>2898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727</v>
      </c>
      <c r="C772" s="205">
        <v>2165</v>
      </c>
      <c r="D772" s="203" t="s">
        <v>724</v>
      </c>
      <c r="E772" s="205" t="s">
        <v>2915</v>
      </c>
      <c r="F772" s="205" t="s">
        <v>3919</v>
      </c>
      <c r="G772" s="207" t="s">
        <v>5604</v>
      </c>
      <c r="H772" s="453" t="s">
        <v>5606</v>
      </c>
      <c r="I772" s="207" t="s">
        <v>5609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575</v>
      </c>
      <c r="U772" s="206" t="s">
        <v>8</v>
      </c>
      <c r="V772" s="203" t="s">
        <v>2900</v>
      </c>
      <c r="W772" s="208">
        <v>111</v>
      </c>
      <c r="X772" s="205"/>
      <c r="Y772" s="205"/>
      <c r="Z772" s="205"/>
      <c r="AA772" s="205" t="s">
        <v>2939</v>
      </c>
      <c r="AB772" s="205"/>
      <c r="AC772" s="205"/>
      <c r="AD772" s="205" t="s">
        <v>2898</v>
      </c>
      <c r="AE772" s="205"/>
      <c r="AF772" s="205"/>
      <c r="AG772" s="205"/>
      <c r="AH772" s="205" t="s">
        <v>2939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843</v>
      </c>
      <c r="C773" s="205">
        <v>711</v>
      </c>
      <c r="D773" s="203" t="s">
        <v>841</v>
      </c>
      <c r="E773" s="205" t="s">
        <v>2915</v>
      </c>
      <c r="F773" s="205" t="s">
        <v>3920</v>
      </c>
      <c r="G773" s="207" t="s">
        <v>5604</v>
      </c>
      <c r="H773" s="453" t="s">
        <v>5606</v>
      </c>
      <c r="I773" s="207" t="s">
        <v>5609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575</v>
      </c>
      <c r="U773" s="206" t="s">
        <v>8</v>
      </c>
      <c r="V773" s="203" t="s">
        <v>2900</v>
      </c>
      <c r="W773" s="208">
        <v>109</v>
      </c>
      <c r="X773" s="205"/>
      <c r="Y773" s="211"/>
      <c r="Z773" s="205"/>
      <c r="AA773" s="205" t="s">
        <v>2939</v>
      </c>
      <c r="AB773" s="205"/>
      <c r="AC773" s="205"/>
      <c r="AD773" s="205"/>
      <c r="AE773" s="205"/>
      <c r="AF773" s="205" t="s">
        <v>2939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752</v>
      </c>
      <c r="C774" s="75">
        <v>736</v>
      </c>
      <c r="D774" s="67" t="s">
        <v>751</v>
      </c>
      <c r="E774" s="75" t="s">
        <v>2915</v>
      </c>
      <c r="F774" s="75" t="s">
        <v>3921</v>
      </c>
      <c r="G774" s="76" t="s">
        <v>5604</v>
      </c>
      <c r="H774" s="414" t="s">
        <v>5606</v>
      </c>
      <c r="I774" s="76" t="s">
        <v>5609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575</v>
      </c>
      <c r="U774" s="69" t="s">
        <v>8</v>
      </c>
      <c r="V774" s="67" t="s">
        <v>2900</v>
      </c>
      <c r="W774" s="70">
        <v>110</v>
      </c>
      <c r="X774" s="75"/>
      <c r="Y774" s="75"/>
      <c r="Z774" s="75"/>
      <c r="AA774" s="75" t="s">
        <v>2939</v>
      </c>
      <c r="AB774" s="75"/>
      <c r="AC774" s="75"/>
      <c r="AD774" s="75" t="s">
        <v>2939</v>
      </c>
      <c r="AE774" s="75"/>
      <c r="AF774" s="75"/>
      <c r="AG774" s="75" t="s">
        <v>2939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756</v>
      </c>
      <c r="C775" s="40">
        <v>720</v>
      </c>
      <c r="D775" s="38" t="s">
        <v>751</v>
      </c>
      <c r="E775" s="40" t="s">
        <v>2915</v>
      </c>
      <c r="F775" s="40" t="s">
        <v>3922</v>
      </c>
      <c r="G775" s="50"/>
      <c r="H775" s="150" t="s">
        <v>5607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2900</v>
      </c>
      <c r="W775" s="39">
        <v>107</v>
      </c>
      <c r="X775" s="40"/>
      <c r="Y775" s="40"/>
      <c r="Z775" s="40"/>
      <c r="AA775" s="40" t="s">
        <v>2939</v>
      </c>
      <c r="AB775" s="40"/>
      <c r="AC775" s="40"/>
      <c r="AD775" s="40" t="s">
        <v>2898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757</v>
      </c>
      <c r="C776" s="40">
        <v>728</v>
      </c>
      <c r="D776" s="38" t="s">
        <v>751</v>
      </c>
      <c r="E776" s="40" t="s">
        <v>2915</v>
      </c>
      <c r="F776" s="40" t="s">
        <v>3923</v>
      </c>
      <c r="G776" s="50"/>
      <c r="H776" s="150" t="s">
        <v>5606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2900</v>
      </c>
      <c r="W776" s="39">
        <v>107</v>
      </c>
      <c r="X776" s="40"/>
      <c r="Y776" s="40"/>
      <c r="Z776" s="40"/>
      <c r="AA776" s="40" t="s">
        <v>2939</v>
      </c>
      <c r="AB776" s="40"/>
      <c r="AC776" s="40"/>
      <c r="AD776" s="40" t="s">
        <v>2898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758</v>
      </c>
      <c r="C777" s="83">
        <v>734</v>
      </c>
      <c r="D777" s="113" t="s">
        <v>751</v>
      </c>
      <c r="E777" s="83" t="s">
        <v>2915</v>
      </c>
      <c r="F777" s="83" t="s">
        <v>3924</v>
      </c>
      <c r="G777" s="138"/>
      <c r="H777" s="340" t="s">
        <v>5606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2900</v>
      </c>
      <c r="W777" s="86">
        <v>107</v>
      </c>
      <c r="X777" s="83"/>
      <c r="Y777" s="83"/>
      <c r="Z777" s="83" t="s">
        <v>2939</v>
      </c>
      <c r="AA777" s="83"/>
      <c r="AB777" s="83"/>
      <c r="AC777" s="83"/>
      <c r="AD777" s="83" t="s">
        <v>2898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779</v>
      </c>
      <c r="C778" s="19">
        <v>851</v>
      </c>
      <c r="D778" s="17" t="s">
        <v>778</v>
      </c>
      <c r="E778" s="19" t="s">
        <v>2929</v>
      </c>
      <c r="F778" s="19" t="s">
        <v>3925</v>
      </c>
      <c r="G778" s="21" t="s">
        <v>5604</v>
      </c>
      <c r="H778" s="434" t="s">
        <v>5606</v>
      </c>
      <c r="I778" s="21" t="s">
        <v>5609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575</v>
      </c>
      <c r="U778" s="20" t="s">
        <v>8</v>
      </c>
      <c r="V778" s="17" t="s">
        <v>2900</v>
      </c>
      <c r="W778" s="222">
        <v>109</v>
      </c>
      <c r="X778" s="19"/>
      <c r="Y778" s="19"/>
      <c r="Z778" s="19"/>
      <c r="AA778" s="19"/>
      <c r="AB778" s="19"/>
      <c r="AC778" s="19" t="s">
        <v>2939</v>
      </c>
      <c r="AD778" s="19"/>
      <c r="AE778" s="19"/>
      <c r="AF778" s="19" t="s">
        <v>2939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793</v>
      </c>
      <c r="C779" s="29">
        <v>1326</v>
      </c>
      <c r="D779" s="27" t="s">
        <v>792</v>
      </c>
      <c r="E779" s="29" t="s">
        <v>2929</v>
      </c>
      <c r="F779" s="29" t="s">
        <v>3926</v>
      </c>
      <c r="G779" s="31" t="s">
        <v>5604</v>
      </c>
      <c r="H779" s="145" t="s">
        <v>5606</v>
      </c>
      <c r="I779" s="31" t="s">
        <v>5609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575</v>
      </c>
      <c r="U779" s="30" t="s">
        <v>8</v>
      </c>
      <c r="V779" s="27" t="s">
        <v>2900</v>
      </c>
      <c r="W779" s="28">
        <v>110</v>
      </c>
      <c r="X779" s="29"/>
      <c r="Y779" s="29"/>
      <c r="Z779" s="29"/>
      <c r="AA779" s="29"/>
      <c r="AB779" s="29"/>
      <c r="AC779" s="29" t="s">
        <v>2939</v>
      </c>
      <c r="AD779" s="29"/>
      <c r="AE779" s="29" t="s">
        <v>2898</v>
      </c>
      <c r="AF779" s="29"/>
      <c r="AG779" s="29" t="s">
        <v>2939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794</v>
      </c>
      <c r="C780" s="40">
        <v>1328</v>
      </c>
      <c r="D780" s="38" t="s">
        <v>792</v>
      </c>
      <c r="E780" s="40" t="s">
        <v>2929</v>
      </c>
      <c r="F780" s="40" t="s">
        <v>3927</v>
      </c>
      <c r="G780" s="50"/>
      <c r="H780" s="150" t="s">
        <v>5607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2900</v>
      </c>
      <c r="W780" s="39">
        <v>108</v>
      </c>
      <c r="X780" s="40"/>
      <c r="Y780" s="40"/>
      <c r="Z780" s="40"/>
      <c r="AA780" s="40"/>
      <c r="AB780" s="40"/>
      <c r="AC780" s="40" t="s">
        <v>2939</v>
      </c>
      <c r="AD780" s="40"/>
      <c r="AE780" s="40" t="s">
        <v>2898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795</v>
      </c>
      <c r="C781" s="40">
        <v>1331</v>
      </c>
      <c r="D781" s="38" t="s">
        <v>792</v>
      </c>
      <c r="E781" s="40" t="s">
        <v>2929</v>
      </c>
      <c r="F781" s="40" t="s">
        <v>3928</v>
      </c>
      <c r="G781" s="50"/>
      <c r="H781" s="150" t="s">
        <v>5607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2900</v>
      </c>
      <c r="W781" s="39">
        <v>108</v>
      </c>
      <c r="X781" s="40"/>
      <c r="Y781" s="40"/>
      <c r="Z781" s="40"/>
      <c r="AA781" s="40"/>
      <c r="AB781" s="40"/>
      <c r="AC781" s="40" t="s">
        <v>2939</v>
      </c>
      <c r="AD781" s="40"/>
      <c r="AE781" s="40" t="s">
        <v>2898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796</v>
      </c>
      <c r="C782" s="40">
        <v>1332</v>
      </c>
      <c r="D782" s="38" t="s">
        <v>792</v>
      </c>
      <c r="E782" s="40" t="s">
        <v>2929</v>
      </c>
      <c r="F782" s="40" t="s">
        <v>3929</v>
      </c>
      <c r="G782" s="50"/>
      <c r="H782" s="150" t="s">
        <v>5607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2900</v>
      </c>
      <c r="W782" s="39">
        <v>108</v>
      </c>
      <c r="X782" s="40"/>
      <c r="Y782" s="40"/>
      <c r="Z782" s="40"/>
      <c r="AA782" s="40"/>
      <c r="AB782" s="40"/>
      <c r="AC782" s="40" t="s">
        <v>2939</v>
      </c>
      <c r="AD782" s="40"/>
      <c r="AE782" s="40" t="s">
        <v>2898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797</v>
      </c>
      <c r="C783" s="40">
        <v>1334</v>
      </c>
      <c r="D783" s="38" t="s">
        <v>792</v>
      </c>
      <c r="E783" s="40" t="s">
        <v>2929</v>
      </c>
      <c r="F783" s="40" t="s">
        <v>3930</v>
      </c>
      <c r="G783" s="50"/>
      <c r="H783" s="150" t="s">
        <v>5607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2900</v>
      </c>
      <c r="W783" s="39">
        <v>108</v>
      </c>
      <c r="X783" s="40"/>
      <c r="Y783" s="40"/>
      <c r="Z783" s="40"/>
      <c r="AA783" s="40"/>
      <c r="AB783" s="40"/>
      <c r="AC783" s="40" t="s">
        <v>2939</v>
      </c>
      <c r="AD783" s="40"/>
      <c r="AE783" s="40" t="s">
        <v>2898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792</v>
      </c>
      <c r="E784" s="40" t="s">
        <v>2929</v>
      </c>
      <c r="F784" s="40" t="s">
        <v>3931</v>
      </c>
      <c r="G784" s="50"/>
      <c r="H784" s="150" t="s">
        <v>5608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2900</v>
      </c>
      <c r="W784" s="39">
        <v>106</v>
      </c>
      <c r="X784" s="40"/>
      <c r="Y784" s="40"/>
      <c r="Z784" s="40"/>
      <c r="AA784" s="40"/>
      <c r="AB784" s="40"/>
      <c r="AC784" s="40" t="s">
        <v>2939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792</v>
      </c>
      <c r="E785" s="40" t="s">
        <v>2929</v>
      </c>
      <c r="F785" s="40" t="s">
        <v>3932</v>
      </c>
      <c r="G785" s="50"/>
      <c r="H785" s="150" t="s">
        <v>5606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2900</v>
      </c>
      <c r="W785" s="39">
        <v>108</v>
      </c>
      <c r="X785" s="40"/>
      <c r="Y785" s="40"/>
      <c r="Z785" s="40"/>
      <c r="AA785" s="40"/>
      <c r="AB785" s="40"/>
      <c r="AC785" s="40" t="s">
        <v>2939</v>
      </c>
      <c r="AD785" s="40"/>
      <c r="AE785" s="40" t="s">
        <v>2898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792</v>
      </c>
      <c r="E786" s="40" t="s">
        <v>2929</v>
      </c>
      <c r="F786" s="40" t="s">
        <v>3933</v>
      </c>
      <c r="G786" s="50"/>
      <c r="H786" s="150" t="s">
        <v>5606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102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2900</v>
      </c>
      <c r="W786" s="39">
        <v>108</v>
      </c>
      <c r="X786" s="40"/>
      <c r="Y786" s="40"/>
      <c r="Z786" s="40"/>
      <c r="AA786" s="40"/>
      <c r="AB786" s="40"/>
      <c r="AC786" s="40" t="s">
        <v>2939</v>
      </c>
      <c r="AD786" s="40"/>
      <c r="AE786" s="40" t="s">
        <v>2898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792</v>
      </c>
      <c r="E787" s="40" t="s">
        <v>2929</v>
      </c>
      <c r="F787" s="40" t="s">
        <v>3934</v>
      </c>
      <c r="G787" s="50"/>
      <c r="H787" s="150" t="s">
        <v>5607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102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2900</v>
      </c>
      <c r="W787" s="39">
        <v>108</v>
      </c>
      <c r="X787" s="40"/>
      <c r="Y787" s="40"/>
      <c r="Z787" s="40"/>
      <c r="AA787" s="40"/>
      <c r="AB787" s="40"/>
      <c r="AC787" s="40" t="s">
        <v>2939</v>
      </c>
      <c r="AD787" s="40"/>
      <c r="AE787" s="40" t="s">
        <v>2898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792</v>
      </c>
      <c r="E788" s="83" t="s">
        <v>2929</v>
      </c>
      <c r="F788" s="83" t="s">
        <v>3935</v>
      </c>
      <c r="G788" s="138"/>
      <c r="H788" s="340" t="s">
        <v>5607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2900</v>
      </c>
      <c r="W788" s="86">
        <v>108</v>
      </c>
      <c r="X788" s="83"/>
      <c r="Y788" s="83"/>
      <c r="Z788" s="83"/>
      <c r="AA788" s="83"/>
      <c r="AB788" s="83"/>
      <c r="AC788" s="83" t="s">
        <v>2939</v>
      </c>
      <c r="AD788" s="83"/>
      <c r="AE788" s="83" t="s">
        <v>2898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799</v>
      </c>
      <c r="C789" s="29">
        <v>1341</v>
      </c>
      <c r="D789" s="27" t="s">
        <v>798</v>
      </c>
      <c r="E789" s="29" t="s">
        <v>2929</v>
      </c>
      <c r="F789" s="29" t="s">
        <v>3936</v>
      </c>
      <c r="G789" s="31" t="s">
        <v>5604</v>
      </c>
      <c r="H789" s="145" t="s">
        <v>5606</v>
      </c>
      <c r="I789" s="31" t="s">
        <v>5609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575</v>
      </c>
      <c r="U789" s="30" t="s">
        <v>8</v>
      </c>
      <c r="V789" s="27" t="s">
        <v>2900</v>
      </c>
      <c r="W789" s="28">
        <v>110</v>
      </c>
      <c r="X789" s="29"/>
      <c r="Y789" s="29"/>
      <c r="Z789" s="29"/>
      <c r="AA789" s="29"/>
      <c r="AB789" s="29"/>
      <c r="AC789" s="29" t="s">
        <v>2939</v>
      </c>
      <c r="AD789" s="29"/>
      <c r="AE789" s="29" t="s">
        <v>2898</v>
      </c>
      <c r="AF789" s="29"/>
      <c r="AG789" s="29" t="s">
        <v>2939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800</v>
      </c>
      <c r="C790" s="40">
        <v>1342</v>
      </c>
      <c r="D790" s="38" t="s">
        <v>798</v>
      </c>
      <c r="E790" s="40" t="s">
        <v>2929</v>
      </c>
      <c r="F790" s="40" t="s">
        <v>3937</v>
      </c>
      <c r="G790" s="50"/>
      <c r="H790" s="150" t="s">
        <v>5607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2900</v>
      </c>
      <c r="W790" s="39">
        <v>108</v>
      </c>
      <c r="X790" s="40"/>
      <c r="Y790" s="40"/>
      <c r="Z790" s="40"/>
      <c r="AA790" s="40"/>
      <c r="AB790" s="40"/>
      <c r="AC790" s="40" t="s">
        <v>2939</v>
      </c>
      <c r="AD790" s="40"/>
      <c r="AE790" s="40" t="s">
        <v>2898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801</v>
      </c>
      <c r="C791" s="40">
        <v>1343</v>
      </c>
      <c r="D791" s="38" t="s">
        <v>798</v>
      </c>
      <c r="E791" s="40" t="s">
        <v>2929</v>
      </c>
      <c r="F791" s="40" t="s">
        <v>3938</v>
      </c>
      <c r="G791" s="41" t="s">
        <v>5604</v>
      </c>
      <c r="H791" s="150" t="s">
        <v>5606</v>
      </c>
      <c r="I791" s="41" t="s">
        <v>5609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306</v>
      </c>
      <c r="U791" s="2" t="s">
        <v>3</v>
      </c>
      <c r="V791" s="38" t="s">
        <v>2900</v>
      </c>
      <c r="W791" s="39">
        <v>110</v>
      </c>
      <c r="X791" s="40"/>
      <c r="Y791" s="40"/>
      <c r="Z791" s="40"/>
      <c r="AA791" s="40"/>
      <c r="AB791" s="40"/>
      <c r="AC791" s="40" t="s">
        <v>2939</v>
      </c>
      <c r="AD791" s="40"/>
      <c r="AE791" s="40" t="s">
        <v>2898</v>
      </c>
      <c r="AF791" s="40"/>
      <c r="AG791" s="40" t="s">
        <v>2898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802</v>
      </c>
      <c r="C792" s="40">
        <v>1345</v>
      </c>
      <c r="D792" s="38" t="s">
        <v>798</v>
      </c>
      <c r="E792" s="40" t="s">
        <v>2929</v>
      </c>
      <c r="F792" s="40" t="s">
        <v>3939</v>
      </c>
      <c r="G792" s="50"/>
      <c r="H792" s="150" t="s">
        <v>5607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2900</v>
      </c>
      <c r="W792" s="39">
        <v>108</v>
      </c>
      <c r="X792" s="40"/>
      <c r="Y792" s="40"/>
      <c r="Z792" s="40"/>
      <c r="AA792" s="40"/>
      <c r="AB792" s="40"/>
      <c r="AC792" s="40" t="s">
        <v>2939</v>
      </c>
      <c r="AD792" s="40"/>
      <c r="AE792" s="40" t="s">
        <v>2898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803</v>
      </c>
      <c r="C793" s="40">
        <v>1348</v>
      </c>
      <c r="D793" s="38" t="s">
        <v>798</v>
      </c>
      <c r="E793" s="40" t="s">
        <v>2929</v>
      </c>
      <c r="F793" s="40" t="s">
        <v>3940</v>
      </c>
      <c r="G793" s="50"/>
      <c r="H793" s="150" t="s">
        <v>5607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2900</v>
      </c>
      <c r="W793" s="39">
        <v>108</v>
      </c>
      <c r="X793" s="40"/>
      <c r="Y793" s="40"/>
      <c r="Z793" s="40"/>
      <c r="AA793" s="40"/>
      <c r="AB793" s="40"/>
      <c r="AC793" s="40" t="s">
        <v>2939</v>
      </c>
      <c r="AD793" s="40"/>
      <c r="AE793" s="40" t="s">
        <v>2898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804</v>
      </c>
      <c r="C794" s="40">
        <v>1349</v>
      </c>
      <c r="D794" s="38" t="s">
        <v>798</v>
      </c>
      <c r="E794" s="40" t="s">
        <v>2929</v>
      </c>
      <c r="F794" s="40" t="s">
        <v>3941</v>
      </c>
      <c r="G794" s="50"/>
      <c r="H794" s="150" t="s">
        <v>5607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2900</v>
      </c>
      <c r="W794" s="39">
        <v>108</v>
      </c>
      <c r="X794" s="40"/>
      <c r="Y794" s="40"/>
      <c r="Z794" s="40"/>
      <c r="AA794" s="40"/>
      <c r="AB794" s="40"/>
      <c r="AC794" s="40" t="s">
        <v>2939</v>
      </c>
      <c r="AD794" s="40"/>
      <c r="AE794" s="40" t="s">
        <v>2898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805</v>
      </c>
      <c r="C795" s="40">
        <v>1355</v>
      </c>
      <c r="D795" s="38" t="s">
        <v>798</v>
      </c>
      <c r="E795" s="40" t="s">
        <v>2929</v>
      </c>
      <c r="F795" s="40" t="s">
        <v>3942</v>
      </c>
      <c r="G795" s="50"/>
      <c r="H795" s="150" t="s">
        <v>5607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2900</v>
      </c>
      <c r="W795" s="39">
        <v>108</v>
      </c>
      <c r="X795" s="40"/>
      <c r="Y795" s="40"/>
      <c r="Z795" s="40"/>
      <c r="AA795" s="40"/>
      <c r="AB795" s="40"/>
      <c r="AC795" s="40" t="s">
        <v>2939</v>
      </c>
      <c r="AD795" s="40"/>
      <c r="AE795" s="40" t="s">
        <v>2939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806</v>
      </c>
      <c r="C796" s="40">
        <v>1356</v>
      </c>
      <c r="D796" s="38" t="s">
        <v>798</v>
      </c>
      <c r="E796" s="40" t="s">
        <v>2929</v>
      </c>
      <c r="F796" s="40" t="s">
        <v>3943</v>
      </c>
      <c r="G796" s="50"/>
      <c r="H796" s="150" t="s">
        <v>5606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2900</v>
      </c>
      <c r="W796" s="39">
        <v>108</v>
      </c>
      <c r="X796" s="40"/>
      <c r="Y796" s="40"/>
      <c r="Z796" s="40"/>
      <c r="AA796" s="40"/>
      <c r="AB796" s="40"/>
      <c r="AC796" s="40" t="s">
        <v>2939</v>
      </c>
      <c r="AD796" s="40"/>
      <c r="AE796" s="40" t="s">
        <v>2939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807</v>
      </c>
      <c r="C797" s="40">
        <v>1357</v>
      </c>
      <c r="D797" s="38" t="s">
        <v>798</v>
      </c>
      <c r="E797" s="40" t="s">
        <v>2929</v>
      </c>
      <c r="F797" s="40" t="s">
        <v>3944</v>
      </c>
      <c r="G797" s="50"/>
      <c r="H797" s="150" t="s">
        <v>5607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2900</v>
      </c>
      <c r="W797" s="39">
        <v>108</v>
      </c>
      <c r="X797" s="40"/>
      <c r="Y797" s="40"/>
      <c r="Z797" s="40"/>
      <c r="AA797" s="40"/>
      <c r="AB797" s="40"/>
      <c r="AC797" s="40" t="s">
        <v>2939</v>
      </c>
      <c r="AD797" s="40"/>
      <c r="AE797" s="40" t="s">
        <v>2939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798</v>
      </c>
      <c r="E798" s="40" t="s">
        <v>2929</v>
      </c>
      <c r="F798" s="40" t="s">
        <v>3945</v>
      </c>
      <c r="G798" s="50"/>
      <c r="H798" s="150" t="s">
        <v>5607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2900</v>
      </c>
      <c r="W798" s="39">
        <v>108</v>
      </c>
      <c r="X798" s="40"/>
      <c r="Y798" s="40"/>
      <c r="Z798" s="40"/>
      <c r="AA798" s="40"/>
      <c r="AB798" s="40"/>
      <c r="AC798" s="40" t="s">
        <v>2939</v>
      </c>
      <c r="AD798" s="40"/>
      <c r="AE798" s="40" t="s">
        <v>2898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798</v>
      </c>
      <c r="E799" s="83" t="s">
        <v>2929</v>
      </c>
      <c r="F799" s="83" t="s">
        <v>3946</v>
      </c>
      <c r="G799" s="138"/>
      <c r="H799" s="340" t="s">
        <v>5607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2900</v>
      </c>
      <c r="W799" s="86">
        <v>108</v>
      </c>
      <c r="X799" s="83"/>
      <c r="Y799" s="83"/>
      <c r="Z799" s="83"/>
      <c r="AA799" s="83"/>
      <c r="AB799" s="83"/>
      <c r="AC799" s="83" t="s">
        <v>2939</v>
      </c>
      <c r="AD799" s="83"/>
      <c r="AE799" s="83" t="s">
        <v>2898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810</v>
      </c>
      <c r="C800" s="29">
        <v>1367</v>
      </c>
      <c r="D800" s="27" t="s">
        <v>808</v>
      </c>
      <c r="E800" s="29" t="s">
        <v>2929</v>
      </c>
      <c r="F800" s="29" t="s">
        <v>3947</v>
      </c>
      <c r="G800" s="192"/>
      <c r="H800" s="145" t="s">
        <v>5606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52</v>
      </c>
      <c r="Q800" s="33">
        <v>40.200000000000003</v>
      </c>
      <c r="R800" s="33">
        <v>316</v>
      </c>
      <c r="S800" s="33">
        <v>28.5</v>
      </c>
      <c r="T800" s="30" t="s">
        <v>306</v>
      </c>
      <c r="U800" s="30" t="s">
        <v>3</v>
      </c>
      <c r="V800" s="27" t="s">
        <v>2900</v>
      </c>
      <c r="W800" s="28">
        <v>111</v>
      </c>
      <c r="X800" s="29"/>
      <c r="Y800" s="29"/>
      <c r="Z800" s="29"/>
      <c r="AA800" s="29"/>
      <c r="AB800" s="29"/>
      <c r="AC800" s="29" t="s">
        <v>2939</v>
      </c>
      <c r="AD800" s="29"/>
      <c r="AE800" s="29" t="s">
        <v>2898</v>
      </c>
      <c r="AF800" s="29"/>
      <c r="AG800" s="29"/>
      <c r="AH800" s="29" t="s">
        <v>2898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811</v>
      </c>
      <c r="C801" s="40">
        <v>1365</v>
      </c>
      <c r="D801" s="38" t="s">
        <v>808</v>
      </c>
      <c r="E801" s="40" t="s">
        <v>2929</v>
      </c>
      <c r="F801" s="40" t="s">
        <v>3948</v>
      </c>
      <c r="G801" s="41" t="s">
        <v>5604</v>
      </c>
      <c r="H801" s="150" t="s">
        <v>5606</v>
      </c>
      <c r="I801" s="41" t="s">
        <v>5609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575</v>
      </c>
      <c r="U801" s="2" t="s">
        <v>8</v>
      </c>
      <c r="V801" s="38" t="s">
        <v>2900</v>
      </c>
      <c r="W801" s="39">
        <v>111</v>
      </c>
      <c r="X801" s="40"/>
      <c r="Y801" s="40"/>
      <c r="Z801" s="40"/>
      <c r="AA801" s="40"/>
      <c r="AB801" s="40"/>
      <c r="AC801" s="40" t="s">
        <v>2939</v>
      </c>
      <c r="AD801" s="40"/>
      <c r="AE801" s="40" t="s">
        <v>2939</v>
      </c>
      <c r="AF801" s="40"/>
      <c r="AG801" s="40"/>
      <c r="AH801" s="40" t="s">
        <v>2939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812</v>
      </c>
      <c r="C802" s="83">
        <v>1368</v>
      </c>
      <c r="D802" s="113" t="s">
        <v>808</v>
      </c>
      <c r="E802" s="83" t="s">
        <v>2929</v>
      </c>
      <c r="F802" s="83" t="s">
        <v>3949</v>
      </c>
      <c r="G802" s="47" t="s">
        <v>5604</v>
      </c>
      <c r="H802" s="340" t="s">
        <v>5606</v>
      </c>
      <c r="I802" s="47" t="s">
        <v>5609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306</v>
      </c>
      <c r="U802" s="85" t="s">
        <v>3</v>
      </c>
      <c r="V802" s="113" t="s">
        <v>2900</v>
      </c>
      <c r="W802" s="86">
        <v>111</v>
      </c>
      <c r="X802" s="83"/>
      <c r="Y802" s="83"/>
      <c r="Z802" s="83"/>
      <c r="AA802" s="83"/>
      <c r="AB802" s="83"/>
      <c r="AC802" s="83" t="s">
        <v>2939</v>
      </c>
      <c r="AD802" s="83"/>
      <c r="AE802" s="83" t="s">
        <v>2939</v>
      </c>
      <c r="AF802" s="83"/>
      <c r="AG802" s="83"/>
      <c r="AH802" s="83" t="s">
        <v>2898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814</v>
      </c>
      <c r="C803" s="29">
        <v>1371</v>
      </c>
      <c r="D803" s="27" t="s">
        <v>813</v>
      </c>
      <c r="E803" s="29" t="s">
        <v>2929</v>
      </c>
      <c r="F803" s="29" t="s">
        <v>3950</v>
      </c>
      <c r="G803" s="31" t="s">
        <v>5604</v>
      </c>
      <c r="H803" s="145" t="s">
        <v>5606</v>
      </c>
      <c r="I803" s="31" t="s">
        <v>5609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575</v>
      </c>
      <c r="U803" s="30" t="s">
        <v>8</v>
      </c>
      <c r="V803" s="27" t="s">
        <v>2900</v>
      </c>
      <c r="W803" s="28">
        <v>110</v>
      </c>
      <c r="X803" s="29"/>
      <c r="Y803" s="29"/>
      <c r="Z803" s="29"/>
      <c r="AA803" s="29"/>
      <c r="AB803" s="29"/>
      <c r="AC803" s="29" t="s">
        <v>2939</v>
      </c>
      <c r="AD803" s="29"/>
      <c r="AE803" s="29" t="s">
        <v>2898</v>
      </c>
      <c r="AF803" s="29"/>
      <c r="AG803" s="29" t="s">
        <v>2939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815</v>
      </c>
      <c r="C804" s="40">
        <v>1372</v>
      </c>
      <c r="D804" s="38" t="s">
        <v>813</v>
      </c>
      <c r="E804" s="40" t="s">
        <v>2929</v>
      </c>
      <c r="F804" s="40" t="s">
        <v>3951</v>
      </c>
      <c r="G804" s="41" t="s">
        <v>5604</v>
      </c>
      <c r="H804" s="150" t="s">
        <v>5606</v>
      </c>
      <c r="I804" s="41" t="s">
        <v>5609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306</v>
      </c>
      <c r="U804" s="2" t="s">
        <v>3</v>
      </c>
      <c r="V804" s="38" t="s">
        <v>2900</v>
      </c>
      <c r="W804" s="39">
        <v>110</v>
      </c>
      <c r="X804" s="40"/>
      <c r="Y804" s="40"/>
      <c r="Z804" s="40"/>
      <c r="AA804" s="40"/>
      <c r="AB804" s="40"/>
      <c r="AC804" s="40" t="s">
        <v>2939</v>
      </c>
      <c r="AD804" s="40"/>
      <c r="AE804" s="40" t="s">
        <v>2898</v>
      </c>
      <c r="AF804" s="40"/>
      <c r="AG804" s="40" t="s">
        <v>2898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816</v>
      </c>
      <c r="C805" s="83">
        <v>1373</v>
      </c>
      <c r="D805" s="113" t="s">
        <v>813</v>
      </c>
      <c r="E805" s="83" t="s">
        <v>2929</v>
      </c>
      <c r="F805" s="83" t="s">
        <v>3952</v>
      </c>
      <c r="G805" s="138"/>
      <c r="H805" s="340" t="s">
        <v>5606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2900</v>
      </c>
      <c r="W805" s="86">
        <v>108</v>
      </c>
      <c r="X805" s="83"/>
      <c r="Y805" s="83"/>
      <c r="Z805" s="83"/>
      <c r="AA805" s="83"/>
      <c r="AB805" s="83"/>
      <c r="AC805" s="83" t="s">
        <v>2939</v>
      </c>
      <c r="AD805" s="83"/>
      <c r="AE805" s="83" t="s">
        <v>2939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818</v>
      </c>
      <c r="C806" s="29">
        <v>1378</v>
      </c>
      <c r="D806" s="27" t="s">
        <v>817</v>
      </c>
      <c r="E806" s="29" t="s">
        <v>2929</v>
      </c>
      <c r="F806" s="29" t="s">
        <v>3953</v>
      </c>
      <c r="G806" s="192"/>
      <c r="H806" s="145" t="s">
        <v>5607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2900</v>
      </c>
      <c r="W806" s="28">
        <v>108</v>
      </c>
      <c r="X806" s="29"/>
      <c r="Y806" s="29"/>
      <c r="Z806" s="29"/>
      <c r="AA806" s="29"/>
      <c r="AB806" s="29"/>
      <c r="AC806" s="29" t="s">
        <v>2939</v>
      </c>
      <c r="AD806" s="29"/>
      <c r="AE806" s="29" t="s">
        <v>2898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819</v>
      </c>
      <c r="C807" s="40">
        <v>1379</v>
      </c>
      <c r="D807" s="38" t="s">
        <v>817</v>
      </c>
      <c r="E807" s="40" t="s">
        <v>2929</v>
      </c>
      <c r="F807" s="40" t="s">
        <v>3954</v>
      </c>
      <c r="G807" s="41" t="s">
        <v>5604</v>
      </c>
      <c r="H807" s="150" t="s">
        <v>5606</v>
      </c>
      <c r="I807" s="41" t="s">
        <v>5609</v>
      </c>
      <c r="J807" s="43">
        <v>196640</v>
      </c>
      <c r="K807" s="43">
        <v>2663298</v>
      </c>
      <c r="L807" s="43" t="s">
        <v>1100</v>
      </c>
      <c r="M807" s="44">
        <v>12.2</v>
      </c>
      <c r="N807" s="43">
        <v>192</v>
      </c>
      <c r="O807" s="43">
        <v>64.3</v>
      </c>
      <c r="P807" s="43" t="s">
        <v>55</v>
      </c>
      <c r="Q807" s="43">
        <v>39.1</v>
      </c>
      <c r="R807" s="43">
        <v>359</v>
      </c>
      <c r="S807" s="43">
        <v>90.8</v>
      </c>
      <c r="T807" s="2" t="s">
        <v>575</v>
      </c>
      <c r="U807" s="2" t="s">
        <v>8</v>
      </c>
      <c r="V807" s="38" t="s">
        <v>2900</v>
      </c>
      <c r="W807" s="39">
        <v>110</v>
      </c>
      <c r="X807" s="40"/>
      <c r="Y807" s="40"/>
      <c r="Z807" s="40"/>
      <c r="AA807" s="40"/>
      <c r="AB807" s="40"/>
      <c r="AC807" s="40" t="s">
        <v>2939</v>
      </c>
      <c r="AD807" s="40"/>
      <c r="AE807" s="40" t="s">
        <v>2898</v>
      </c>
      <c r="AF807" s="40"/>
      <c r="AG807" s="40" t="s">
        <v>2939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817</v>
      </c>
      <c r="E808" s="40" t="s">
        <v>2929</v>
      </c>
      <c r="F808" s="40" t="s">
        <v>3955</v>
      </c>
      <c r="G808" s="50"/>
      <c r="H808" s="150" t="s">
        <v>5607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2900</v>
      </c>
      <c r="W808" s="39">
        <v>107</v>
      </c>
      <c r="X808" s="40"/>
      <c r="Y808" s="40"/>
      <c r="Z808" s="40"/>
      <c r="AA808" s="40"/>
      <c r="AB808" s="40" t="s">
        <v>2939</v>
      </c>
      <c r="AC808" s="40"/>
      <c r="AD808" s="40" t="s">
        <v>2898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817</v>
      </c>
      <c r="E809" s="40" t="s">
        <v>2929</v>
      </c>
      <c r="F809" s="40" t="s">
        <v>3956</v>
      </c>
      <c r="G809" s="50"/>
      <c r="H809" s="150" t="s">
        <v>5606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2900</v>
      </c>
      <c r="W809" s="39">
        <v>107</v>
      </c>
      <c r="X809" s="40"/>
      <c r="Y809" s="40"/>
      <c r="Z809" s="40"/>
      <c r="AA809" s="40"/>
      <c r="AB809" s="40" t="s">
        <v>2939</v>
      </c>
      <c r="AC809" s="40"/>
      <c r="AD809" s="40" t="s">
        <v>2898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817</v>
      </c>
      <c r="E810" s="40" t="s">
        <v>2929</v>
      </c>
      <c r="F810" s="40" t="s">
        <v>3957</v>
      </c>
      <c r="G810" s="50"/>
      <c r="H810" s="150" t="s">
        <v>5607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102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2900</v>
      </c>
      <c r="W810" s="39">
        <v>107</v>
      </c>
      <c r="X810" s="40"/>
      <c r="Y810" s="40"/>
      <c r="Z810" s="40"/>
      <c r="AA810" s="40"/>
      <c r="AB810" s="40" t="s">
        <v>2939</v>
      </c>
      <c r="AC810" s="40"/>
      <c r="AD810" s="40" t="s">
        <v>2898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817</v>
      </c>
      <c r="E811" s="40" t="s">
        <v>2929</v>
      </c>
      <c r="F811" s="40" t="s">
        <v>3958</v>
      </c>
      <c r="G811" s="50"/>
      <c r="H811" s="150" t="s">
        <v>5607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102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2900</v>
      </c>
      <c r="W811" s="39">
        <v>107</v>
      </c>
      <c r="X811" s="40"/>
      <c r="Y811" s="40"/>
      <c r="Z811" s="40"/>
      <c r="AA811" s="40"/>
      <c r="AB811" s="40" t="s">
        <v>2939</v>
      </c>
      <c r="AC811" s="40"/>
      <c r="AD811" s="40" t="s">
        <v>2898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817</v>
      </c>
      <c r="E812" s="40" t="s">
        <v>2929</v>
      </c>
      <c r="F812" s="40" t="s">
        <v>3959</v>
      </c>
      <c r="G812" s="50"/>
      <c r="H812" s="150" t="s">
        <v>5606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2900</v>
      </c>
      <c r="W812" s="39">
        <v>107</v>
      </c>
      <c r="X812" s="40"/>
      <c r="Y812" s="40"/>
      <c r="Z812" s="40"/>
      <c r="AA812" s="40"/>
      <c r="AB812" s="40" t="s">
        <v>2939</v>
      </c>
      <c r="AC812" s="40"/>
      <c r="AD812" s="40" t="s">
        <v>2898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817</v>
      </c>
      <c r="E813" s="40" t="s">
        <v>2929</v>
      </c>
      <c r="F813" s="40" t="s">
        <v>3960</v>
      </c>
      <c r="G813" s="50"/>
      <c r="H813" s="150" t="s">
        <v>5608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102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2900</v>
      </c>
      <c r="W813" s="39">
        <v>107</v>
      </c>
      <c r="X813" s="40"/>
      <c r="Y813" s="40"/>
      <c r="Z813" s="40"/>
      <c r="AA813" s="40"/>
      <c r="AB813" s="40" t="s">
        <v>2939</v>
      </c>
      <c r="AC813" s="40"/>
      <c r="AD813" s="40" t="s">
        <v>2898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817</v>
      </c>
      <c r="E814" s="40" t="s">
        <v>2929</v>
      </c>
      <c r="F814" s="40" t="s">
        <v>3961</v>
      </c>
      <c r="G814" s="50"/>
      <c r="H814" s="150" t="s">
        <v>5608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102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2900</v>
      </c>
      <c r="W814" s="39">
        <v>108</v>
      </c>
      <c r="X814" s="40"/>
      <c r="Y814" s="40"/>
      <c r="Z814" s="40"/>
      <c r="AA814" s="40"/>
      <c r="AB814" s="40"/>
      <c r="AC814" s="40" t="s">
        <v>2939</v>
      </c>
      <c r="AD814" s="40"/>
      <c r="AE814" s="40" t="s">
        <v>2898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817</v>
      </c>
      <c r="E815" s="40" t="s">
        <v>2929</v>
      </c>
      <c r="F815" s="40" t="s">
        <v>3962</v>
      </c>
      <c r="G815" s="50"/>
      <c r="H815" s="150" t="s">
        <v>5607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102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2900</v>
      </c>
      <c r="W815" s="39">
        <v>108</v>
      </c>
      <c r="X815" s="40"/>
      <c r="Y815" s="40"/>
      <c r="Z815" s="40"/>
      <c r="AA815" s="40"/>
      <c r="AB815" s="40"/>
      <c r="AC815" s="40" t="s">
        <v>2939</v>
      </c>
      <c r="AD815" s="40"/>
      <c r="AE815" s="40" t="s">
        <v>2898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817</v>
      </c>
      <c r="E816" s="40" t="s">
        <v>2929</v>
      </c>
      <c r="F816" s="40" t="s">
        <v>3963</v>
      </c>
      <c r="G816" s="50"/>
      <c r="H816" s="150" t="s">
        <v>5607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2900</v>
      </c>
      <c r="W816" s="39">
        <v>108</v>
      </c>
      <c r="X816" s="40"/>
      <c r="Y816" s="40"/>
      <c r="Z816" s="40"/>
      <c r="AA816" s="40"/>
      <c r="AB816" s="40"/>
      <c r="AC816" s="40" t="s">
        <v>2939</v>
      </c>
      <c r="AD816" s="40"/>
      <c r="AE816" s="40" t="s">
        <v>2898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817</v>
      </c>
      <c r="E817" s="83" t="s">
        <v>2929</v>
      </c>
      <c r="F817" s="83" t="s">
        <v>3964</v>
      </c>
      <c r="G817" s="138"/>
      <c r="H817" s="340" t="s">
        <v>5608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102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2900</v>
      </c>
      <c r="W817" s="86">
        <v>108</v>
      </c>
      <c r="X817" s="83"/>
      <c r="Y817" s="83"/>
      <c r="Z817" s="83"/>
      <c r="AA817" s="83"/>
      <c r="AB817" s="83"/>
      <c r="AC817" s="83" t="s">
        <v>2939</v>
      </c>
      <c r="AD817" s="83"/>
      <c r="AE817" s="83" t="s">
        <v>2898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821</v>
      </c>
      <c r="C818" s="29">
        <v>1298</v>
      </c>
      <c r="D818" s="27" t="s">
        <v>820</v>
      </c>
      <c r="E818" s="29" t="s">
        <v>2929</v>
      </c>
      <c r="F818" s="29" t="s">
        <v>3965</v>
      </c>
      <c r="G818" s="31" t="s">
        <v>5604</v>
      </c>
      <c r="H818" s="145" t="s">
        <v>5606</v>
      </c>
      <c r="I818" s="31" t="s">
        <v>5609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575</v>
      </c>
      <c r="U818" s="30" t="s">
        <v>8</v>
      </c>
      <c r="V818" s="27" t="s">
        <v>2900</v>
      </c>
      <c r="W818" s="28">
        <v>110</v>
      </c>
      <c r="X818" s="29"/>
      <c r="Y818" s="29"/>
      <c r="Z818" s="29"/>
      <c r="AA818" s="29"/>
      <c r="AB818" s="29" t="s">
        <v>2939</v>
      </c>
      <c r="AC818" s="29"/>
      <c r="AD818" s="29" t="s">
        <v>2939</v>
      </c>
      <c r="AE818" s="29"/>
      <c r="AF818" s="29"/>
      <c r="AG818" s="29" t="s">
        <v>2939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822</v>
      </c>
      <c r="C819" s="40">
        <v>1299</v>
      </c>
      <c r="D819" s="38" t="s">
        <v>820</v>
      </c>
      <c r="E819" s="40" t="s">
        <v>2929</v>
      </c>
      <c r="F819" s="40" t="s">
        <v>3966</v>
      </c>
      <c r="G819" s="41" t="s">
        <v>5604</v>
      </c>
      <c r="H819" s="150" t="s">
        <v>5608</v>
      </c>
      <c r="I819" s="41" t="s">
        <v>5609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102</v>
      </c>
      <c r="Q819" s="43">
        <v>31.7</v>
      </c>
      <c r="R819" s="43">
        <v>263</v>
      </c>
      <c r="S819" s="43">
        <v>46.8</v>
      </c>
      <c r="T819" s="2" t="s">
        <v>575</v>
      </c>
      <c r="U819" s="2" t="str">
        <f>U818</f>
        <v>監測</v>
      </c>
      <c r="V819" s="38" t="s">
        <v>2900</v>
      </c>
      <c r="W819" s="39">
        <v>110</v>
      </c>
      <c r="X819" s="40"/>
      <c r="Y819" s="40"/>
      <c r="Z819" s="40"/>
      <c r="AA819" s="40"/>
      <c r="AB819" s="40" t="s">
        <v>2939</v>
      </c>
      <c r="AC819" s="40"/>
      <c r="AD819" s="40" t="s">
        <v>2939</v>
      </c>
      <c r="AE819" s="40"/>
      <c r="AF819" s="40"/>
      <c r="AG819" s="40" t="s">
        <v>2939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820</v>
      </c>
      <c r="E820" s="40" t="s">
        <v>2929</v>
      </c>
      <c r="F820" s="40" t="s">
        <v>3967</v>
      </c>
      <c r="G820" s="50"/>
      <c r="H820" s="150" t="s">
        <v>5606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2900</v>
      </c>
      <c r="W820" s="39">
        <v>107</v>
      </c>
      <c r="X820" s="40"/>
      <c r="Y820" s="40"/>
      <c r="Z820" s="40"/>
      <c r="AA820" s="40"/>
      <c r="AB820" s="40" t="s">
        <v>2939</v>
      </c>
      <c r="AC820" s="40"/>
      <c r="AD820" s="40" t="s">
        <v>2898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820</v>
      </c>
      <c r="E821" s="40" t="s">
        <v>2929</v>
      </c>
      <c r="F821" s="40" t="s">
        <v>3968</v>
      </c>
      <c r="G821" s="50"/>
      <c r="H821" s="150" t="s">
        <v>5607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102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2900</v>
      </c>
      <c r="W821" s="39">
        <v>107</v>
      </c>
      <c r="X821" s="271"/>
      <c r="Y821" s="271"/>
      <c r="Z821" s="271"/>
      <c r="AA821" s="271"/>
      <c r="AB821" s="40" t="s">
        <v>2939</v>
      </c>
      <c r="AC821" s="271"/>
      <c r="AD821" s="40" t="s">
        <v>2898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820</v>
      </c>
      <c r="E822" s="40" t="s">
        <v>2929</v>
      </c>
      <c r="F822" s="40" t="s">
        <v>3969</v>
      </c>
      <c r="G822" s="50"/>
      <c r="H822" s="150" t="s">
        <v>5607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102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2900</v>
      </c>
      <c r="W822" s="39">
        <v>107</v>
      </c>
      <c r="X822" s="271"/>
      <c r="Y822" s="271"/>
      <c r="Z822" s="271"/>
      <c r="AA822" s="271"/>
      <c r="AB822" s="40" t="s">
        <v>2939</v>
      </c>
      <c r="AC822" s="271"/>
      <c r="AD822" s="40" t="s">
        <v>2898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823</v>
      </c>
      <c r="C823" s="40">
        <v>1292</v>
      </c>
      <c r="D823" s="38" t="s">
        <v>820</v>
      </c>
      <c r="E823" s="40" t="s">
        <v>2929</v>
      </c>
      <c r="F823" s="40" t="s">
        <v>3970</v>
      </c>
      <c r="G823" s="50"/>
      <c r="H823" s="150" t="s">
        <v>5606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824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2900</v>
      </c>
      <c r="W823" s="39">
        <v>108</v>
      </c>
      <c r="X823" s="40"/>
      <c r="Y823" s="40"/>
      <c r="Z823" s="40"/>
      <c r="AA823" s="40"/>
      <c r="AB823" s="40" t="s">
        <v>2939</v>
      </c>
      <c r="AC823" s="40"/>
      <c r="AD823" s="40" t="s">
        <v>2898</v>
      </c>
      <c r="AE823" s="40" t="s">
        <v>2898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820</v>
      </c>
      <c r="E824" s="83" t="s">
        <v>2929</v>
      </c>
      <c r="F824" s="83" t="s">
        <v>3971</v>
      </c>
      <c r="G824" s="138"/>
      <c r="H824" s="340" t="s">
        <v>5607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233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2900</v>
      </c>
      <c r="W824" s="86">
        <v>107</v>
      </c>
      <c r="X824" s="83"/>
      <c r="Y824" s="83"/>
      <c r="Z824" s="83"/>
      <c r="AA824" s="83"/>
      <c r="AB824" s="83" t="s">
        <v>2939</v>
      </c>
      <c r="AC824" s="83"/>
      <c r="AD824" s="83" t="s">
        <v>2898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826</v>
      </c>
      <c r="C825" s="19">
        <v>1297</v>
      </c>
      <c r="D825" s="17" t="s">
        <v>825</v>
      </c>
      <c r="E825" s="19" t="s">
        <v>2929</v>
      </c>
      <c r="F825" s="19" t="s">
        <v>3972</v>
      </c>
      <c r="G825" s="21" t="s">
        <v>5604</v>
      </c>
      <c r="H825" s="434" t="s">
        <v>5606</v>
      </c>
      <c r="I825" s="21" t="s">
        <v>5609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575</v>
      </c>
      <c r="U825" s="20" t="s">
        <v>8</v>
      </c>
      <c r="V825" s="17" t="s">
        <v>2900</v>
      </c>
      <c r="W825" s="222">
        <v>110</v>
      </c>
      <c r="X825" s="19"/>
      <c r="Y825" s="19"/>
      <c r="Z825" s="19"/>
      <c r="AA825" s="19"/>
      <c r="AB825" s="19" t="s">
        <v>2939</v>
      </c>
      <c r="AC825" s="19" t="s">
        <v>2939</v>
      </c>
      <c r="AD825" s="19" t="s">
        <v>2939</v>
      </c>
      <c r="AE825" s="19"/>
      <c r="AF825" s="19"/>
      <c r="AG825" s="19" t="s">
        <v>2939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835</v>
      </c>
      <c r="C826" s="29">
        <v>2167</v>
      </c>
      <c r="D826" s="27" t="s">
        <v>833</v>
      </c>
      <c r="E826" s="29" t="s">
        <v>2915</v>
      </c>
      <c r="F826" s="29" t="s">
        <v>3973</v>
      </c>
      <c r="G826" s="192"/>
      <c r="H826" s="145" t="s">
        <v>5606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306</v>
      </c>
      <c r="U826" s="30" t="s">
        <v>3</v>
      </c>
      <c r="V826" s="27" t="s">
        <v>2900</v>
      </c>
      <c r="W826" s="28">
        <v>111</v>
      </c>
      <c r="X826" s="29"/>
      <c r="Y826" s="29"/>
      <c r="Z826" s="29"/>
      <c r="AA826" s="29" t="s">
        <v>2939</v>
      </c>
      <c r="AB826" s="29"/>
      <c r="AC826" s="29"/>
      <c r="AD826" s="29" t="s">
        <v>2898</v>
      </c>
      <c r="AE826" s="29"/>
      <c r="AF826" s="29"/>
      <c r="AG826" s="29"/>
      <c r="AH826" s="29" t="s">
        <v>2898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836</v>
      </c>
      <c r="C827" s="83">
        <v>2168</v>
      </c>
      <c r="D827" s="113" t="s">
        <v>833</v>
      </c>
      <c r="E827" s="83" t="s">
        <v>2915</v>
      </c>
      <c r="F827" s="83" t="s">
        <v>3974</v>
      </c>
      <c r="G827" s="47" t="s">
        <v>5604</v>
      </c>
      <c r="H827" s="435" t="s">
        <v>5606</v>
      </c>
      <c r="I827" s="47" t="s">
        <v>5609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575</v>
      </c>
      <c r="U827" s="85" t="s">
        <v>8</v>
      </c>
      <c r="V827" s="113" t="s">
        <v>2900</v>
      </c>
      <c r="W827" s="86">
        <v>111</v>
      </c>
      <c r="X827" s="83"/>
      <c r="Y827" s="83"/>
      <c r="Z827" s="83"/>
      <c r="AA827" s="83" t="s">
        <v>2939</v>
      </c>
      <c r="AB827" s="83"/>
      <c r="AC827" s="83"/>
      <c r="AD827" s="83" t="s">
        <v>2898</v>
      </c>
      <c r="AE827" s="83"/>
      <c r="AF827" s="83"/>
      <c r="AG827" s="83"/>
      <c r="AH827" s="83" t="s">
        <v>2939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838</v>
      </c>
      <c r="C828" s="205">
        <v>2147</v>
      </c>
      <c r="D828" s="203" t="s">
        <v>837</v>
      </c>
      <c r="E828" s="205" t="s">
        <v>2915</v>
      </c>
      <c r="F828" s="205" t="s">
        <v>3975</v>
      </c>
      <c r="G828" s="207" t="s">
        <v>5604</v>
      </c>
      <c r="H828" s="454"/>
      <c r="I828" s="207" t="s">
        <v>5609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331</v>
      </c>
      <c r="Q828" s="209">
        <v>30.4</v>
      </c>
      <c r="R828" s="209">
        <v>338</v>
      </c>
      <c r="S828" s="209">
        <v>198</v>
      </c>
      <c r="T828" s="206" t="s">
        <v>575</v>
      </c>
      <c r="U828" s="206" t="s">
        <v>8</v>
      </c>
      <c r="V828" s="203" t="s">
        <v>2900</v>
      </c>
      <c r="W828" s="208">
        <v>111</v>
      </c>
      <c r="X828" s="205"/>
      <c r="Y828" s="211"/>
      <c r="Z828" s="205" t="s">
        <v>2939</v>
      </c>
      <c r="AA828" s="205"/>
      <c r="AB828" s="205"/>
      <c r="AC828" s="205"/>
      <c r="AD828" s="205"/>
      <c r="AE828" s="205" t="s">
        <v>2939</v>
      </c>
      <c r="AF828" s="205"/>
      <c r="AG828" s="205"/>
      <c r="AH828" s="205" t="s">
        <v>2939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868</v>
      </c>
      <c r="C829" s="29">
        <v>739</v>
      </c>
      <c r="D829" s="27" t="s">
        <v>866</v>
      </c>
      <c r="E829" s="29" t="s">
        <v>2915</v>
      </c>
      <c r="F829" s="29" t="s">
        <v>3976</v>
      </c>
      <c r="G829" s="31" t="s">
        <v>5604</v>
      </c>
      <c r="H829" s="145" t="s">
        <v>5606</v>
      </c>
      <c r="I829" s="31" t="s">
        <v>5609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575</v>
      </c>
      <c r="U829" s="30" t="s">
        <v>8</v>
      </c>
      <c r="V829" s="27" t="s">
        <v>2900</v>
      </c>
      <c r="W829" s="28">
        <v>111</v>
      </c>
      <c r="X829" s="29"/>
      <c r="Y829" s="29"/>
      <c r="Z829" s="29"/>
      <c r="AA829" s="29" t="s">
        <v>2939</v>
      </c>
      <c r="AB829" s="29"/>
      <c r="AC829" s="29"/>
      <c r="AD829" s="29" t="s">
        <v>2898</v>
      </c>
      <c r="AE829" s="29"/>
      <c r="AF829" s="29"/>
      <c r="AG829" s="29"/>
      <c r="AH829" s="29" t="s">
        <v>2939</v>
      </c>
      <c r="AI829" s="29"/>
      <c r="AJ829" s="27"/>
      <c r="AK829" s="160"/>
      <c r="AL829" s="105" t="s">
        <v>2908</v>
      </c>
      <c r="AM829" s="26"/>
    </row>
    <row r="830" spans="1:39" x14ac:dyDescent="0.3">
      <c r="A830" s="15">
        <v>829</v>
      </c>
      <c r="B830" s="40" t="s">
        <v>870</v>
      </c>
      <c r="C830" s="40">
        <v>746</v>
      </c>
      <c r="D830" s="40" t="s">
        <v>869</v>
      </c>
      <c r="E830" s="40" t="s">
        <v>2915</v>
      </c>
      <c r="F830" s="40" t="s">
        <v>3977</v>
      </c>
      <c r="G830" s="50"/>
      <c r="H830" s="150" t="s">
        <v>5606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633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2900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2939</v>
      </c>
      <c r="AF830" s="40"/>
      <c r="AG830" s="40"/>
      <c r="AH830" s="40"/>
      <c r="AI830" s="40"/>
      <c r="AJ830" s="38"/>
      <c r="AK830" s="162"/>
      <c r="AL830" s="54" t="s">
        <v>2908</v>
      </c>
      <c r="AM830" s="37"/>
    </row>
    <row r="831" spans="1:39" x14ac:dyDescent="0.3">
      <c r="A831" s="15">
        <v>830</v>
      </c>
      <c r="B831" s="40" t="s">
        <v>871</v>
      </c>
      <c r="C831" s="40">
        <v>747</v>
      </c>
      <c r="D831" s="40" t="s">
        <v>869</v>
      </c>
      <c r="E831" s="40" t="s">
        <v>2915</v>
      </c>
      <c r="F831" s="40" t="s">
        <v>3978</v>
      </c>
      <c r="G831" s="50"/>
      <c r="H831" s="150" t="s">
        <v>5608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633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2900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2939</v>
      </c>
      <c r="AF831" s="40"/>
      <c r="AG831" s="40"/>
      <c r="AH831" s="40"/>
      <c r="AI831" s="40"/>
      <c r="AJ831" s="38"/>
      <c r="AK831" s="162"/>
      <c r="AL831" s="54" t="s">
        <v>2908</v>
      </c>
      <c r="AM831" s="37"/>
    </row>
    <row r="832" spans="1:39" x14ac:dyDescent="0.3">
      <c r="A832" s="15">
        <v>831</v>
      </c>
      <c r="B832" s="40" t="s">
        <v>872</v>
      </c>
      <c r="C832" s="40">
        <v>748</v>
      </c>
      <c r="D832" s="40" t="s">
        <v>869</v>
      </c>
      <c r="E832" s="40" t="s">
        <v>2915</v>
      </c>
      <c r="F832" s="40" t="s">
        <v>3979</v>
      </c>
      <c r="G832" s="50"/>
      <c r="H832" s="150" t="s">
        <v>5608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633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2900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2939</v>
      </c>
      <c r="AF832" s="40"/>
      <c r="AG832" s="40"/>
      <c r="AH832" s="40"/>
      <c r="AI832" s="40"/>
      <c r="AJ832" s="38"/>
      <c r="AK832" s="162"/>
      <c r="AL832" s="54" t="s">
        <v>2908</v>
      </c>
      <c r="AM832" s="37"/>
    </row>
    <row r="833" spans="1:39" x14ac:dyDescent="0.3">
      <c r="A833" s="15">
        <v>832</v>
      </c>
      <c r="B833" s="40" t="s">
        <v>873</v>
      </c>
      <c r="C833" s="40">
        <v>749</v>
      </c>
      <c r="D833" s="40" t="s">
        <v>869</v>
      </c>
      <c r="E833" s="40" t="s">
        <v>2915</v>
      </c>
      <c r="F833" s="40" t="s">
        <v>3980</v>
      </c>
      <c r="G833" s="50"/>
      <c r="H833" s="150" t="s">
        <v>5608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633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2900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2939</v>
      </c>
      <c r="AF833" s="40"/>
      <c r="AG833" s="40"/>
      <c r="AH833" s="40"/>
      <c r="AI833" s="40"/>
      <c r="AJ833" s="38"/>
      <c r="AK833" s="162"/>
      <c r="AL833" s="54" t="s">
        <v>2908</v>
      </c>
      <c r="AM833" s="37"/>
    </row>
    <row r="834" spans="1:39" x14ac:dyDescent="0.3">
      <c r="A834" s="15">
        <v>833</v>
      </c>
      <c r="B834" s="40" t="s">
        <v>874</v>
      </c>
      <c r="C834" s="40">
        <v>751</v>
      </c>
      <c r="D834" s="40" t="s">
        <v>869</v>
      </c>
      <c r="E834" s="40" t="s">
        <v>2915</v>
      </c>
      <c r="F834" s="40" t="s">
        <v>3981</v>
      </c>
      <c r="G834" s="50"/>
      <c r="H834" s="150" t="s">
        <v>5608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633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2900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2939</v>
      </c>
      <c r="AF834" s="40"/>
      <c r="AG834" s="40"/>
      <c r="AH834" s="40"/>
      <c r="AI834" s="40"/>
      <c r="AJ834" s="38"/>
      <c r="AK834" s="162"/>
      <c r="AL834" s="54" t="s">
        <v>2908</v>
      </c>
      <c r="AM834" s="37"/>
    </row>
    <row r="835" spans="1:39" x14ac:dyDescent="0.3">
      <c r="A835" s="15">
        <v>834</v>
      </c>
      <c r="B835" s="40" t="s">
        <v>875</v>
      </c>
      <c r="C835" s="40">
        <v>752</v>
      </c>
      <c r="D835" s="40" t="s">
        <v>869</v>
      </c>
      <c r="E835" s="40" t="s">
        <v>2915</v>
      </c>
      <c r="F835" s="40" t="s">
        <v>3982</v>
      </c>
      <c r="G835" s="50"/>
      <c r="H835" s="150" t="s">
        <v>5608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633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2900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2939</v>
      </c>
      <c r="AF835" s="40"/>
      <c r="AG835" s="40"/>
      <c r="AH835" s="40"/>
      <c r="AI835" s="40"/>
      <c r="AJ835" s="38"/>
      <c r="AK835" s="162"/>
      <c r="AL835" s="54" t="s">
        <v>2908</v>
      </c>
      <c r="AM835" s="37"/>
    </row>
    <row r="836" spans="1:39" x14ac:dyDescent="0.3">
      <c r="A836" s="15">
        <v>835</v>
      </c>
      <c r="B836" s="40" t="s">
        <v>876</v>
      </c>
      <c r="C836" s="40">
        <v>753</v>
      </c>
      <c r="D836" s="40" t="s">
        <v>869</v>
      </c>
      <c r="E836" s="40" t="s">
        <v>2915</v>
      </c>
      <c r="F836" s="40" t="s">
        <v>3983</v>
      </c>
      <c r="G836" s="50"/>
      <c r="H836" s="150" t="s">
        <v>5608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633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2900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2939</v>
      </c>
      <c r="AF836" s="40"/>
      <c r="AG836" s="40"/>
      <c r="AH836" s="40"/>
      <c r="AI836" s="40"/>
      <c r="AJ836" s="38"/>
      <c r="AK836" s="162"/>
      <c r="AL836" s="54" t="s">
        <v>2908</v>
      </c>
      <c r="AM836" s="37"/>
    </row>
    <row r="837" spans="1:39" ht="14.4" thickBot="1" x14ac:dyDescent="0.35">
      <c r="A837" s="15">
        <v>836</v>
      </c>
      <c r="B837" s="83" t="s">
        <v>877</v>
      </c>
      <c r="C837" s="83">
        <v>754</v>
      </c>
      <c r="D837" s="83" t="s">
        <v>869</v>
      </c>
      <c r="E837" s="83" t="s">
        <v>2915</v>
      </c>
      <c r="F837" s="83" t="s">
        <v>3984</v>
      </c>
      <c r="G837" s="138"/>
      <c r="H837" s="340" t="s">
        <v>5608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633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2900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2939</v>
      </c>
      <c r="AF837" s="83"/>
      <c r="AG837" s="83"/>
      <c r="AH837" s="83"/>
      <c r="AI837" s="83"/>
      <c r="AJ837" s="113"/>
      <c r="AK837" s="287"/>
      <c r="AL837" s="157" t="s">
        <v>2908</v>
      </c>
      <c r="AM837" s="82"/>
    </row>
    <row r="838" spans="1:39" x14ac:dyDescent="0.3">
      <c r="A838" s="15">
        <v>837</v>
      </c>
      <c r="B838" s="29" t="s">
        <v>885</v>
      </c>
      <c r="C838" s="29">
        <v>700</v>
      </c>
      <c r="D838" s="27" t="s">
        <v>878</v>
      </c>
      <c r="E838" s="29" t="s">
        <v>2915</v>
      </c>
      <c r="F838" s="29" t="s">
        <v>3985</v>
      </c>
      <c r="G838" s="192"/>
      <c r="H838" s="145" t="s">
        <v>5606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886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2900</v>
      </c>
      <c r="W838" s="28">
        <v>106</v>
      </c>
      <c r="X838" s="29"/>
      <c r="Y838" s="102"/>
      <c r="Z838" s="29"/>
      <c r="AA838" s="29"/>
      <c r="AB838" s="29"/>
      <c r="AC838" s="29" t="s">
        <v>2898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2908</v>
      </c>
      <c r="AM838" s="26"/>
    </row>
    <row r="839" spans="1:39" x14ac:dyDescent="0.3">
      <c r="A839" s="15">
        <v>838</v>
      </c>
      <c r="B839" s="40" t="s">
        <v>888</v>
      </c>
      <c r="C839" s="40">
        <v>721</v>
      </c>
      <c r="D839" s="38" t="s">
        <v>878</v>
      </c>
      <c r="E839" s="40" t="s">
        <v>2915</v>
      </c>
      <c r="F839" s="40" t="s">
        <v>3986</v>
      </c>
      <c r="G839" s="41" t="s">
        <v>5604</v>
      </c>
      <c r="H839" s="150" t="s">
        <v>5606</v>
      </c>
      <c r="I839" s="41" t="s">
        <v>5609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575</v>
      </c>
      <c r="U839" s="2" t="s">
        <v>8</v>
      </c>
      <c r="V839" s="38" t="s">
        <v>2900</v>
      </c>
      <c r="W839" s="39">
        <v>111</v>
      </c>
      <c r="X839" s="40"/>
      <c r="Y839" s="40"/>
      <c r="Z839" s="40"/>
      <c r="AA839" s="40" t="s">
        <v>2939</v>
      </c>
      <c r="AB839" s="40"/>
      <c r="AC839" s="40"/>
      <c r="AD839" s="40"/>
      <c r="AE839" s="40" t="s">
        <v>2939</v>
      </c>
      <c r="AF839" s="40"/>
      <c r="AG839" s="40"/>
      <c r="AH839" s="40" t="s">
        <v>2939</v>
      </c>
      <c r="AI839" s="40"/>
      <c r="AJ839" s="38"/>
      <c r="AK839" s="162"/>
      <c r="AL839" s="54" t="s">
        <v>2908</v>
      </c>
      <c r="AM839" s="37"/>
    </row>
    <row r="840" spans="1:39" x14ac:dyDescent="0.3">
      <c r="A840" s="15">
        <v>839</v>
      </c>
      <c r="B840" s="40" t="s">
        <v>889</v>
      </c>
      <c r="C840" s="40">
        <v>722</v>
      </c>
      <c r="D840" s="38" t="s">
        <v>878</v>
      </c>
      <c r="E840" s="40" t="s">
        <v>2915</v>
      </c>
      <c r="F840" s="40" t="s">
        <v>3987</v>
      </c>
      <c r="G840" s="41" t="s">
        <v>5604</v>
      </c>
      <c r="H840" s="150" t="s">
        <v>5608</v>
      </c>
      <c r="I840" s="41" t="s">
        <v>5609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575</v>
      </c>
      <c r="U840" s="2" t="str">
        <f>U839</f>
        <v>監測</v>
      </c>
      <c r="V840" s="38" t="s">
        <v>2900</v>
      </c>
      <c r="W840" s="39">
        <v>111</v>
      </c>
      <c r="X840" s="40"/>
      <c r="Y840" s="40"/>
      <c r="Z840" s="40"/>
      <c r="AA840" s="40" t="s">
        <v>2939</v>
      </c>
      <c r="AB840" s="40"/>
      <c r="AC840" s="40"/>
      <c r="AD840" s="40"/>
      <c r="AE840" s="40" t="s">
        <v>2939</v>
      </c>
      <c r="AF840" s="40"/>
      <c r="AG840" s="40"/>
      <c r="AH840" s="40" t="s">
        <v>2939</v>
      </c>
      <c r="AI840" s="40"/>
      <c r="AJ840" s="38"/>
      <c r="AK840" s="162"/>
      <c r="AL840" s="54" t="s">
        <v>2908</v>
      </c>
      <c r="AM840" s="37"/>
    </row>
    <row r="841" spans="1:39" x14ac:dyDescent="0.3">
      <c r="A841" s="15">
        <v>840</v>
      </c>
      <c r="B841" s="40" t="s">
        <v>890</v>
      </c>
      <c r="C841" s="40">
        <v>723</v>
      </c>
      <c r="D841" s="38" t="s">
        <v>878</v>
      </c>
      <c r="E841" s="40" t="s">
        <v>2915</v>
      </c>
      <c r="F841" s="40" t="s">
        <v>3988</v>
      </c>
      <c r="G841" s="41" t="s">
        <v>5604</v>
      </c>
      <c r="H841" s="150" t="s">
        <v>5608</v>
      </c>
      <c r="I841" s="41" t="s">
        <v>5609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575</v>
      </c>
      <c r="U841" s="2" t="str">
        <f>U839</f>
        <v>監測</v>
      </c>
      <c r="V841" s="38" t="s">
        <v>2900</v>
      </c>
      <c r="W841" s="39">
        <v>111</v>
      </c>
      <c r="X841" s="40"/>
      <c r="Y841" s="40"/>
      <c r="Z841" s="40"/>
      <c r="AA841" s="40" t="s">
        <v>2939</v>
      </c>
      <c r="AB841" s="40"/>
      <c r="AC841" s="40"/>
      <c r="AD841" s="40"/>
      <c r="AE841" s="40" t="s">
        <v>2939</v>
      </c>
      <c r="AF841" s="40"/>
      <c r="AG841" s="40"/>
      <c r="AH841" s="40" t="s">
        <v>2939</v>
      </c>
      <c r="AI841" s="40"/>
      <c r="AJ841" s="38"/>
      <c r="AK841" s="162"/>
      <c r="AL841" s="54" t="s">
        <v>2908</v>
      </c>
      <c r="AM841" s="37"/>
    </row>
    <row r="842" spans="1:39" x14ac:dyDescent="0.3">
      <c r="A842" s="15">
        <v>841</v>
      </c>
      <c r="B842" s="40" t="s">
        <v>891</v>
      </c>
      <c r="C842" s="40">
        <v>724</v>
      </c>
      <c r="D842" s="38" t="s">
        <v>878</v>
      </c>
      <c r="E842" s="40" t="s">
        <v>2915</v>
      </c>
      <c r="F842" s="40" t="s">
        <v>3989</v>
      </c>
      <c r="G842" s="41" t="s">
        <v>5604</v>
      </c>
      <c r="H842" s="150" t="s">
        <v>5608</v>
      </c>
      <c r="I842" s="41" t="s">
        <v>5609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575</v>
      </c>
      <c r="U842" s="2" t="str">
        <f>U839</f>
        <v>監測</v>
      </c>
      <c r="V842" s="38" t="s">
        <v>2900</v>
      </c>
      <c r="W842" s="39">
        <v>111</v>
      </c>
      <c r="X842" s="40"/>
      <c r="Y842" s="40"/>
      <c r="Z842" s="40"/>
      <c r="AA842" s="40" t="s">
        <v>2939</v>
      </c>
      <c r="AB842" s="40"/>
      <c r="AC842" s="40"/>
      <c r="AD842" s="40"/>
      <c r="AE842" s="40" t="s">
        <v>2898</v>
      </c>
      <c r="AF842" s="40"/>
      <c r="AG842" s="40"/>
      <c r="AH842" s="40" t="s">
        <v>2939</v>
      </c>
      <c r="AI842" s="40"/>
      <c r="AJ842" s="38"/>
      <c r="AK842" s="162"/>
      <c r="AL842" s="54" t="s">
        <v>2908</v>
      </c>
      <c r="AM842" s="37"/>
    </row>
    <row r="843" spans="1:39" x14ac:dyDescent="0.3">
      <c r="A843" s="15">
        <v>842</v>
      </c>
      <c r="B843" s="40" t="s">
        <v>892</v>
      </c>
      <c r="C843" s="40">
        <v>725</v>
      </c>
      <c r="D843" s="38" t="s">
        <v>878</v>
      </c>
      <c r="E843" s="40" t="s">
        <v>2915</v>
      </c>
      <c r="F843" s="40" t="s">
        <v>3990</v>
      </c>
      <c r="G843" s="41" t="s">
        <v>5604</v>
      </c>
      <c r="H843" s="150" t="s">
        <v>5608</v>
      </c>
      <c r="I843" s="41" t="s">
        <v>5609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575</v>
      </c>
      <c r="U843" s="2" t="str">
        <f>U839</f>
        <v>監測</v>
      </c>
      <c r="V843" s="38" t="s">
        <v>2900</v>
      </c>
      <c r="W843" s="39">
        <v>111</v>
      </c>
      <c r="X843" s="40"/>
      <c r="Y843" s="40"/>
      <c r="Z843" s="40"/>
      <c r="AA843" s="40" t="s">
        <v>2939</v>
      </c>
      <c r="AB843" s="40"/>
      <c r="AC843" s="40"/>
      <c r="AD843" s="40"/>
      <c r="AE843" s="40" t="s">
        <v>2898</v>
      </c>
      <c r="AF843" s="40"/>
      <c r="AG843" s="40"/>
      <c r="AH843" s="40" t="s">
        <v>2939</v>
      </c>
      <c r="AI843" s="40"/>
      <c r="AJ843" s="38"/>
      <c r="AK843" s="162"/>
      <c r="AL843" s="54" t="s">
        <v>2908</v>
      </c>
      <c r="AM843" s="37"/>
    </row>
    <row r="844" spans="1:39" x14ac:dyDescent="0.3">
      <c r="A844" s="15">
        <v>843</v>
      </c>
      <c r="B844" s="40" t="s">
        <v>893</v>
      </c>
      <c r="C844" s="40">
        <v>726</v>
      </c>
      <c r="D844" s="38" t="s">
        <v>878</v>
      </c>
      <c r="E844" s="40" t="s">
        <v>2915</v>
      </c>
      <c r="F844" s="40" t="s">
        <v>3991</v>
      </c>
      <c r="G844" s="41" t="s">
        <v>5604</v>
      </c>
      <c r="H844" s="150" t="s">
        <v>5608</v>
      </c>
      <c r="I844" s="41" t="s">
        <v>5609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575</v>
      </c>
      <c r="U844" s="2" t="str">
        <f>U839</f>
        <v>監測</v>
      </c>
      <c r="V844" s="38" t="s">
        <v>2900</v>
      </c>
      <c r="W844" s="39">
        <v>111</v>
      </c>
      <c r="X844" s="40"/>
      <c r="Y844" s="40"/>
      <c r="Z844" s="40"/>
      <c r="AA844" s="40" t="s">
        <v>2939</v>
      </c>
      <c r="AB844" s="40"/>
      <c r="AC844" s="40"/>
      <c r="AD844" s="40"/>
      <c r="AE844" s="40" t="s">
        <v>2898</v>
      </c>
      <c r="AF844" s="40"/>
      <c r="AG844" s="40"/>
      <c r="AH844" s="40" t="s">
        <v>2939</v>
      </c>
      <c r="AI844" s="40"/>
      <c r="AJ844" s="38"/>
      <c r="AK844" s="162"/>
      <c r="AL844" s="54" t="s">
        <v>2908</v>
      </c>
      <c r="AM844" s="37"/>
    </row>
    <row r="845" spans="1:39" ht="14.4" thickBot="1" x14ac:dyDescent="0.35">
      <c r="A845" s="15">
        <v>844</v>
      </c>
      <c r="B845" s="83" t="s">
        <v>895</v>
      </c>
      <c r="C845" s="83">
        <v>750</v>
      </c>
      <c r="D845" s="83" t="s">
        <v>894</v>
      </c>
      <c r="E845" s="83" t="s">
        <v>2915</v>
      </c>
      <c r="F845" s="83" t="s">
        <v>3992</v>
      </c>
      <c r="G845" s="138"/>
      <c r="H845" s="340" t="s">
        <v>5606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2900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2939</v>
      </c>
      <c r="AF845" s="83"/>
      <c r="AG845" s="83"/>
      <c r="AH845" s="83"/>
      <c r="AI845" s="83"/>
      <c r="AJ845" s="113"/>
      <c r="AK845" s="287"/>
      <c r="AL845" s="157" t="s">
        <v>2908</v>
      </c>
      <c r="AM845" s="82"/>
    </row>
    <row r="846" spans="1:39" x14ac:dyDescent="0.3">
      <c r="A846" s="15">
        <v>845</v>
      </c>
      <c r="B846" s="29" t="s">
        <v>905</v>
      </c>
      <c r="C846" s="29">
        <v>981</v>
      </c>
      <c r="D846" s="27" t="s">
        <v>903</v>
      </c>
      <c r="E846" s="29" t="s">
        <v>2915</v>
      </c>
      <c r="F846" s="29" t="s">
        <v>3993</v>
      </c>
      <c r="G846" s="192"/>
      <c r="H846" s="145" t="s">
        <v>5606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575</v>
      </c>
      <c r="U846" s="30" t="str">
        <f>U841</f>
        <v>監測</v>
      </c>
      <c r="V846" s="27" t="s">
        <v>2900</v>
      </c>
      <c r="W846" s="28">
        <v>110</v>
      </c>
      <c r="X846" s="29"/>
      <c r="Y846" s="29"/>
      <c r="Z846" s="29"/>
      <c r="AA846" s="29" t="s">
        <v>2939</v>
      </c>
      <c r="AB846" s="29"/>
      <c r="AC846" s="29"/>
      <c r="AD846" s="29" t="s">
        <v>2939</v>
      </c>
      <c r="AE846" s="29"/>
      <c r="AF846" s="29"/>
      <c r="AG846" s="29" t="s">
        <v>2939</v>
      </c>
      <c r="AH846" s="29"/>
      <c r="AI846" s="29"/>
      <c r="AJ846" s="165"/>
      <c r="AK846" s="166"/>
      <c r="AL846" s="105" t="s">
        <v>2908</v>
      </c>
      <c r="AM846" s="164"/>
    </row>
    <row r="847" spans="1:39" ht="14.4" thickBot="1" x14ac:dyDescent="0.35">
      <c r="A847" s="15">
        <v>846</v>
      </c>
      <c r="B847" s="83" t="s">
        <v>906</v>
      </c>
      <c r="C847" s="83">
        <v>963</v>
      </c>
      <c r="D847" s="113" t="s">
        <v>903</v>
      </c>
      <c r="E847" s="83" t="s">
        <v>2915</v>
      </c>
      <c r="F847" s="83" t="s">
        <v>3994</v>
      </c>
      <c r="G847" s="138"/>
      <c r="H847" s="340" t="s">
        <v>5606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2900</v>
      </c>
      <c r="W847" s="86">
        <v>103</v>
      </c>
      <c r="X847" s="83"/>
      <c r="Y847" s="137"/>
      <c r="Z847" s="83" t="s">
        <v>2898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2908</v>
      </c>
      <c r="AM847" s="154"/>
    </row>
    <row r="848" spans="1:39" x14ac:dyDescent="0.3">
      <c r="A848" s="15">
        <v>847</v>
      </c>
      <c r="B848" s="29" t="s">
        <v>914</v>
      </c>
      <c r="C848" s="29">
        <v>820</v>
      </c>
      <c r="D848" s="27" t="s">
        <v>913</v>
      </c>
      <c r="E848" s="29" t="s">
        <v>2929</v>
      </c>
      <c r="F848" s="29" t="s">
        <v>3995</v>
      </c>
      <c r="G848" s="192"/>
      <c r="H848" s="145" t="s">
        <v>5607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2900</v>
      </c>
      <c r="W848" s="28">
        <v>106</v>
      </c>
      <c r="X848" s="29"/>
      <c r="Y848" s="29"/>
      <c r="Z848" s="29"/>
      <c r="AA848" s="29"/>
      <c r="AB848" s="29"/>
      <c r="AC848" s="29" t="s">
        <v>2939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915</v>
      </c>
      <c r="C849" s="40">
        <v>823</v>
      </c>
      <c r="D849" s="38" t="s">
        <v>913</v>
      </c>
      <c r="E849" s="40" t="s">
        <v>2929</v>
      </c>
      <c r="F849" s="40" t="s">
        <v>3996</v>
      </c>
      <c r="G849" s="41" t="s">
        <v>5604</v>
      </c>
      <c r="H849" s="150" t="s">
        <v>5606</v>
      </c>
      <c r="I849" s="41" t="s">
        <v>5609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575</v>
      </c>
      <c r="U849" s="2" t="s">
        <v>8</v>
      </c>
      <c r="V849" s="38" t="s">
        <v>2900</v>
      </c>
      <c r="W849" s="39">
        <v>109</v>
      </c>
      <c r="X849" s="40"/>
      <c r="Y849" s="40"/>
      <c r="Z849" s="40"/>
      <c r="AA849" s="40"/>
      <c r="AB849" s="40"/>
      <c r="AC849" s="40" t="s">
        <v>2939</v>
      </c>
      <c r="AD849" s="40"/>
      <c r="AE849" s="40"/>
      <c r="AF849" s="40" t="s">
        <v>2939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916</v>
      </c>
      <c r="C850" s="40">
        <v>943</v>
      </c>
      <c r="D850" s="38" t="s">
        <v>913</v>
      </c>
      <c r="E850" s="40" t="s">
        <v>2929</v>
      </c>
      <c r="F850" s="40" t="s">
        <v>3997</v>
      </c>
      <c r="G850" s="50"/>
      <c r="H850" s="150" t="s">
        <v>5608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2900</v>
      </c>
      <c r="W850" s="39">
        <v>106</v>
      </c>
      <c r="X850" s="40"/>
      <c r="Y850" s="40"/>
      <c r="Z850" s="40"/>
      <c r="AA850" s="40"/>
      <c r="AB850" s="40"/>
      <c r="AC850" s="40" t="s">
        <v>2939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917</v>
      </c>
      <c r="C851" s="40">
        <v>944</v>
      </c>
      <c r="D851" s="38" t="s">
        <v>913</v>
      </c>
      <c r="E851" s="40" t="s">
        <v>2929</v>
      </c>
      <c r="F851" s="40" t="s">
        <v>3998</v>
      </c>
      <c r="G851" s="50"/>
      <c r="H851" s="150" t="s">
        <v>5607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2900</v>
      </c>
      <c r="W851" s="39">
        <v>106</v>
      </c>
      <c r="X851" s="40"/>
      <c r="Y851" s="40"/>
      <c r="Z851" s="40"/>
      <c r="AA851" s="40"/>
      <c r="AB851" s="40"/>
      <c r="AC851" s="40" t="s">
        <v>2939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918</v>
      </c>
      <c r="C852" s="40">
        <v>945</v>
      </c>
      <c r="D852" s="38" t="s">
        <v>913</v>
      </c>
      <c r="E852" s="40" t="s">
        <v>2929</v>
      </c>
      <c r="F852" s="40" t="s">
        <v>3999</v>
      </c>
      <c r="G852" s="50"/>
      <c r="H852" s="150" t="s">
        <v>5607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2900</v>
      </c>
      <c r="W852" s="39">
        <v>106</v>
      </c>
      <c r="X852" s="40"/>
      <c r="Y852" s="40"/>
      <c r="Z852" s="40"/>
      <c r="AA852" s="40"/>
      <c r="AB852" s="40"/>
      <c r="AC852" s="40" t="s">
        <v>2939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919</v>
      </c>
      <c r="C853" s="40">
        <v>946</v>
      </c>
      <c r="D853" s="38" t="s">
        <v>913</v>
      </c>
      <c r="E853" s="40" t="s">
        <v>2929</v>
      </c>
      <c r="F853" s="40" t="s">
        <v>4000</v>
      </c>
      <c r="G853" s="50"/>
      <c r="H853" s="150" t="s">
        <v>5607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2900</v>
      </c>
      <c r="W853" s="39">
        <v>106</v>
      </c>
      <c r="X853" s="40"/>
      <c r="Y853" s="40"/>
      <c r="Z853" s="40"/>
      <c r="AA853" s="40"/>
      <c r="AB853" s="40"/>
      <c r="AC853" s="40" t="s">
        <v>2939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920</v>
      </c>
      <c r="C854" s="40">
        <v>948</v>
      </c>
      <c r="D854" s="38" t="s">
        <v>913</v>
      </c>
      <c r="E854" s="40" t="s">
        <v>2929</v>
      </c>
      <c r="F854" s="40" t="s">
        <v>4001</v>
      </c>
      <c r="G854" s="50"/>
      <c r="H854" s="150" t="s">
        <v>5607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2900</v>
      </c>
      <c r="W854" s="39">
        <v>106</v>
      </c>
      <c r="X854" s="40"/>
      <c r="Y854" s="40"/>
      <c r="Z854" s="40"/>
      <c r="AA854" s="40"/>
      <c r="AB854" s="40"/>
      <c r="AC854" s="40" t="s">
        <v>2939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921</v>
      </c>
      <c r="C855" s="40">
        <v>950</v>
      </c>
      <c r="D855" s="38" t="s">
        <v>913</v>
      </c>
      <c r="E855" s="40" t="s">
        <v>2929</v>
      </c>
      <c r="F855" s="40" t="s">
        <v>4002</v>
      </c>
      <c r="G855" s="50"/>
      <c r="H855" s="150" t="s">
        <v>5607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2900</v>
      </c>
      <c r="W855" s="39">
        <v>106</v>
      </c>
      <c r="X855" s="40"/>
      <c r="Y855" s="40"/>
      <c r="Z855" s="40"/>
      <c r="AA855" s="40"/>
      <c r="AB855" s="40"/>
      <c r="AC855" s="40" t="s">
        <v>2939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922</v>
      </c>
      <c r="C856" s="40">
        <v>952</v>
      </c>
      <c r="D856" s="38" t="s">
        <v>913</v>
      </c>
      <c r="E856" s="40" t="s">
        <v>2929</v>
      </c>
      <c r="F856" s="40" t="s">
        <v>4003</v>
      </c>
      <c r="G856" s="41" t="s">
        <v>5604</v>
      </c>
      <c r="H856" s="150" t="s">
        <v>5606</v>
      </c>
      <c r="I856" s="41" t="s">
        <v>5609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575</v>
      </c>
      <c r="U856" s="2" t="s">
        <v>8</v>
      </c>
      <c r="V856" s="38" t="s">
        <v>2900</v>
      </c>
      <c r="W856" s="39">
        <v>109</v>
      </c>
      <c r="X856" s="40"/>
      <c r="Y856" s="40"/>
      <c r="Z856" s="40"/>
      <c r="AA856" s="40"/>
      <c r="AB856" s="40"/>
      <c r="AC856" s="40" t="s">
        <v>2939</v>
      </c>
      <c r="AD856" s="40"/>
      <c r="AE856" s="40"/>
      <c r="AF856" s="40" t="s">
        <v>2939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913</v>
      </c>
      <c r="E857" s="40" t="s">
        <v>2929</v>
      </c>
      <c r="F857" s="40" t="s">
        <v>4004</v>
      </c>
      <c r="G857" s="50"/>
      <c r="H857" s="150" t="s">
        <v>5607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2900</v>
      </c>
      <c r="W857" s="39">
        <v>106</v>
      </c>
      <c r="X857" s="40"/>
      <c r="Y857" s="40"/>
      <c r="Z857" s="40"/>
      <c r="AA857" s="40"/>
      <c r="AB857" s="40"/>
      <c r="AC857" s="40" t="s">
        <v>2939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913</v>
      </c>
      <c r="E858" s="40" t="s">
        <v>2929</v>
      </c>
      <c r="F858" s="40" t="s">
        <v>4005</v>
      </c>
      <c r="G858" s="50"/>
      <c r="H858" s="150" t="s">
        <v>5607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2900</v>
      </c>
      <c r="W858" s="39">
        <v>106</v>
      </c>
      <c r="X858" s="40"/>
      <c r="Y858" s="40"/>
      <c r="Z858" s="40"/>
      <c r="AA858" s="40"/>
      <c r="AB858" s="40"/>
      <c r="AC858" s="40" t="s">
        <v>2939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913</v>
      </c>
      <c r="E859" s="40" t="s">
        <v>2929</v>
      </c>
      <c r="F859" s="40" t="s">
        <v>4006</v>
      </c>
      <c r="G859" s="50"/>
      <c r="H859" s="150" t="s">
        <v>5607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2900</v>
      </c>
      <c r="W859" s="39">
        <v>106</v>
      </c>
      <c r="X859" s="40"/>
      <c r="Y859" s="40"/>
      <c r="Z859" s="40"/>
      <c r="AA859" s="40"/>
      <c r="AB859" s="40"/>
      <c r="AC859" s="40" t="s">
        <v>2939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913</v>
      </c>
      <c r="E860" s="40" t="s">
        <v>2929</v>
      </c>
      <c r="F860" s="40" t="s">
        <v>4007</v>
      </c>
      <c r="G860" s="41" t="s">
        <v>5604</v>
      </c>
      <c r="H860" s="150" t="s">
        <v>5608</v>
      </c>
      <c r="I860" s="41" t="s">
        <v>5609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575</v>
      </c>
      <c r="U860" s="2" t="str">
        <f>U849</f>
        <v>監測</v>
      </c>
      <c r="V860" s="38" t="s">
        <v>2900</v>
      </c>
      <c r="W860" s="39">
        <v>109</v>
      </c>
      <c r="X860" s="40"/>
      <c r="Y860" s="40"/>
      <c r="Z860" s="40"/>
      <c r="AA860" s="40"/>
      <c r="AB860" s="40"/>
      <c r="AC860" s="40" t="s">
        <v>2939</v>
      </c>
      <c r="AD860" s="40"/>
      <c r="AE860" s="40"/>
      <c r="AF860" s="40" t="s">
        <v>2939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913</v>
      </c>
      <c r="E861" s="40" t="s">
        <v>2929</v>
      </c>
      <c r="F861" s="40" t="s">
        <v>4008</v>
      </c>
      <c r="G861" s="50"/>
      <c r="H861" s="150" t="s">
        <v>5608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2900</v>
      </c>
      <c r="W861" s="39">
        <v>106</v>
      </c>
      <c r="X861" s="40"/>
      <c r="Y861" s="40"/>
      <c r="Z861" s="40"/>
      <c r="AA861" s="40"/>
      <c r="AB861" s="40"/>
      <c r="AC861" s="40" t="s">
        <v>2939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913</v>
      </c>
      <c r="E862" s="40" t="s">
        <v>2929</v>
      </c>
      <c r="F862" s="40" t="s">
        <v>4009</v>
      </c>
      <c r="G862" s="50"/>
      <c r="H862" s="150" t="s">
        <v>5608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2900</v>
      </c>
      <c r="W862" s="39">
        <v>106</v>
      </c>
      <c r="X862" s="40"/>
      <c r="Y862" s="40"/>
      <c r="Z862" s="40"/>
      <c r="AA862" s="40"/>
      <c r="AB862" s="40"/>
      <c r="AC862" s="40" t="s">
        <v>2939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913</v>
      </c>
      <c r="E863" s="40" t="s">
        <v>2929</v>
      </c>
      <c r="F863" s="40" t="s">
        <v>4010</v>
      </c>
      <c r="G863" s="50"/>
      <c r="H863" s="150" t="s">
        <v>5608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2900</v>
      </c>
      <c r="W863" s="39">
        <v>106</v>
      </c>
      <c r="X863" s="40"/>
      <c r="Y863" s="40"/>
      <c r="Z863" s="40"/>
      <c r="AA863" s="40"/>
      <c r="AB863" s="40"/>
      <c r="AC863" s="40" t="s">
        <v>2939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913</v>
      </c>
      <c r="E864" s="83" t="s">
        <v>2929</v>
      </c>
      <c r="F864" s="83" t="s">
        <v>4011</v>
      </c>
      <c r="G864" s="47" t="s">
        <v>5604</v>
      </c>
      <c r="H864" s="340" t="s">
        <v>5606</v>
      </c>
      <c r="I864" s="47" t="s">
        <v>5609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306</v>
      </c>
      <c r="U864" s="85" t="s">
        <v>3</v>
      </c>
      <c r="V864" s="113" t="s">
        <v>2900</v>
      </c>
      <c r="W864" s="86">
        <v>109</v>
      </c>
      <c r="X864" s="83"/>
      <c r="Y864" s="83"/>
      <c r="Z864" s="83"/>
      <c r="AA864" s="83"/>
      <c r="AB864" s="83"/>
      <c r="AC864" s="83" t="s">
        <v>2939</v>
      </c>
      <c r="AD864" s="83"/>
      <c r="AE864" s="83"/>
      <c r="AF864" s="83" t="s">
        <v>2898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924</v>
      </c>
      <c r="C865" s="29">
        <v>837</v>
      </c>
      <c r="D865" s="27" t="s">
        <v>923</v>
      </c>
      <c r="E865" s="29" t="s">
        <v>2929</v>
      </c>
      <c r="F865" s="29" t="s">
        <v>4012</v>
      </c>
      <c r="G865" s="31" t="s">
        <v>5604</v>
      </c>
      <c r="H865" s="145" t="s">
        <v>5608</v>
      </c>
      <c r="I865" s="31" t="s">
        <v>5609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575</v>
      </c>
      <c r="U865" s="30" t="str">
        <f>U866</f>
        <v>監測</v>
      </c>
      <c r="V865" s="27" t="s">
        <v>2900</v>
      </c>
      <c r="W865" s="28">
        <v>109</v>
      </c>
      <c r="X865" s="29"/>
      <c r="Y865" s="29"/>
      <c r="Z865" s="29"/>
      <c r="AA865" s="29"/>
      <c r="AB865" s="29"/>
      <c r="AC865" s="29" t="s">
        <v>2939</v>
      </c>
      <c r="AD865" s="29"/>
      <c r="AE865" s="29"/>
      <c r="AF865" s="29" t="s">
        <v>2939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925</v>
      </c>
      <c r="C866" s="40">
        <v>838</v>
      </c>
      <c r="D866" s="38" t="s">
        <v>923</v>
      </c>
      <c r="E866" s="40" t="s">
        <v>2929</v>
      </c>
      <c r="F866" s="40" t="s">
        <v>4013</v>
      </c>
      <c r="G866" s="41" t="s">
        <v>5604</v>
      </c>
      <c r="H866" s="150" t="s">
        <v>5606</v>
      </c>
      <c r="I866" s="41" t="s">
        <v>5609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575</v>
      </c>
      <c r="U866" s="2" t="s">
        <v>8</v>
      </c>
      <c r="V866" s="38" t="s">
        <v>2900</v>
      </c>
      <c r="W866" s="39">
        <v>109</v>
      </c>
      <c r="X866" s="40"/>
      <c r="Y866" s="40"/>
      <c r="Z866" s="40"/>
      <c r="AA866" s="40"/>
      <c r="AB866" s="40"/>
      <c r="AC866" s="40" t="s">
        <v>2939</v>
      </c>
      <c r="AD866" s="40"/>
      <c r="AE866" s="40"/>
      <c r="AF866" s="40" t="s">
        <v>2939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923</v>
      </c>
      <c r="E867" s="83" t="s">
        <v>2929</v>
      </c>
      <c r="F867" s="83" t="s">
        <v>4014</v>
      </c>
      <c r="G867" s="47" t="s">
        <v>5604</v>
      </c>
      <c r="H867" s="340" t="s">
        <v>5608</v>
      </c>
      <c r="I867" s="47" t="s">
        <v>5609</v>
      </c>
      <c r="J867" s="88">
        <v>194775</v>
      </c>
      <c r="K867" s="88">
        <v>2663554.15925</v>
      </c>
      <c r="L867" s="88" t="s">
        <v>40</v>
      </c>
      <c r="M867" s="89">
        <v>8</v>
      </c>
      <c r="N867" s="88">
        <v>136</v>
      </c>
      <c r="O867" s="88">
        <v>84</v>
      </c>
      <c r="P867" s="88" t="s">
        <v>41</v>
      </c>
      <c r="Q867" s="88">
        <v>27</v>
      </c>
      <c r="R867" s="88">
        <v>331</v>
      </c>
      <c r="S867" s="88">
        <v>61</v>
      </c>
      <c r="T867" s="85" t="s">
        <v>575</v>
      </c>
      <c r="U867" s="85" t="str">
        <f>U866</f>
        <v>監測</v>
      </c>
      <c r="V867" s="113" t="s">
        <v>2900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2939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930</v>
      </c>
      <c r="C868" s="29">
        <v>856</v>
      </c>
      <c r="D868" s="27" t="s">
        <v>929</v>
      </c>
      <c r="E868" s="29" t="s">
        <v>2929</v>
      </c>
      <c r="F868" s="29" t="s">
        <v>4015</v>
      </c>
      <c r="G868" s="31" t="s">
        <v>5604</v>
      </c>
      <c r="H868" s="145" t="s">
        <v>5606</v>
      </c>
      <c r="I868" s="31" t="s">
        <v>5609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306</v>
      </c>
      <c r="U868" s="30" t="s">
        <v>3</v>
      </c>
      <c r="V868" s="27" t="s">
        <v>2900</v>
      </c>
      <c r="W868" s="28">
        <v>109</v>
      </c>
      <c r="X868" s="29"/>
      <c r="Y868" s="29"/>
      <c r="Z868" s="29"/>
      <c r="AA868" s="29"/>
      <c r="AB868" s="29"/>
      <c r="AC868" s="29" t="s">
        <v>2939</v>
      </c>
      <c r="AD868" s="29"/>
      <c r="AE868" s="29"/>
      <c r="AF868" s="29" t="s">
        <v>2898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931</v>
      </c>
      <c r="C869" s="40">
        <v>863</v>
      </c>
      <c r="D869" s="38" t="s">
        <v>929</v>
      </c>
      <c r="E869" s="40" t="s">
        <v>2929</v>
      </c>
      <c r="F869" s="40" t="s">
        <v>4016</v>
      </c>
      <c r="G869" s="50"/>
      <c r="H869" s="150" t="s">
        <v>5606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138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2900</v>
      </c>
      <c r="W869" s="39">
        <v>106</v>
      </c>
      <c r="X869" s="40"/>
      <c r="Y869" s="40"/>
      <c r="Z869" s="40"/>
      <c r="AA869" s="40"/>
      <c r="AB869" s="40"/>
      <c r="AC869" s="40" t="s">
        <v>2939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932</v>
      </c>
      <c r="C870" s="40">
        <v>864</v>
      </c>
      <c r="D870" s="38" t="s">
        <v>929</v>
      </c>
      <c r="E870" s="40" t="s">
        <v>2929</v>
      </c>
      <c r="F870" s="40" t="s">
        <v>4017</v>
      </c>
      <c r="G870" s="41" t="s">
        <v>5604</v>
      </c>
      <c r="H870" s="150" t="s">
        <v>5606</v>
      </c>
      <c r="I870" s="41" t="s">
        <v>5609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575</v>
      </c>
      <c r="U870" s="2" t="s">
        <v>8</v>
      </c>
      <c r="V870" s="38" t="s">
        <v>2900</v>
      </c>
      <c r="W870" s="39">
        <v>109</v>
      </c>
      <c r="X870" s="40"/>
      <c r="Y870" s="40"/>
      <c r="Z870" s="40"/>
      <c r="AA870" s="40"/>
      <c r="AB870" s="40"/>
      <c r="AC870" s="40" t="s">
        <v>2939</v>
      </c>
      <c r="AD870" s="40"/>
      <c r="AE870" s="40"/>
      <c r="AF870" s="40" t="s">
        <v>2939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933</v>
      </c>
      <c r="C871" s="40">
        <v>866</v>
      </c>
      <c r="D871" s="38" t="s">
        <v>929</v>
      </c>
      <c r="E871" s="40" t="s">
        <v>2929</v>
      </c>
      <c r="F871" s="40" t="s">
        <v>4018</v>
      </c>
      <c r="G871" s="50"/>
      <c r="H871" s="150" t="s">
        <v>5607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2900</v>
      </c>
      <c r="W871" s="39">
        <v>106</v>
      </c>
      <c r="X871" s="40"/>
      <c r="Y871" s="40"/>
      <c r="Z871" s="40"/>
      <c r="AA871" s="40"/>
      <c r="AB871" s="40"/>
      <c r="AC871" s="40" t="s">
        <v>2939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934</v>
      </c>
      <c r="C872" s="40">
        <v>868</v>
      </c>
      <c r="D872" s="38" t="s">
        <v>929</v>
      </c>
      <c r="E872" s="40" t="s">
        <v>2929</v>
      </c>
      <c r="F872" s="40" t="s">
        <v>4019</v>
      </c>
      <c r="G872" s="50"/>
      <c r="H872" s="150" t="s">
        <v>5607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2900</v>
      </c>
      <c r="W872" s="39">
        <v>106</v>
      </c>
      <c r="X872" s="40"/>
      <c r="Y872" s="40"/>
      <c r="Z872" s="40"/>
      <c r="AA872" s="40"/>
      <c r="AB872" s="40"/>
      <c r="AC872" s="40" t="s">
        <v>2939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929</v>
      </c>
      <c r="E873" s="40" t="s">
        <v>2929</v>
      </c>
      <c r="F873" s="40" t="s">
        <v>4020</v>
      </c>
      <c r="G873" s="41" t="s">
        <v>5604</v>
      </c>
      <c r="H873" s="150" t="s">
        <v>5608</v>
      </c>
      <c r="I873" s="41" t="s">
        <v>5609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575</v>
      </c>
      <c r="U873" s="2" t="str">
        <f>U870</f>
        <v>監測</v>
      </c>
      <c r="V873" s="38" t="s">
        <v>2900</v>
      </c>
      <c r="W873" s="39">
        <v>109</v>
      </c>
      <c r="X873" s="40"/>
      <c r="Y873" s="40"/>
      <c r="Z873" s="40"/>
      <c r="AA873" s="40"/>
      <c r="AB873" s="40"/>
      <c r="AC873" s="40" t="s">
        <v>2939</v>
      </c>
      <c r="AD873" s="40"/>
      <c r="AE873" s="40"/>
      <c r="AF873" s="40" t="s">
        <v>2939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937</v>
      </c>
      <c r="C874" s="83">
        <v>2494</v>
      </c>
      <c r="D874" s="113" t="s">
        <v>929</v>
      </c>
      <c r="E874" s="83" t="s">
        <v>2929</v>
      </c>
      <c r="F874" s="83" t="s">
        <v>4021</v>
      </c>
      <c r="G874" s="138"/>
      <c r="H874" s="340" t="s">
        <v>5607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306</v>
      </c>
      <c r="U874" s="85" t="s">
        <v>3</v>
      </c>
      <c r="V874" s="113" t="s">
        <v>2900</v>
      </c>
      <c r="W874" s="86">
        <v>109</v>
      </c>
      <c r="X874" s="83"/>
      <c r="Y874" s="83"/>
      <c r="Z874" s="83"/>
      <c r="AA874" s="83"/>
      <c r="AB874" s="83" t="s">
        <v>2898</v>
      </c>
      <c r="AC874" s="83"/>
      <c r="AD874" s="83"/>
      <c r="AE874" s="83"/>
      <c r="AF874" s="83" t="s">
        <v>2898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955</v>
      </c>
      <c r="C875" s="29">
        <v>1311</v>
      </c>
      <c r="D875" s="27" t="s">
        <v>954</v>
      </c>
      <c r="E875" s="29" t="s">
        <v>2929</v>
      </c>
      <c r="F875" s="29" t="s">
        <v>4022</v>
      </c>
      <c r="G875" s="192"/>
      <c r="H875" s="145" t="s">
        <v>5607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2900</v>
      </c>
      <c r="W875" s="28">
        <v>108</v>
      </c>
      <c r="X875" s="29"/>
      <c r="Y875" s="29"/>
      <c r="Z875" s="29"/>
      <c r="AA875" s="29"/>
      <c r="AB875" s="29"/>
      <c r="AC875" s="29" t="s">
        <v>2939</v>
      </c>
      <c r="AD875" s="29"/>
      <c r="AE875" s="29" t="s">
        <v>2939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956</v>
      </c>
      <c r="C876" s="40">
        <v>1312</v>
      </c>
      <c r="D876" s="38" t="s">
        <v>954</v>
      </c>
      <c r="E876" s="40" t="s">
        <v>2929</v>
      </c>
      <c r="F876" s="40" t="s">
        <v>4023</v>
      </c>
      <c r="G876" s="41" t="s">
        <v>5604</v>
      </c>
      <c r="H876" s="150" t="s">
        <v>5606</v>
      </c>
      <c r="I876" s="41" t="s">
        <v>5609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575</v>
      </c>
      <c r="U876" s="2" t="s">
        <v>8</v>
      </c>
      <c r="V876" s="38" t="s">
        <v>2900</v>
      </c>
      <c r="W876" s="39">
        <v>110</v>
      </c>
      <c r="X876" s="40"/>
      <c r="Y876" s="40"/>
      <c r="Z876" s="40"/>
      <c r="AA876" s="40"/>
      <c r="AB876" s="40"/>
      <c r="AC876" s="40" t="s">
        <v>2939</v>
      </c>
      <c r="AD876" s="40"/>
      <c r="AE876" s="40" t="s">
        <v>2939</v>
      </c>
      <c r="AF876" s="40"/>
      <c r="AG876" s="40" t="s">
        <v>2939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957</v>
      </c>
      <c r="C877" s="40">
        <v>1313</v>
      </c>
      <c r="D877" s="38" t="s">
        <v>954</v>
      </c>
      <c r="E877" s="40" t="s">
        <v>2929</v>
      </c>
      <c r="F877" s="40" t="s">
        <v>4024</v>
      </c>
      <c r="G877" s="50"/>
      <c r="H877" s="150" t="s">
        <v>5607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2900</v>
      </c>
      <c r="W877" s="39">
        <v>108</v>
      </c>
      <c r="X877" s="40"/>
      <c r="Y877" s="40"/>
      <c r="Z877" s="40"/>
      <c r="AA877" s="40"/>
      <c r="AB877" s="40"/>
      <c r="AC877" s="40" t="s">
        <v>2939</v>
      </c>
      <c r="AD877" s="40"/>
      <c r="AE877" s="40" t="s">
        <v>2898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958</v>
      </c>
      <c r="C878" s="40">
        <v>1314</v>
      </c>
      <c r="D878" s="38" t="s">
        <v>954</v>
      </c>
      <c r="E878" s="40" t="s">
        <v>2929</v>
      </c>
      <c r="F878" s="40" t="s">
        <v>4025</v>
      </c>
      <c r="G878" s="41" t="s">
        <v>5604</v>
      </c>
      <c r="H878" s="150" t="s">
        <v>5606</v>
      </c>
      <c r="I878" s="41" t="s">
        <v>5609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575</v>
      </c>
      <c r="U878" s="2" t="s">
        <v>8</v>
      </c>
      <c r="V878" s="38" t="s">
        <v>2900</v>
      </c>
      <c r="W878" s="39">
        <v>110</v>
      </c>
      <c r="X878" s="40"/>
      <c r="Y878" s="40"/>
      <c r="Z878" s="40"/>
      <c r="AA878" s="40"/>
      <c r="AB878" s="40"/>
      <c r="AC878" s="40" t="s">
        <v>2939</v>
      </c>
      <c r="AD878" s="40"/>
      <c r="AE878" s="40" t="s">
        <v>2898</v>
      </c>
      <c r="AF878" s="40"/>
      <c r="AG878" s="40" t="s">
        <v>2939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959</v>
      </c>
      <c r="C879" s="40">
        <v>1315</v>
      </c>
      <c r="D879" s="38" t="s">
        <v>954</v>
      </c>
      <c r="E879" s="40" t="s">
        <v>2929</v>
      </c>
      <c r="F879" s="40" t="s">
        <v>4026</v>
      </c>
      <c r="G879" s="50"/>
      <c r="H879" s="150" t="s">
        <v>5606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615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2900</v>
      </c>
      <c r="W879" s="39">
        <v>106</v>
      </c>
      <c r="X879" s="40"/>
      <c r="Y879" s="40"/>
      <c r="Z879" s="40"/>
      <c r="AA879" s="40"/>
      <c r="AB879" s="40"/>
      <c r="AC879" s="40" t="s">
        <v>2939</v>
      </c>
      <c r="AD879" s="40"/>
      <c r="AE879" s="40" t="s">
        <v>2939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960</v>
      </c>
      <c r="C880" s="83">
        <v>1316</v>
      </c>
      <c r="D880" s="113" t="s">
        <v>954</v>
      </c>
      <c r="E880" s="83" t="s">
        <v>2929</v>
      </c>
      <c r="F880" s="83" t="s">
        <v>4027</v>
      </c>
      <c r="G880" s="138"/>
      <c r="H880" s="340" t="s">
        <v>5608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130</v>
      </c>
      <c r="U880" s="85" t="s">
        <v>2916</v>
      </c>
      <c r="V880" s="113" t="s">
        <v>2900</v>
      </c>
      <c r="W880" s="86">
        <v>105</v>
      </c>
      <c r="X880" s="83"/>
      <c r="Y880" s="83"/>
      <c r="Z880" s="83"/>
      <c r="AA880" s="83"/>
      <c r="AB880" s="83" t="s">
        <v>2939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965</v>
      </c>
      <c r="C881" s="29">
        <v>1301</v>
      </c>
      <c r="D881" s="27" t="s">
        <v>963</v>
      </c>
      <c r="E881" s="29" t="s">
        <v>2929</v>
      </c>
      <c r="F881" s="29" t="s">
        <v>4028</v>
      </c>
      <c r="G881" s="305"/>
      <c r="H881" s="145" t="s">
        <v>5607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2900</v>
      </c>
      <c r="W881" s="28">
        <v>108</v>
      </c>
      <c r="X881" s="29"/>
      <c r="Y881" s="29"/>
      <c r="Z881" s="29"/>
      <c r="AA881" s="29"/>
      <c r="AB881" s="29"/>
      <c r="AC881" s="29" t="s">
        <v>2939</v>
      </c>
      <c r="AD881" s="29"/>
      <c r="AE881" s="29" t="s">
        <v>2939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966</v>
      </c>
      <c r="C882" s="40">
        <v>1302</v>
      </c>
      <c r="D882" s="38" t="s">
        <v>963</v>
      </c>
      <c r="E882" s="40" t="s">
        <v>2929</v>
      </c>
      <c r="F882" s="40" t="s">
        <v>4029</v>
      </c>
      <c r="G882" s="41" t="s">
        <v>5604</v>
      </c>
      <c r="H882" s="150" t="s">
        <v>5606</v>
      </c>
      <c r="I882" s="41" t="s">
        <v>5609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575</v>
      </c>
      <c r="U882" s="2" t="s">
        <v>8</v>
      </c>
      <c r="V882" s="38" t="s">
        <v>2900</v>
      </c>
      <c r="W882" s="39">
        <v>110</v>
      </c>
      <c r="X882" s="40"/>
      <c r="Y882" s="40"/>
      <c r="Z882" s="40"/>
      <c r="AA882" s="40"/>
      <c r="AB882" s="40"/>
      <c r="AC882" s="40" t="s">
        <v>2939</v>
      </c>
      <c r="AD882" s="40"/>
      <c r="AE882" s="40" t="s">
        <v>2939</v>
      </c>
      <c r="AF882" s="40"/>
      <c r="AG882" s="40" t="s">
        <v>2939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967</v>
      </c>
      <c r="C883" s="40">
        <v>1304</v>
      </c>
      <c r="D883" s="38" t="s">
        <v>963</v>
      </c>
      <c r="E883" s="40" t="s">
        <v>2929</v>
      </c>
      <c r="F883" s="40" t="s">
        <v>4030</v>
      </c>
      <c r="G883" s="50"/>
      <c r="H883" s="150" t="s">
        <v>5607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2900</v>
      </c>
      <c r="W883" s="39">
        <v>108</v>
      </c>
      <c r="X883" s="40"/>
      <c r="Y883" s="40"/>
      <c r="Z883" s="40"/>
      <c r="AA883" s="40"/>
      <c r="AB883" s="40"/>
      <c r="AC883" s="40" t="s">
        <v>2939</v>
      </c>
      <c r="AD883" s="40"/>
      <c r="AE883" s="40" t="s">
        <v>2898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968</v>
      </c>
      <c r="C884" s="40">
        <v>1305</v>
      </c>
      <c r="D884" s="38" t="s">
        <v>963</v>
      </c>
      <c r="E884" s="40" t="s">
        <v>2929</v>
      </c>
      <c r="F884" s="40" t="s">
        <v>4031</v>
      </c>
      <c r="G884" s="50"/>
      <c r="H884" s="150" t="s">
        <v>5607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2900</v>
      </c>
      <c r="W884" s="39">
        <v>108</v>
      </c>
      <c r="X884" s="40"/>
      <c r="Y884" s="40"/>
      <c r="Z884" s="40"/>
      <c r="AA884" s="40"/>
      <c r="AB884" s="40"/>
      <c r="AC884" s="40" t="s">
        <v>2939</v>
      </c>
      <c r="AD884" s="40"/>
      <c r="AE884" s="40" t="s">
        <v>2898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969</v>
      </c>
      <c r="C885" s="40">
        <v>1248</v>
      </c>
      <c r="D885" s="38" t="s">
        <v>963</v>
      </c>
      <c r="E885" s="40" t="s">
        <v>2929</v>
      </c>
      <c r="F885" s="40" t="s">
        <v>4032</v>
      </c>
      <c r="G885" s="50"/>
      <c r="H885" s="150" t="s">
        <v>5606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2900</v>
      </c>
      <c r="W885" s="39">
        <v>106</v>
      </c>
      <c r="X885" s="40"/>
      <c r="Y885" s="106"/>
      <c r="Z885" s="40"/>
      <c r="AA885" s="40"/>
      <c r="AB885" s="40"/>
      <c r="AC885" s="40" t="s">
        <v>2898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970</v>
      </c>
      <c r="C886" s="83">
        <v>1251</v>
      </c>
      <c r="D886" s="113" t="s">
        <v>963</v>
      </c>
      <c r="E886" s="83" t="s">
        <v>2929</v>
      </c>
      <c r="F886" s="83" t="s">
        <v>4033</v>
      </c>
      <c r="G886" s="138"/>
      <c r="H886" s="340" t="s">
        <v>5606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2900</v>
      </c>
      <c r="W886" s="86">
        <v>106</v>
      </c>
      <c r="X886" s="88"/>
      <c r="Y886" s="137"/>
      <c r="Z886" s="83"/>
      <c r="AA886" s="83"/>
      <c r="AB886" s="83"/>
      <c r="AC886" s="83" t="s">
        <v>2898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972</v>
      </c>
      <c r="C887" s="19">
        <v>1303</v>
      </c>
      <c r="D887" s="17" t="s">
        <v>971</v>
      </c>
      <c r="E887" s="19" t="s">
        <v>2929</v>
      </c>
      <c r="F887" s="19" t="s">
        <v>4034</v>
      </c>
      <c r="G887" s="21" t="s">
        <v>5604</v>
      </c>
      <c r="H887" s="434" t="s">
        <v>5606</v>
      </c>
      <c r="I887" s="21" t="s">
        <v>5609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575</v>
      </c>
      <c r="U887" s="20" t="s">
        <v>8</v>
      </c>
      <c r="V887" s="17" t="s">
        <v>2900</v>
      </c>
      <c r="W887" s="222">
        <v>111</v>
      </c>
      <c r="X887" s="19"/>
      <c r="Y887" s="19"/>
      <c r="Z887" s="19"/>
      <c r="AA887" s="19"/>
      <c r="AB887" s="19"/>
      <c r="AC887" s="19" t="s">
        <v>2939</v>
      </c>
      <c r="AD887" s="19"/>
      <c r="AE887" s="19" t="s">
        <v>2939</v>
      </c>
      <c r="AF887" s="19"/>
      <c r="AG887" s="19"/>
      <c r="AH887" s="19" t="s">
        <v>2939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974</v>
      </c>
      <c r="C888" s="29">
        <v>1270</v>
      </c>
      <c r="D888" s="27" t="s">
        <v>973</v>
      </c>
      <c r="E888" s="29" t="s">
        <v>2929</v>
      </c>
      <c r="F888" s="29" t="s">
        <v>4035</v>
      </c>
      <c r="G888" s="31" t="s">
        <v>5604</v>
      </c>
      <c r="H888" s="145" t="s">
        <v>5608</v>
      </c>
      <c r="I888" s="31" t="s">
        <v>5609</v>
      </c>
      <c r="J888" s="33">
        <v>196964</v>
      </c>
      <c r="K888" s="33">
        <v>2663737</v>
      </c>
      <c r="L888" s="33" t="s">
        <v>975</v>
      </c>
      <c r="M888" s="33">
        <v>7.74</v>
      </c>
      <c r="N888" s="33">
        <v>182</v>
      </c>
      <c r="O888" s="33">
        <v>28.5</v>
      </c>
      <c r="P888" s="33" t="s">
        <v>287</v>
      </c>
      <c r="Q888" s="33">
        <v>39.9</v>
      </c>
      <c r="R888" s="33">
        <v>386</v>
      </c>
      <c r="S888" s="33">
        <v>36.200000000000003</v>
      </c>
      <c r="T888" s="141" t="s">
        <v>708</v>
      </c>
      <c r="U888" s="30" t="s">
        <v>56</v>
      </c>
      <c r="V888" s="27" t="s">
        <v>2900</v>
      </c>
      <c r="W888" s="28">
        <v>107</v>
      </c>
      <c r="X888" s="29"/>
      <c r="Y888" s="29"/>
      <c r="Z888" s="29"/>
      <c r="AA888" s="29"/>
      <c r="AB888" s="29" t="s">
        <v>2939</v>
      </c>
      <c r="AC888" s="29"/>
      <c r="AD888" s="29" t="s">
        <v>2943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978</v>
      </c>
      <c r="C889" s="40">
        <v>1269</v>
      </c>
      <c r="D889" s="38" t="s">
        <v>973</v>
      </c>
      <c r="E889" s="40" t="s">
        <v>2929</v>
      </c>
      <c r="F889" s="40" t="s">
        <v>4036</v>
      </c>
      <c r="G889" s="41" t="s">
        <v>5604</v>
      </c>
      <c r="H889" s="150" t="s">
        <v>5606</v>
      </c>
      <c r="I889" s="41" t="s">
        <v>5609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575</v>
      </c>
      <c r="U889" s="2" t="s">
        <v>8</v>
      </c>
      <c r="V889" s="38" t="s">
        <v>2900</v>
      </c>
      <c r="W889" s="39">
        <v>111</v>
      </c>
      <c r="X889" s="40"/>
      <c r="Y889" s="40"/>
      <c r="Z889" s="40"/>
      <c r="AA889" s="40"/>
      <c r="AB889" s="40" t="s">
        <v>2939</v>
      </c>
      <c r="AC889" s="40"/>
      <c r="AD889" s="40" t="s">
        <v>2898</v>
      </c>
      <c r="AE889" s="40"/>
      <c r="AF889" s="40"/>
      <c r="AG889" s="40"/>
      <c r="AH889" s="40" t="s">
        <v>2939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973</v>
      </c>
      <c r="E890" s="40" t="s">
        <v>2929</v>
      </c>
      <c r="F890" s="40" t="s">
        <v>4037</v>
      </c>
      <c r="G890" s="50"/>
      <c r="H890" s="150" t="s">
        <v>5606</v>
      </c>
      <c r="I890" s="50"/>
      <c r="J890" s="43">
        <v>196907</v>
      </c>
      <c r="K890" s="43">
        <v>2663599</v>
      </c>
      <c r="L890" s="43" t="s">
        <v>391</v>
      </c>
      <c r="M890" s="43">
        <v>5.27</v>
      </c>
      <c r="N890" s="43">
        <v>77.8</v>
      </c>
      <c r="O890" s="43">
        <v>22.9</v>
      </c>
      <c r="P890" s="43" t="s">
        <v>102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2900</v>
      </c>
      <c r="W890" s="39">
        <v>107</v>
      </c>
      <c r="X890" s="40"/>
      <c r="Y890" s="40"/>
      <c r="Z890" s="40"/>
      <c r="AA890" s="40"/>
      <c r="AB890" s="40" t="s">
        <v>2939</v>
      </c>
      <c r="AC890" s="40"/>
      <c r="AD890" s="40" t="s">
        <v>2898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973</v>
      </c>
      <c r="E891" s="40" t="s">
        <v>2929</v>
      </c>
      <c r="F891" s="40" t="s">
        <v>4038</v>
      </c>
      <c r="G891" s="50"/>
      <c r="H891" s="150" t="s">
        <v>5608</v>
      </c>
      <c r="I891" s="50"/>
      <c r="J891" s="43">
        <v>196907</v>
      </c>
      <c r="K891" s="43">
        <v>2663599</v>
      </c>
      <c r="L891" s="43" t="s">
        <v>391</v>
      </c>
      <c r="M891" s="43">
        <v>5.27</v>
      </c>
      <c r="N891" s="43">
        <v>77.8</v>
      </c>
      <c r="O891" s="43">
        <v>22.9</v>
      </c>
      <c r="P891" s="43" t="s">
        <v>102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2900</v>
      </c>
      <c r="W891" s="39">
        <v>107</v>
      </c>
      <c r="X891" s="40"/>
      <c r="Y891" s="40"/>
      <c r="Z891" s="40"/>
      <c r="AA891" s="40"/>
      <c r="AB891" s="40" t="s">
        <v>2939</v>
      </c>
      <c r="AC891" s="40"/>
      <c r="AD891" s="40" t="s">
        <v>2898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973</v>
      </c>
      <c r="E892" s="40" t="s">
        <v>2929</v>
      </c>
      <c r="F892" s="40" t="s">
        <v>4039</v>
      </c>
      <c r="G892" s="50"/>
      <c r="H892" s="150" t="s">
        <v>5608</v>
      </c>
      <c r="I892" s="50"/>
      <c r="J892" s="43">
        <v>196907</v>
      </c>
      <c r="K892" s="43">
        <v>2663599</v>
      </c>
      <c r="L892" s="43" t="s">
        <v>391</v>
      </c>
      <c r="M892" s="43">
        <v>5.27</v>
      </c>
      <c r="N892" s="43">
        <v>77.8</v>
      </c>
      <c r="O892" s="43">
        <v>22.9</v>
      </c>
      <c r="P892" s="43" t="s">
        <v>102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2900</v>
      </c>
      <c r="W892" s="39">
        <v>107</v>
      </c>
      <c r="X892" s="40"/>
      <c r="Y892" s="40"/>
      <c r="Z892" s="40"/>
      <c r="AA892" s="40"/>
      <c r="AB892" s="40" t="s">
        <v>2939</v>
      </c>
      <c r="AC892" s="40"/>
      <c r="AD892" s="40" t="s">
        <v>2898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973</v>
      </c>
      <c r="E893" s="83" t="s">
        <v>2929</v>
      </c>
      <c r="F893" s="83" t="s">
        <v>4040</v>
      </c>
      <c r="G893" s="138"/>
      <c r="H893" s="340" t="s">
        <v>5608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102</v>
      </c>
      <c r="Q893" s="88">
        <v>23.1</v>
      </c>
      <c r="R893" s="88">
        <v>203</v>
      </c>
      <c r="S893" s="88">
        <v>35.700000000000003</v>
      </c>
      <c r="T893" s="112"/>
      <c r="U893" s="85" t="e">
        <f>'[1]【農地現況主檔】 (代表點l同坵塊不採樣t_Master)'!K824</f>
        <v>#REF!</v>
      </c>
      <c r="V893" s="113" t="s">
        <v>2900</v>
      </c>
      <c r="W893" s="86">
        <v>107</v>
      </c>
      <c r="X893" s="83"/>
      <c r="Y893" s="83"/>
      <c r="Z893" s="83"/>
      <c r="AA893" s="83"/>
      <c r="AB893" s="83" t="s">
        <v>2939</v>
      </c>
      <c r="AC893" s="83"/>
      <c r="AD893" s="83" t="s">
        <v>2898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984</v>
      </c>
      <c r="C894" s="29">
        <v>622</v>
      </c>
      <c r="D894" s="27" t="s">
        <v>983</v>
      </c>
      <c r="E894" s="29" t="s">
        <v>2963</v>
      </c>
      <c r="F894" s="29" t="s">
        <v>4041</v>
      </c>
      <c r="G894" s="192"/>
      <c r="H894" s="145" t="s">
        <v>5606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236</v>
      </c>
      <c r="Q894" s="33">
        <v>27.7</v>
      </c>
      <c r="R894" s="33">
        <v>336</v>
      </c>
      <c r="S894" s="33">
        <v>73.2</v>
      </c>
      <c r="T894" s="30" t="s">
        <v>306</v>
      </c>
      <c r="U894" s="30" t="s">
        <v>306</v>
      </c>
      <c r="V894" s="27" t="s">
        <v>2900</v>
      </c>
      <c r="W894" s="28">
        <v>112</v>
      </c>
      <c r="X894" s="29"/>
      <c r="Y894" s="29"/>
      <c r="Z894" s="29"/>
      <c r="AA894" s="29" t="s">
        <v>2939</v>
      </c>
      <c r="AB894" s="29"/>
      <c r="AC894" s="29"/>
      <c r="AD894" s="29"/>
      <c r="AE894" s="29" t="s">
        <v>2939</v>
      </c>
      <c r="AF894" s="29"/>
      <c r="AG894" s="29"/>
      <c r="AH894" s="29"/>
      <c r="AI894" s="29" t="s">
        <v>2959</v>
      </c>
      <c r="AJ894" s="165"/>
      <c r="AK894" s="166"/>
      <c r="AL894" s="105" t="s">
        <v>2908</v>
      </c>
      <c r="AM894" s="164"/>
    </row>
    <row r="895" spans="1:39" x14ac:dyDescent="0.3">
      <c r="A895" s="15">
        <v>894</v>
      </c>
      <c r="B895" s="40" t="s">
        <v>988</v>
      </c>
      <c r="C895" s="40">
        <v>1466</v>
      </c>
      <c r="D895" s="38" t="s">
        <v>987</v>
      </c>
      <c r="E895" s="40" t="s">
        <v>3042</v>
      </c>
      <c r="F895" s="40" t="s">
        <v>4042</v>
      </c>
      <c r="G895" s="50"/>
      <c r="H895" s="150" t="s">
        <v>5606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575</v>
      </c>
      <c r="U895" s="2" t="s">
        <v>8</v>
      </c>
      <c r="V895" s="38" t="s">
        <v>2900</v>
      </c>
      <c r="W895" s="39">
        <v>112</v>
      </c>
      <c r="X895" s="40"/>
      <c r="Y895" s="40"/>
      <c r="Z895" s="40"/>
      <c r="AA895" s="40"/>
      <c r="AB895" s="40"/>
      <c r="AC895" s="40" t="s">
        <v>2939</v>
      </c>
      <c r="AD895" s="40"/>
      <c r="AE895" s="40" t="s">
        <v>2939</v>
      </c>
      <c r="AF895" s="40"/>
      <c r="AG895" s="40"/>
      <c r="AH895" s="40"/>
      <c r="AI895" s="40" t="s">
        <v>2961</v>
      </c>
      <c r="AJ895" s="168"/>
      <c r="AK895" s="169"/>
      <c r="AL895" s="54" t="s">
        <v>2908</v>
      </c>
      <c r="AM895" s="167"/>
    </row>
    <row r="896" spans="1:39" ht="14.4" thickBot="1" x14ac:dyDescent="0.35">
      <c r="A896" s="15">
        <v>895</v>
      </c>
      <c r="B896" s="83" t="s">
        <v>989</v>
      </c>
      <c r="C896" s="83">
        <v>2154</v>
      </c>
      <c r="D896" s="113" t="s">
        <v>987</v>
      </c>
      <c r="E896" s="83" t="s">
        <v>2915</v>
      </c>
      <c r="F896" s="83" t="s">
        <v>4043</v>
      </c>
      <c r="G896" s="138"/>
      <c r="H896" s="340" t="s">
        <v>5608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130</v>
      </c>
      <c r="U896" s="85" t="s">
        <v>2916</v>
      </c>
      <c r="V896" s="113" t="s">
        <v>2900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2908</v>
      </c>
      <c r="AM896" s="154"/>
    </row>
    <row r="897" spans="1:39" x14ac:dyDescent="0.3">
      <c r="A897" s="15">
        <v>896</v>
      </c>
      <c r="B897" s="29" t="s">
        <v>1001</v>
      </c>
      <c r="C897" s="29">
        <v>2149</v>
      </c>
      <c r="D897" s="27" t="s">
        <v>1000</v>
      </c>
      <c r="E897" s="29" t="s">
        <v>2915</v>
      </c>
      <c r="F897" s="29" t="s">
        <v>4044</v>
      </c>
      <c r="G897" s="31" t="s">
        <v>5604</v>
      </c>
      <c r="H897" s="145" t="s">
        <v>5606</v>
      </c>
      <c r="I897" s="31" t="s">
        <v>5609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306</v>
      </c>
      <c r="U897" s="30" t="s">
        <v>3</v>
      </c>
      <c r="V897" s="27" t="s">
        <v>2900</v>
      </c>
      <c r="W897" s="28">
        <v>109</v>
      </c>
      <c r="X897" s="29"/>
      <c r="Y897" s="102"/>
      <c r="Z897" s="29"/>
      <c r="AA897" s="29" t="s">
        <v>2939</v>
      </c>
      <c r="AB897" s="29"/>
      <c r="AC897" s="29"/>
      <c r="AD897" s="29"/>
      <c r="AE897" s="29"/>
      <c r="AF897" s="29" t="s">
        <v>2898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1003</v>
      </c>
      <c r="C898" s="40">
        <v>2316</v>
      </c>
      <c r="D898" s="38" t="s">
        <v>1000</v>
      </c>
      <c r="E898" s="40" t="s">
        <v>2915</v>
      </c>
      <c r="F898" s="40" t="s">
        <v>4045</v>
      </c>
      <c r="G898" s="41" t="s">
        <v>5604</v>
      </c>
      <c r="H898" s="150" t="s">
        <v>5606</v>
      </c>
      <c r="I898" s="41" t="s">
        <v>5609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331</v>
      </c>
      <c r="Q898" s="43">
        <v>29.4</v>
      </c>
      <c r="R898" s="43">
        <v>343</v>
      </c>
      <c r="S898" s="43">
        <v>109</v>
      </c>
      <c r="T898" s="2" t="s">
        <v>575</v>
      </c>
      <c r="U898" s="2" t="s">
        <v>8</v>
      </c>
      <c r="V898" s="38" t="s">
        <v>2900</v>
      </c>
      <c r="W898" s="39">
        <v>110</v>
      </c>
      <c r="X898" s="40"/>
      <c r="Y898" s="106"/>
      <c r="Z898" s="40" t="s">
        <v>2898</v>
      </c>
      <c r="AA898" s="40"/>
      <c r="AB898" s="40"/>
      <c r="AC898" s="40"/>
      <c r="AD898" s="40"/>
      <c r="AE898" s="40"/>
      <c r="AF898" s="40" t="s">
        <v>2939</v>
      </c>
      <c r="AG898" s="40" t="s">
        <v>2939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1005</v>
      </c>
      <c r="C899" s="83">
        <v>2361</v>
      </c>
      <c r="D899" s="113" t="s">
        <v>1000</v>
      </c>
      <c r="E899" s="83" t="s">
        <v>2915</v>
      </c>
      <c r="F899" s="83" t="s">
        <v>4046</v>
      </c>
      <c r="G899" s="47" t="s">
        <v>5604</v>
      </c>
      <c r="H899" s="340" t="s">
        <v>5606</v>
      </c>
      <c r="I899" s="47" t="s">
        <v>5609</v>
      </c>
      <c r="J899" s="88">
        <v>200020.042682</v>
      </c>
      <c r="K899" s="88">
        <v>2663715.8829700002</v>
      </c>
      <c r="L899" s="88" t="s">
        <v>40</v>
      </c>
      <c r="M899" s="89">
        <v>9</v>
      </c>
      <c r="N899" s="88">
        <v>82</v>
      </c>
      <c r="O899" s="88">
        <v>146</v>
      </c>
      <c r="P899" s="88" t="s">
        <v>41</v>
      </c>
      <c r="Q899" s="88">
        <v>38</v>
      </c>
      <c r="R899" s="88">
        <v>326</v>
      </c>
      <c r="S899" s="88">
        <v>162</v>
      </c>
      <c r="T899" s="85" t="s">
        <v>575</v>
      </c>
      <c r="U899" s="85" t="s">
        <v>8</v>
      </c>
      <c r="V899" s="113" t="s">
        <v>2900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2939</v>
      </c>
      <c r="AG899" s="83" t="s">
        <v>2939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1056</v>
      </c>
      <c r="C900" s="29">
        <v>769</v>
      </c>
      <c r="D900" s="27" t="s">
        <v>1055</v>
      </c>
      <c r="E900" s="29" t="s">
        <v>2929</v>
      </c>
      <c r="F900" s="29" t="s">
        <v>4047</v>
      </c>
      <c r="G900" s="31" t="s">
        <v>5604</v>
      </c>
      <c r="H900" s="145" t="s">
        <v>5606</v>
      </c>
      <c r="I900" s="31" t="s">
        <v>5609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575</v>
      </c>
      <c r="U900" s="30" t="s">
        <v>8</v>
      </c>
      <c r="V900" s="27" t="s">
        <v>3039</v>
      </c>
      <c r="W900" s="28">
        <v>109</v>
      </c>
      <c r="X900" s="29"/>
      <c r="Y900" s="29"/>
      <c r="Z900" s="29"/>
      <c r="AA900" s="29"/>
      <c r="AB900" s="29"/>
      <c r="AC900" s="29" t="s">
        <v>2939</v>
      </c>
      <c r="AD900" s="29"/>
      <c r="AE900" s="29"/>
      <c r="AF900" s="29" t="s">
        <v>2939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1059</v>
      </c>
      <c r="C901" s="40">
        <v>786</v>
      </c>
      <c r="D901" s="38" t="s">
        <v>1055</v>
      </c>
      <c r="E901" s="40" t="s">
        <v>2929</v>
      </c>
      <c r="F901" s="40" t="s">
        <v>4048</v>
      </c>
      <c r="G901" s="41" t="s">
        <v>5604</v>
      </c>
      <c r="H901" s="150" t="s">
        <v>5607</v>
      </c>
      <c r="I901" s="41" t="s">
        <v>5609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306</v>
      </c>
      <c r="U901" s="2" t="s">
        <v>3</v>
      </c>
      <c r="V901" s="38" t="s">
        <v>3039</v>
      </c>
      <c r="W901" s="39">
        <v>111</v>
      </c>
      <c r="X901" s="40"/>
      <c r="Y901" s="40"/>
      <c r="Z901" s="40"/>
      <c r="AA901" s="40"/>
      <c r="AB901" s="40"/>
      <c r="AC901" s="40" t="s">
        <v>2939</v>
      </c>
      <c r="AD901" s="40"/>
      <c r="AE901" s="40"/>
      <c r="AF901" s="40" t="s">
        <v>2939</v>
      </c>
      <c r="AG901" s="40"/>
      <c r="AH901" s="40" t="s">
        <v>2898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1060</v>
      </c>
      <c r="C902" s="40">
        <v>854</v>
      </c>
      <c r="D902" s="38" t="s">
        <v>1055</v>
      </c>
      <c r="E902" s="40" t="s">
        <v>2929</v>
      </c>
      <c r="F902" s="40" t="s">
        <v>4049</v>
      </c>
      <c r="G902" s="41" t="s">
        <v>5604</v>
      </c>
      <c r="H902" s="150" t="s">
        <v>5606</v>
      </c>
      <c r="I902" s="41" t="s">
        <v>5609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575</v>
      </c>
      <c r="U902" s="2" t="s">
        <v>8</v>
      </c>
      <c r="V902" s="38" t="s">
        <v>3039</v>
      </c>
      <c r="W902" s="39">
        <v>110</v>
      </c>
      <c r="X902" s="40"/>
      <c r="Y902" s="40"/>
      <c r="Z902" s="40"/>
      <c r="AA902" s="40"/>
      <c r="AB902" s="40"/>
      <c r="AC902" s="40" t="s">
        <v>2939</v>
      </c>
      <c r="AD902" s="40"/>
      <c r="AE902" s="40"/>
      <c r="AF902" s="40" t="s">
        <v>2939</v>
      </c>
      <c r="AG902" s="40" t="s">
        <v>2939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1061</v>
      </c>
      <c r="C903" s="40">
        <v>855</v>
      </c>
      <c r="D903" s="38" t="s">
        <v>1055</v>
      </c>
      <c r="E903" s="40" t="s">
        <v>2929</v>
      </c>
      <c r="F903" s="40" t="s">
        <v>4050</v>
      </c>
      <c r="G903" s="41" t="s">
        <v>5604</v>
      </c>
      <c r="H903" s="150" t="s">
        <v>5606</v>
      </c>
      <c r="I903" s="41" t="s">
        <v>5609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575</v>
      </c>
      <c r="U903" s="2" t="s">
        <v>8</v>
      </c>
      <c r="V903" s="38" t="s">
        <v>3039</v>
      </c>
      <c r="W903" s="39">
        <v>110</v>
      </c>
      <c r="X903" s="40"/>
      <c r="Y903" s="40"/>
      <c r="Z903" s="40"/>
      <c r="AA903" s="40"/>
      <c r="AB903" s="40"/>
      <c r="AC903" s="40" t="s">
        <v>2939</v>
      </c>
      <c r="AD903" s="40"/>
      <c r="AE903" s="40"/>
      <c r="AF903" s="40" t="s">
        <v>2939</v>
      </c>
      <c r="AG903" s="40" t="s">
        <v>2939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1062</v>
      </c>
      <c r="C904" s="83">
        <v>867</v>
      </c>
      <c r="D904" s="113" t="s">
        <v>1055</v>
      </c>
      <c r="E904" s="83" t="s">
        <v>2929</v>
      </c>
      <c r="F904" s="83" t="s">
        <v>4051</v>
      </c>
      <c r="G904" s="47" t="s">
        <v>5604</v>
      </c>
      <c r="H904" s="340" t="s">
        <v>5608</v>
      </c>
      <c r="I904" s="47" t="s">
        <v>5609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708</v>
      </c>
      <c r="U904" s="85" t="s">
        <v>56</v>
      </c>
      <c r="V904" s="113" t="s">
        <v>3039</v>
      </c>
      <c r="W904" s="86">
        <v>109</v>
      </c>
      <c r="X904" s="83"/>
      <c r="Y904" s="83"/>
      <c r="Z904" s="83"/>
      <c r="AA904" s="83"/>
      <c r="AB904" s="83"/>
      <c r="AC904" s="83" t="s">
        <v>2939</v>
      </c>
      <c r="AD904" s="83"/>
      <c r="AE904" s="83"/>
      <c r="AF904" s="83" t="s">
        <v>2943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1064</v>
      </c>
      <c r="C905" s="29">
        <v>757</v>
      </c>
      <c r="D905" s="27" t="s">
        <v>1063</v>
      </c>
      <c r="E905" s="29" t="s">
        <v>2929</v>
      </c>
      <c r="F905" s="29" t="s">
        <v>4052</v>
      </c>
      <c r="G905" s="31" t="s">
        <v>5604</v>
      </c>
      <c r="H905" s="145" t="s">
        <v>5607</v>
      </c>
      <c r="I905" s="31" t="s">
        <v>5609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306</v>
      </c>
      <c r="U905" s="30" t="s">
        <v>3</v>
      </c>
      <c r="V905" s="27" t="s">
        <v>3039</v>
      </c>
      <c r="W905" s="28">
        <v>109</v>
      </c>
      <c r="X905" s="29"/>
      <c r="Y905" s="29"/>
      <c r="Z905" s="29"/>
      <c r="AA905" s="29"/>
      <c r="AB905" s="29"/>
      <c r="AC905" s="29" t="s">
        <v>2939</v>
      </c>
      <c r="AD905" s="29"/>
      <c r="AE905" s="29"/>
      <c r="AF905" s="29" t="s">
        <v>2898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1065</v>
      </c>
      <c r="C906" s="40">
        <v>758</v>
      </c>
      <c r="D906" s="38" t="s">
        <v>1063</v>
      </c>
      <c r="E906" s="40" t="s">
        <v>2929</v>
      </c>
      <c r="F906" s="40" t="s">
        <v>4053</v>
      </c>
      <c r="G906" s="50"/>
      <c r="H906" s="150" t="s">
        <v>5607</v>
      </c>
      <c r="I906" s="50"/>
      <c r="J906" s="43">
        <v>195545</v>
      </c>
      <c r="K906" s="43">
        <v>2664001</v>
      </c>
      <c r="L906" s="43" t="s">
        <v>1066</v>
      </c>
      <c r="M906" s="44">
        <v>6.82</v>
      </c>
      <c r="N906" s="43">
        <v>190</v>
      </c>
      <c r="O906" s="43">
        <v>83.4</v>
      </c>
      <c r="P906" s="43" t="s">
        <v>66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3039</v>
      </c>
      <c r="W906" s="39">
        <v>106</v>
      </c>
      <c r="X906" s="40"/>
      <c r="Y906" s="40"/>
      <c r="Z906" s="40"/>
      <c r="AA906" s="40"/>
      <c r="AB906" s="40"/>
      <c r="AC906" s="40" t="s">
        <v>2939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1067</v>
      </c>
      <c r="C907" s="40">
        <v>759</v>
      </c>
      <c r="D907" s="38" t="s">
        <v>1063</v>
      </c>
      <c r="E907" s="40" t="s">
        <v>2929</v>
      </c>
      <c r="F907" s="40" t="s">
        <v>4054</v>
      </c>
      <c r="G907" s="41" t="s">
        <v>5604</v>
      </c>
      <c r="H907" s="150" t="s">
        <v>5606</v>
      </c>
      <c r="I907" s="41" t="s">
        <v>5609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306</v>
      </c>
      <c r="U907" s="2" t="s">
        <v>3</v>
      </c>
      <c r="V907" s="38" t="s">
        <v>3039</v>
      </c>
      <c r="W907" s="39">
        <v>109</v>
      </c>
      <c r="X907" s="40"/>
      <c r="Y907" s="40"/>
      <c r="Z907" s="40"/>
      <c r="AA907" s="40"/>
      <c r="AB907" s="40"/>
      <c r="AC907" s="40" t="s">
        <v>2939</v>
      </c>
      <c r="AD907" s="40"/>
      <c r="AE907" s="40"/>
      <c r="AF907" s="40" t="s">
        <v>2898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1068</v>
      </c>
      <c r="C908" s="40">
        <v>761</v>
      </c>
      <c r="D908" s="38" t="s">
        <v>1063</v>
      </c>
      <c r="E908" s="40" t="s">
        <v>2929</v>
      </c>
      <c r="F908" s="40" t="s">
        <v>4055</v>
      </c>
      <c r="G908" s="50"/>
      <c r="H908" s="150" t="s">
        <v>5607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3039</v>
      </c>
      <c r="W908" s="39">
        <v>106</v>
      </c>
      <c r="X908" s="40"/>
      <c r="Y908" s="40"/>
      <c r="Z908" s="40"/>
      <c r="AA908" s="40"/>
      <c r="AB908" s="40"/>
      <c r="AC908" s="40" t="s">
        <v>2939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1069</v>
      </c>
      <c r="C909" s="40">
        <v>762</v>
      </c>
      <c r="D909" s="38" t="s">
        <v>1063</v>
      </c>
      <c r="E909" s="40" t="s">
        <v>2929</v>
      </c>
      <c r="F909" s="40" t="s">
        <v>4056</v>
      </c>
      <c r="G909" s="41" t="s">
        <v>5604</v>
      </c>
      <c r="H909" s="150" t="s">
        <v>5606</v>
      </c>
      <c r="I909" s="41" t="s">
        <v>5609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575</v>
      </c>
      <c r="U909" s="2" t="s">
        <v>8</v>
      </c>
      <c r="V909" s="38" t="s">
        <v>3039</v>
      </c>
      <c r="W909" s="39">
        <v>109</v>
      </c>
      <c r="X909" s="40"/>
      <c r="Y909" s="40"/>
      <c r="Z909" s="40"/>
      <c r="AA909" s="40"/>
      <c r="AB909" s="40"/>
      <c r="AC909" s="40" t="s">
        <v>2939</v>
      </c>
      <c r="AD909" s="40"/>
      <c r="AE909" s="40"/>
      <c r="AF909" s="40" t="s">
        <v>2939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1070</v>
      </c>
      <c r="C910" s="83">
        <v>768</v>
      </c>
      <c r="D910" s="113" t="s">
        <v>1063</v>
      </c>
      <c r="E910" s="83" t="s">
        <v>2929</v>
      </c>
      <c r="F910" s="83" t="s">
        <v>4057</v>
      </c>
      <c r="G910" s="47" t="s">
        <v>5604</v>
      </c>
      <c r="H910" s="340" t="s">
        <v>5606</v>
      </c>
      <c r="I910" s="47" t="s">
        <v>5609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306</v>
      </c>
      <c r="U910" s="85" t="s">
        <v>3</v>
      </c>
      <c r="V910" s="113" t="s">
        <v>3039</v>
      </c>
      <c r="W910" s="86">
        <v>109</v>
      </c>
      <c r="X910" s="83"/>
      <c r="Y910" s="83"/>
      <c r="Z910" s="83"/>
      <c r="AA910" s="83"/>
      <c r="AB910" s="83"/>
      <c r="AC910" s="83" t="s">
        <v>2939</v>
      </c>
      <c r="AD910" s="83"/>
      <c r="AE910" s="83"/>
      <c r="AF910" s="83" t="s">
        <v>2898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1072</v>
      </c>
      <c r="C911" s="29">
        <v>760</v>
      </c>
      <c r="D911" s="27" t="s">
        <v>1071</v>
      </c>
      <c r="E911" s="29" t="s">
        <v>2929</v>
      </c>
      <c r="F911" s="29" t="s">
        <v>4058</v>
      </c>
      <c r="G911" s="31" t="s">
        <v>5604</v>
      </c>
      <c r="H911" s="145" t="s">
        <v>5606</v>
      </c>
      <c r="I911" s="31" t="s">
        <v>5609</v>
      </c>
      <c r="J911" s="33">
        <v>195580</v>
      </c>
      <c r="K911" s="33">
        <v>2663964</v>
      </c>
      <c r="L911" s="33" t="s">
        <v>1073</v>
      </c>
      <c r="M911" s="34">
        <v>10.1</v>
      </c>
      <c r="N911" s="33">
        <v>123</v>
      </c>
      <c r="O911" s="33">
        <v>84.3</v>
      </c>
      <c r="P911" s="33" t="s">
        <v>233</v>
      </c>
      <c r="Q911" s="33">
        <v>33.799999999999997</v>
      </c>
      <c r="R911" s="33">
        <v>248</v>
      </c>
      <c r="S911" s="33">
        <v>109</v>
      </c>
      <c r="T911" s="30" t="s">
        <v>306</v>
      </c>
      <c r="U911" s="30" t="s">
        <v>3</v>
      </c>
      <c r="V911" s="27" t="s">
        <v>3039</v>
      </c>
      <c r="W911" s="28">
        <v>109</v>
      </c>
      <c r="X911" s="29"/>
      <c r="Y911" s="29"/>
      <c r="Z911" s="29"/>
      <c r="AA911" s="29"/>
      <c r="AB911" s="29"/>
      <c r="AC911" s="29" t="s">
        <v>2939</v>
      </c>
      <c r="AD911" s="29"/>
      <c r="AE911" s="29"/>
      <c r="AF911" s="29" t="s">
        <v>2898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1074</v>
      </c>
      <c r="C912" s="40">
        <v>883</v>
      </c>
      <c r="D912" s="38" t="s">
        <v>1071</v>
      </c>
      <c r="E912" s="40" t="s">
        <v>2929</v>
      </c>
      <c r="F912" s="40" t="s">
        <v>4059</v>
      </c>
      <c r="G912" s="41" t="s">
        <v>5604</v>
      </c>
      <c r="H912" s="150" t="s">
        <v>5606</v>
      </c>
      <c r="I912" s="41" t="s">
        <v>5609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575</v>
      </c>
      <c r="U912" s="2" t="s">
        <v>8</v>
      </c>
      <c r="V912" s="38" t="s">
        <v>3039</v>
      </c>
      <c r="W912" s="39">
        <v>109</v>
      </c>
      <c r="X912" s="40"/>
      <c r="Y912" s="40"/>
      <c r="Z912" s="40"/>
      <c r="AA912" s="40"/>
      <c r="AB912" s="40"/>
      <c r="AC912" s="40" t="s">
        <v>2939</v>
      </c>
      <c r="AD912" s="40"/>
      <c r="AE912" s="40"/>
      <c r="AF912" s="40" t="s">
        <v>2939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1075</v>
      </c>
      <c r="C913" s="40">
        <v>1262</v>
      </c>
      <c r="D913" s="38" t="s">
        <v>1071</v>
      </c>
      <c r="E913" s="40" t="s">
        <v>2929</v>
      </c>
      <c r="F913" s="40" t="s">
        <v>4060</v>
      </c>
      <c r="G913" s="50"/>
      <c r="H913" s="150" t="s">
        <v>5607</v>
      </c>
      <c r="I913" s="50"/>
      <c r="J913" s="43">
        <v>195728</v>
      </c>
      <c r="K913" s="43">
        <v>2663964</v>
      </c>
      <c r="L913" s="43" t="s">
        <v>1076</v>
      </c>
      <c r="M913" s="43">
        <v>9.27</v>
      </c>
      <c r="N913" s="43">
        <v>195</v>
      </c>
      <c r="O913" s="43">
        <v>90.4</v>
      </c>
      <c r="P913" s="43" t="s">
        <v>287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3039</v>
      </c>
      <c r="W913" s="39">
        <v>106</v>
      </c>
      <c r="X913" s="40"/>
      <c r="Y913" s="40"/>
      <c r="Z913" s="40"/>
      <c r="AA913" s="40"/>
      <c r="AB913" s="40" t="s">
        <v>2939</v>
      </c>
      <c r="AC913" s="40"/>
      <c r="AD913" s="40" t="s">
        <v>2939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1077</v>
      </c>
      <c r="C914" s="40">
        <v>1324</v>
      </c>
      <c r="D914" s="38" t="s">
        <v>1071</v>
      </c>
      <c r="E914" s="40" t="s">
        <v>2929</v>
      </c>
      <c r="F914" s="40" t="s">
        <v>4061</v>
      </c>
      <c r="G914" s="41" t="s">
        <v>5604</v>
      </c>
      <c r="H914" s="150" t="s">
        <v>5606</v>
      </c>
      <c r="I914" s="41" t="s">
        <v>5609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3039</v>
      </c>
      <c r="W914" s="39">
        <v>109</v>
      </c>
      <c r="X914" s="40"/>
      <c r="Y914" s="40"/>
      <c r="Z914" s="40"/>
      <c r="AA914" s="40"/>
      <c r="AB914" s="40"/>
      <c r="AC914" s="40" t="s">
        <v>2939</v>
      </c>
      <c r="AD914" s="40"/>
      <c r="AE914" s="40" t="s">
        <v>2898</v>
      </c>
      <c r="AF914" s="40" t="s">
        <v>2898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1078</v>
      </c>
      <c r="C915" s="40">
        <v>1240</v>
      </c>
      <c r="D915" s="38" t="s">
        <v>1071</v>
      </c>
      <c r="E915" s="40" t="s">
        <v>2929</v>
      </c>
      <c r="F915" s="40" t="s">
        <v>4062</v>
      </c>
      <c r="G915" s="50"/>
      <c r="H915" s="150" t="s">
        <v>5607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3039</v>
      </c>
      <c r="W915" s="39">
        <v>108</v>
      </c>
      <c r="X915" s="40"/>
      <c r="Y915" s="106"/>
      <c r="Z915" s="40" t="s">
        <v>2939</v>
      </c>
      <c r="AA915" s="40"/>
      <c r="AB915" s="40"/>
      <c r="AC915" s="40"/>
      <c r="AD915" s="40"/>
      <c r="AE915" s="40" t="s">
        <v>2898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1079</v>
      </c>
      <c r="C916" s="40">
        <v>1322</v>
      </c>
      <c r="D916" s="38" t="s">
        <v>1071</v>
      </c>
      <c r="E916" s="40" t="s">
        <v>2929</v>
      </c>
      <c r="F916" s="40" t="s">
        <v>4063</v>
      </c>
      <c r="G916" s="50"/>
      <c r="H916" s="150" t="s">
        <v>5607</v>
      </c>
      <c r="I916" s="50"/>
      <c r="J916" s="43">
        <v>195741</v>
      </c>
      <c r="K916" s="43">
        <v>2663817</v>
      </c>
      <c r="L916" s="43" t="s">
        <v>831</v>
      </c>
      <c r="M916" s="44">
        <v>13.9</v>
      </c>
      <c r="N916" s="43">
        <v>178</v>
      </c>
      <c r="O916" s="43">
        <v>114</v>
      </c>
      <c r="P916" s="43" t="s">
        <v>1080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3039</v>
      </c>
      <c r="W916" s="39">
        <v>108</v>
      </c>
      <c r="X916" s="40"/>
      <c r="Y916" s="40"/>
      <c r="Z916" s="40"/>
      <c r="AA916" s="40"/>
      <c r="AB916" s="40" t="s">
        <v>2943</v>
      </c>
      <c r="AC916" s="40" t="s">
        <v>2939</v>
      </c>
      <c r="AD916" s="40"/>
      <c r="AE916" s="40" t="s">
        <v>2898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1081</v>
      </c>
      <c r="C917" s="40">
        <v>1323</v>
      </c>
      <c r="D917" s="38" t="s">
        <v>1071</v>
      </c>
      <c r="E917" s="40" t="s">
        <v>2929</v>
      </c>
      <c r="F917" s="40" t="s">
        <v>4064</v>
      </c>
      <c r="G917" s="50"/>
      <c r="H917" s="150" t="s">
        <v>5608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3039</v>
      </c>
      <c r="W917" s="39">
        <v>108</v>
      </c>
      <c r="X917" s="40"/>
      <c r="Y917" s="40"/>
      <c r="Z917" s="40"/>
      <c r="AA917" s="40"/>
      <c r="AB917" s="40" t="s">
        <v>2943</v>
      </c>
      <c r="AC917" s="40" t="s">
        <v>2939</v>
      </c>
      <c r="AD917" s="40"/>
      <c r="AE917" s="40" t="s">
        <v>2898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1071</v>
      </c>
      <c r="E918" s="83" t="s">
        <v>2929</v>
      </c>
      <c r="F918" s="83" t="s">
        <v>4065</v>
      </c>
      <c r="G918" s="47" t="s">
        <v>5604</v>
      </c>
      <c r="H918" s="340" t="s">
        <v>5608</v>
      </c>
      <c r="I918" s="47" t="s">
        <v>5609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102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3039</v>
      </c>
      <c r="W918" s="86">
        <v>109</v>
      </c>
      <c r="X918" s="83"/>
      <c r="Y918" s="83"/>
      <c r="Z918" s="83"/>
      <c r="AA918" s="83"/>
      <c r="AB918" s="83"/>
      <c r="AC918" s="83" t="s">
        <v>2939</v>
      </c>
      <c r="AD918" s="83"/>
      <c r="AE918" s="83" t="s">
        <v>2898</v>
      </c>
      <c r="AF918" s="83" t="s">
        <v>2898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1297</v>
      </c>
      <c r="C919" s="29">
        <v>1258</v>
      </c>
      <c r="D919" s="27" t="s">
        <v>1082</v>
      </c>
      <c r="E919" s="29" t="s">
        <v>2929</v>
      </c>
      <c r="F919" s="29" t="s">
        <v>4066</v>
      </c>
      <c r="G919" s="31" t="s">
        <v>5604</v>
      </c>
      <c r="H919" s="145" t="s">
        <v>5606</v>
      </c>
      <c r="I919" s="31" t="s">
        <v>5609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575</v>
      </c>
      <c r="U919" s="30" t="s">
        <v>8</v>
      </c>
      <c r="V919" s="27" t="s">
        <v>3039</v>
      </c>
      <c r="W919" s="28">
        <v>109</v>
      </c>
      <c r="X919" s="29"/>
      <c r="Y919" s="102"/>
      <c r="Z919" s="29"/>
      <c r="AA919" s="29" t="s">
        <v>2939</v>
      </c>
      <c r="AB919" s="29"/>
      <c r="AC919" s="29"/>
      <c r="AD919" s="29"/>
      <c r="AE919" s="29"/>
      <c r="AF919" s="29" t="s">
        <v>2939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2092</v>
      </c>
      <c r="C920" s="58">
        <v>1246</v>
      </c>
      <c r="D920" s="56" t="s">
        <v>1296</v>
      </c>
      <c r="E920" s="58" t="s">
        <v>2929</v>
      </c>
      <c r="F920" s="58" t="s">
        <v>4067</v>
      </c>
      <c r="G920" s="127" t="s">
        <v>5604</v>
      </c>
      <c r="H920" s="226" t="s">
        <v>5606</v>
      </c>
      <c r="I920" s="127" t="s">
        <v>5609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575</v>
      </c>
      <c r="U920" s="59" t="s">
        <v>8</v>
      </c>
      <c r="V920" s="56" t="s">
        <v>3039</v>
      </c>
      <c r="W920" s="57">
        <v>109</v>
      </c>
      <c r="X920" s="58"/>
      <c r="Y920" s="109"/>
      <c r="Z920" s="58"/>
      <c r="AA920" s="58"/>
      <c r="AB920" s="58" t="s">
        <v>2898</v>
      </c>
      <c r="AC920" s="58"/>
      <c r="AD920" s="58"/>
      <c r="AE920" s="58"/>
      <c r="AF920" s="58" t="s">
        <v>2939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1088</v>
      </c>
      <c r="C921" s="75">
        <v>1259</v>
      </c>
      <c r="D921" s="67" t="s">
        <v>1087</v>
      </c>
      <c r="E921" s="75" t="s">
        <v>2929</v>
      </c>
      <c r="F921" s="75" t="s">
        <v>4068</v>
      </c>
      <c r="G921" s="178"/>
      <c r="H921" s="414" t="s">
        <v>5606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3039</v>
      </c>
      <c r="W921" s="70">
        <v>104</v>
      </c>
      <c r="X921" s="75"/>
      <c r="Y921" s="215"/>
      <c r="Z921" s="75"/>
      <c r="AA921" s="75" t="s">
        <v>2939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2908</v>
      </c>
      <c r="AM921" s="250"/>
    </row>
    <row r="922" spans="1:39" x14ac:dyDescent="0.3">
      <c r="A922" s="15">
        <v>921</v>
      </c>
      <c r="B922" s="40" t="s">
        <v>1089</v>
      </c>
      <c r="C922" s="40">
        <v>1306</v>
      </c>
      <c r="D922" s="38" t="s">
        <v>1087</v>
      </c>
      <c r="E922" s="40" t="s">
        <v>2929</v>
      </c>
      <c r="F922" s="40" t="s">
        <v>4069</v>
      </c>
      <c r="G922" s="41" t="s">
        <v>5604</v>
      </c>
      <c r="H922" s="150" t="s">
        <v>5606</v>
      </c>
      <c r="I922" s="41" t="s">
        <v>5609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575</v>
      </c>
      <c r="U922" s="2" t="s">
        <v>8</v>
      </c>
      <c r="V922" s="38" t="s">
        <v>3039</v>
      </c>
      <c r="W922" s="39">
        <v>110</v>
      </c>
      <c r="X922" s="40"/>
      <c r="Y922" s="40"/>
      <c r="Z922" s="40"/>
      <c r="AA922" s="40"/>
      <c r="AB922" s="40"/>
      <c r="AC922" s="40" t="s">
        <v>2939</v>
      </c>
      <c r="AD922" s="40"/>
      <c r="AE922" s="40" t="s">
        <v>2939</v>
      </c>
      <c r="AF922" s="40"/>
      <c r="AG922" s="40" t="s">
        <v>2939</v>
      </c>
      <c r="AH922" s="40"/>
      <c r="AI922" s="40"/>
      <c r="AJ922" s="168"/>
      <c r="AK922" s="169"/>
      <c r="AL922" s="54" t="s">
        <v>2908</v>
      </c>
      <c r="AM922" s="167"/>
    </row>
    <row r="923" spans="1:39" ht="14.4" thickBot="1" x14ac:dyDescent="0.35">
      <c r="A923" s="15">
        <v>922</v>
      </c>
      <c r="B923" s="83" t="s">
        <v>1091</v>
      </c>
      <c r="C923" s="83">
        <v>1239</v>
      </c>
      <c r="D923" s="113" t="s">
        <v>1087</v>
      </c>
      <c r="E923" s="83" t="s">
        <v>2929</v>
      </c>
      <c r="F923" s="83" t="s">
        <v>4070</v>
      </c>
      <c r="G923" s="138"/>
      <c r="H923" s="340" t="s">
        <v>5606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3039</v>
      </c>
      <c r="W923" s="86">
        <v>102</v>
      </c>
      <c r="X923" s="83" t="s">
        <v>2939</v>
      </c>
      <c r="Y923" s="83" t="s">
        <v>2939</v>
      </c>
      <c r="Z923" s="83"/>
      <c r="AA923" s="83"/>
      <c r="AB923" s="83"/>
      <c r="AC923" s="83"/>
      <c r="AD923" s="83"/>
      <c r="AE923" s="83" t="s">
        <v>2898</v>
      </c>
      <c r="AF923" s="83"/>
      <c r="AG923" s="83"/>
      <c r="AH923" s="83"/>
      <c r="AI923" s="83"/>
      <c r="AJ923" s="170"/>
      <c r="AK923" s="171"/>
      <c r="AL923" s="157" t="s">
        <v>2908</v>
      </c>
      <c r="AM923" s="154"/>
    </row>
    <row r="924" spans="1:39" ht="14.4" thickBot="1" x14ac:dyDescent="0.35">
      <c r="A924" s="15">
        <v>923</v>
      </c>
      <c r="B924" s="19" t="s">
        <v>1094</v>
      </c>
      <c r="C924" s="19">
        <v>1220</v>
      </c>
      <c r="D924" s="17" t="s">
        <v>1092</v>
      </c>
      <c r="E924" s="19" t="s">
        <v>2929</v>
      </c>
      <c r="F924" s="19" t="s">
        <v>4071</v>
      </c>
      <c r="G924" s="21" t="s">
        <v>5604</v>
      </c>
      <c r="H924" s="434" t="s">
        <v>5606</v>
      </c>
      <c r="I924" s="21" t="s">
        <v>5609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575</v>
      </c>
      <c r="U924" s="20" t="s">
        <v>8</v>
      </c>
      <c r="V924" s="17" t="s">
        <v>3039</v>
      </c>
      <c r="W924" s="222">
        <v>111</v>
      </c>
      <c r="X924" s="19"/>
      <c r="Y924" s="130"/>
      <c r="Z924" s="19"/>
      <c r="AA924" s="19" t="s">
        <v>2939</v>
      </c>
      <c r="AB924" s="19"/>
      <c r="AC924" s="19"/>
      <c r="AD924" s="19"/>
      <c r="AE924" s="19"/>
      <c r="AF924" s="19"/>
      <c r="AG924" s="19"/>
      <c r="AH924" s="19" t="s">
        <v>2939</v>
      </c>
      <c r="AI924" s="19"/>
      <c r="AJ924" s="306"/>
      <c r="AK924" s="307"/>
      <c r="AL924" s="257" t="s">
        <v>2908</v>
      </c>
      <c r="AM924" s="289"/>
    </row>
    <row r="925" spans="1:39" x14ac:dyDescent="0.3">
      <c r="A925" s="15">
        <v>924</v>
      </c>
      <c r="B925" s="29" t="s">
        <v>1112</v>
      </c>
      <c r="C925" s="29">
        <v>646</v>
      </c>
      <c r="D925" s="27" t="s">
        <v>1110</v>
      </c>
      <c r="E925" s="29" t="s">
        <v>2963</v>
      </c>
      <c r="F925" s="29" t="s">
        <v>4072</v>
      </c>
      <c r="G925" s="192"/>
      <c r="H925" s="145" t="s">
        <v>5606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575</v>
      </c>
      <c r="U925" s="30" t="s">
        <v>8</v>
      </c>
      <c r="V925" s="27" t="s">
        <v>3039</v>
      </c>
      <c r="W925" s="28">
        <v>112</v>
      </c>
      <c r="X925" s="29"/>
      <c r="Y925" s="102"/>
      <c r="Z925" s="29"/>
      <c r="AA925" s="29" t="s">
        <v>2939</v>
      </c>
      <c r="AB925" s="29"/>
      <c r="AC925" s="29"/>
      <c r="AD925" s="29" t="s">
        <v>2898</v>
      </c>
      <c r="AE925" s="29"/>
      <c r="AF925" s="29"/>
      <c r="AG925" s="29"/>
      <c r="AH925" s="29"/>
      <c r="AI925" s="29" t="s">
        <v>2939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1113</v>
      </c>
      <c r="C926" s="40">
        <v>647</v>
      </c>
      <c r="D926" s="38" t="s">
        <v>1110</v>
      </c>
      <c r="E926" s="40" t="s">
        <v>2963</v>
      </c>
      <c r="F926" s="40" t="s">
        <v>4073</v>
      </c>
      <c r="G926" s="41" t="s">
        <v>5604</v>
      </c>
      <c r="H926" s="150" t="s">
        <v>5606</v>
      </c>
      <c r="I926" s="41" t="s">
        <v>5609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306</v>
      </c>
      <c r="U926" s="2" t="s">
        <v>3</v>
      </c>
      <c r="V926" s="38" t="s">
        <v>3039</v>
      </c>
      <c r="W926" s="39">
        <v>109</v>
      </c>
      <c r="X926" s="40"/>
      <c r="Y926" s="106"/>
      <c r="Z926" s="40"/>
      <c r="AA926" s="40"/>
      <c r="AB926" s="40"/>
      <c r="AC926" s="40" t="s">
        <v>2898</v>
      </c>
      <c r="AD926" s="40"/>
      <c r="AE926" s="40"/>
      <c r="AF926" s="40" t="s">
        <v>2898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1115</v>
      </c>
      <c r="C927" s="58">
        <v>2453</v>
      </c>
      <c r="D927" s="56" t="s">
        <v>1110</v>
      </c>
      <c r="E927" s="58" t="s">
        <v>2963</v>
      </c>
      <c r="F927" s="58" t="s">
        <v>4074</v>
      </c>
      <c r="G927" s="127"/>
      <c r="H927" s="226" t="s">
        <v>5608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306</v>
      </c>
      <c r="U927" s="59" t="str">
        <f>U926</f>
        <v>正常</v>
      </c>
      <c r="V927" s="56" t="s">
        <v>3039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2898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1124</v>
      </c>
      <c r="C928" s="75">
        <v>623</v>
      </c>
      <c r="D928" s="67" t="s">
        <v>1123</v>
      </c>
      <c r="E928" s="75" t="s">
        <v>2963</v>
      </c>
      <c r="F928" s="75" t="s">
        <v>4075</v>
      </c>
      <c r="G928" s="178"/>
      <c r="H928" s="414" t="s">
        <v>5607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122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3039</v>
      </c>
      <c r="W928" s="70">
        <v>108</v>
      </c>
      <c r="X928" s="75"/>
      <c r="Y928" s="75"/>
      <c r="Z928" s="75"/>
      <c r="AA928" s="75" t="s">
        <v>2939</v>
      </c>
      <c r="AB928" s="75"/>
      <c r="AC928" s="75"/>
      <c r="AD928" s="75"/>
      <c r="AE928" s="75" t="s">
        <v>2939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1125</v>
      </c>
      <c r="C929" s="40">
        <v>625</v>
      </c>
      <c r="D929" s="38" t="s">
        <v>1123</v>
      </c>
      <c r="E929" s="40" t="s">
        <v>2963</v>
      </c>
      <c r="F929" s="40" t="s">
        <v>4076</v>
      </c>
      <c r="G929" s="41" t="s">
        <v>5604</v>
      </c>
      <c r="H929" s="150" t="s">
        <v>5606</v>
      </c>
      <c r="I929" s="41" t="s">
        <v>5609</v>
      </c>
      <c r="J929" s="43">
        <v>198708</v>
      </c>
      <c r="K929" s="43">
        <v>2663969</v>
      </c>
      <c r="L929" s="43" t="s">
        <v>1126</v>
      </c>
      <c r="M929" s="43">
        <v>12.7</v>
      </c>
      <c r="N929" s="43">
        <v>154</v>
      </c>
      <c r="O929" s="43">
        <v>61.5</v>
      </c>
      <c r="P929" s="43" t="s">
        <v>214</v>
      </c>
      <c r="Q929" s="43">
        <v>46.2</v>
      </c>
      <c r="R929" s="43">
        <v>470</v>
      </c>
      <c r="S929" s="43">
        <v>86.7</v>
      </c>
      <c r="T929" s="2" t="s">
        <v>575</v>
      </c>
      <c r="U929" s="2" t="s">
        <v>8</v>
      </c>
      <c r="V929" s="38" t="s">
        <v>3039</v>
      </c>
      <c r="W929" s="39">
        <v>109</v>
      </c>
      <c r="X929" s="40"/>
      <c r="Y929" s="40"/>
      <c r="Z929" s="40"/>
      <c r="AA929" s="40" t="s">
        <v>2939</v>
      </c>
      <c r="AB929" s="40"/>
      <c r="AC929" s="40"/>
      <c r="AD929" s="40"/>
      <c r="AE929" s="40"/>
      <c r="AF929" s="40" t="s">
        <v>2939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1127</v>
      </c>
      <c r="C930" s="40">
        <v>626</v>
      </c>
      <c r="D930" s="38" t="s">
        <v>1123</v>
      </c>
      <c r="E930" s="40" t="s">
        <v>2963</v>
      </c>
      <c r="F930" s="40" t="s">
        <v>4077</v>
      </c>
      <c r="G930" s="50"/>
      <c r="H930" s="150" t="s">
        <v>5607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77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3039</v>
      </c>
      <c r="W930" s="39">
        <v>108</v>
      </c>
      <c r="X930" s="40"/>
      <c r="Y930" s="40"/>
      <c r="Z930" s="40"/>
      <c r="AA930" s="40" t="s">
        <v>2939</v>
      </c>
      <c r="AB930" s="40"/>
      <c r="AC930" s="40"/>
      <c r="AD930" s="40"/>
      <c r="AE930" s="40" t="s">
        <v>2939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1128</v>
      </c>
      <c r="C931" s="40">
        <v>628</v>
      </c>
      <c r="D931" s="38" t="s">
        <v>1123</v>
      </c>
      <c r="E931" s="40" t="s">
        <v>2963</v>
      </c>
      <c r="F931" s="40" t="s">
        <v>4078</v>
      </c>
      <c r="G931" s="50"/>
      <c r="H931" s="150" t="s">
        <v>5607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233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3039</v>
      </c>
      <c r="W931" s="39">
        <v>104</v>
      </c>
      <c r="X931" s="40"/>
      <c r="Y931" s="40"/>
      <c r="Z931" s="40"/>
      <c r="AA931" s="40" t="s">
        <v>2939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1129</v>
      </c>
      <c r="C932" s="40">
        <v>633</v>
      </c>
      <c r="D932" s="38" t="s">
        <v>1123</v>
      </c>
      <c r="E932" s="40" t="s">
        <v>2963</v>
      </c>
      <c r="F932" s="40" t="s">
        <v>4079</v>
      </c>
      <c r="G932" s="50"/>
      <c r="H932" s="150" t="s">
        <v>5607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3039</v>
      </c>
      <c r="W932" s="39">
        <v>108</v>
      </c>
      <c r="X932" s="40"/>
      <c r="Y932" s="40"/>
      <c r="Z932" s="40"/>
      <c r="AA932" s="40" t="s">
        <v>2939</v>
      </c>
      <c r="AB932" s="40"/>
      <c r="AC932" s="40"/>
      <c r="AD932" s="40"/>
      <c r="AE932" s="40" t="s">
        <v>2898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1130</v>
      </c>
      <c r="C933" s="40">
        <v>634</v>
      </c>
      <c r="D933" s="38" t="s">
        <v>1123</v>
      </c>
      <c r="E933" s="40" t="s">
        <v>2963</v>
      </c>
      <c r="F933" s="40" t="s">
        <v>4080</v>
      </c>
      <c r="G933" s="41" t="s">
        <v>5604</v>
      </c>
      <c r="H933" s="150" t="s">
        <v>5606</v>
      </c>
      <c r="I933" s="41" t="s">
        <v>5609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575</v>
      </c>
      <c r="U933" s="2" t="s">
        <v>8</v>
      </c>
      <c r="V933" s="38" t="s">
        <v>3039</v>
      </c>
      <c r="W933" s="39">
        <v>109</v>
      </c>
      <c r="X933" s="40"/>
      <c r="Y933" s="40"/>
      <c r="Z933" s="40"/>
      <c r="AA933" s="40" t="s">
        <v>2939</v>
      </c>
      <c r="AB933" s="40"/>
      <c r="AC933" s="40"/>
      <c r="AD933" s="40"/>
      <c r="AE933" s="40"/>
      <c r="AF933" s="40" t="s">
        <v>2939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1131</v>
      </c>
      <c r="C934" s="40">
        <v>635</v>
      </c>
      <c r="D934" s="38" t="s">
        <v>1123</v>
      </c>
      <c r="E934" s="40" t="s">
        <v>2963</v>
      </c>
      <c r="F934" s="40" t="s">
        <v>4081</v>
      </c>
      <c r="G934" s="50"/>
      <c r="H934" s="150" t="s">
        <v>5607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3039</v>
      </c>
      <c r="W934" s="39">
        <v>108</v>
      </c>
      <c r="X934" s="40"/>
      <c r="Y934" s="40"/>
      <c r="Z934" s="40"/>
      <c r="AA934" s="40" t="s">
        <v>2939</v>
      </c>
      <c r="AB934" s="40"/>
      <c r="AC934" s="40"/>
      <c r="AD934" s="40"/>
      <c r="AE934" s="40" t="s">
        <v>2939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1132</v>
      </c>
      <c r="C935" s="40">
        <v>636</v>
      </c>
      <c r="D935" s="38" t="s">
        <v>1123</v>
      </c>
      <c r="E935" s="40" t="s">
        <v>2963</v>
      </c>
      <c r="F935" s="40" t="s">
        <v>4082</v>
      </c>
      <c r="G935" s="50"/>
      <c r="H935" s="150" t="s">
        <v>5606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754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3039</v>
      </c>
      <c r="W935" s="39">
        <v>108</v>
      </c>
      <c r="X935" s="40"/>
      <c r="Y935" s="40"/>
      <c r="Z935" s="40"/>
      <c r="AA935" s="40" t="s">
        <v>2939</v>
      </c>
      <c r="AB935" s="40"/>
      <c r="AC935" s="40"/>
      <c r="AD935" s="40"/>
      <c r="AE935" s="40" t="s">
        <v>2939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1133</v>
      </c>
      <c r="C936" s="40">
        <v>637</v>
      </c>
      <c r="D936" s="38" t="s">
        <v>1123</v>
      </c>
      <c r="E936" s="40" t="s">
        <v>2963</v>
      </c>
      <c r="F936" s="40" t="s">
        <v>4083</v>
      </c>
      <c r="G936" s="50"/>
      <c r="H936" s="150" t="s">
        <v>5607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3039</v>
      </c>
      <c r="W936" s="39">
        <v>108</v>
      </c>
      <c r="X936" s="40"/>
      <c r="Y936" s="40"/>
      <c r="Z936" s="40"/>
      <c r="AA936" s="40" t="s">
        <v>2939</v>
      </c>
      <c r="AB936" s="40"/>
      <c r="AC936" s="40"/>
      <c r="AD936" s="40"/>
      <c r="AE936" s="40" t="s">
        <v>2939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1134</v>
      </c>
      <c r="C937" s="40">
        <v>638</v>
      </c>
      <c r="D937" s="38" t="s">
        <v>1123</v>
      </c>
      <c r="E937" s="40" t="s">
        <v>2963</v>
      </c>
      <c r="F937" s="40" t="s">
        <v>4084</v>
      </c>
      <c r="G937" s="50"/>
      <c r="H937" s="150" t="s">
        <v>5607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3039</v>
      </c>
      <c r="W937" s="39">
        <v>108</v>
      </c>
      <c r="X937" s="40"/>
      <c r="Y937" s="40"/>
      <c r="Z937" s="40"/>
      <c r="AA937" s="40" t="s">
        <v>2939</v>
      </c>
      <c r="AB937" s="40"/>
      <c r="AC937" s="40"/>
      <c r="AD937" s="40"/>
      <c r="AE937" s="40" t="s">
        <v>2939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1135</v>
      </c>
      <c r="C938" s="40">
        <v>639</v>
      </c>
      <c r="D938" s="38" t="s">
        <v>1123</v>
      </c>
      <c r="E938" s="40" t="s">
        <v>2963</v>
      </c>
      <c r="F938" s="40" t="s">
        <v>4085</v>
      </c>
      <c r="G938" s="50"/>
      <c r="H938" s="150" t="s">
        <v>5607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287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3039</v>
      </c>
      <c r="W938" s="39">
        <v>108</v>
      </c>
      <c r="X938" s="40"/>
      <c r="Y938" s="40"/>
      <c r="Z938" s="40"/>
      <c r="AA938" s="40" t="s">
        <v>2939</v>
      </c>
      <c r="AB938" s="40"/>
      <c r="AC938" s="40"/>
      <c r="AD938" s="40"/>
      <c r="AE938" s="40" t="s">
        <v>2898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1136</v>
      </c>
      <c r="C939" s="40">
        <v>2391</v>
      </c>
      <c r="D939" s="38" t="s">
        <v>1123</v>
      </c>
      <c r="E939" s="40" t="s">
        <v>2963</v>
      </c>
      <c r="F939" s="40" t="s">
        <v>4086</v>
      </c>
      <c r="G939" s="38"/>
      <c r="H939" s="150" t="s">
        <v>5608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3039</v>
      </c>
      <c r="W939" s="39">
        <v>104</v>
      </c>
      <c r="X939" s="38"/>
      <c r="Y939" s="38"/>
      <c r="Z939" s="40"/>
      <c r="AA939" s="40" t="s">
        <v>2939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1137</v>
      </c>
      <c r="C940" s="40">
        <v>624</v>
      </c>
      <c r="D940" s="38" t="s">
        <v>1123</v>
      </c>
      <c r="E940" s="40" t="s">
        <v>2963</v>
      </c>
      <c r="F940" s="40" t="s">
        <v>4087</v>
      </c>
      <c r="G940" s="50"/>
      <c r="H940" s="150" t="s">
        <v>5608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3039</v>
      </c>
      <c r="W940" s="39">
        <v>108</v>
      </c>
      <c r="X940" s="40"/>
      <c r="Y940" s="40"/>
      <c r="Z940" s="40"/>
      <c r="AA940" s="40" t="s">
        <v>2939</v>
      </c>
      <c r="AB940" s="40"/>
      <c r="AC940" s="40"/>
      <c r="AD940" s="40"/>
      <c r="AE940" s="40" t="s">
        <v>2939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1138</v>
      </c>
      <c r="C941" s="40">
        <v>627</v>
      </c>
      <c r="D941" s="38" t="s">
        <v>1123</v>
      </c>
      <c r="E941" s="40" t="s">
        <v>2963</v>
      </c>
      <c r="F941" s="40" t="s">
        <v>4088</v>
      </c>
      <c r="G941" s="50"/>
      <c r="H941" s="150" t="s">
        <v>5608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3039</v>
      </c>
      <c r="W941" s="39">
        <v>108</v>
      </c>
      <c r="X941" s="40"/>
      <c r="Y941" s="40"/>
      <c r="Z941" s="40"/>
      <c r="AA941" s="40" t="s">
        <v>2939</v>
      </c>
      <c r="AB941" s="40"/>
      <c r="AC941" s="40"/>
      <c r="AD941" s="40"/>
      <c r="AE941" s="40" t="s">
        <v>2898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1139</v>
      </c>
      <c r="C942" s="40">
        <v>629</v>
      </c>
      <c r="D942" s="38" t="s">
        <v>1123</v>
      </c>
      <c r="E942" s="40" t="s">
        <v>2963</v>
      </c>
      <c r="F942" s="40" t="s">
        <v>4089</v>
      </c>
      <c r="G942" s="50"/>
      <c r="H942" s="150" t="s">
        <v>5608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3039</v>
      </c>
      <c r="W942" s="39">
        <v>104</v>
      </c>
      <c r="X942" s="40"/>
      <c r="Y942" s="40"/>
      <c r="Z942" s="40"/>
      <c r="AA942" s="40" t="s">
        <v>2939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1140</v>
      </c>
      <c r="C943" s="40">
        <v>630</v>
      </c>
      <c r="D943" s="38" t="s">
        <v>1123</v>
      </c>
      <c r="E943" s="40" t="s">
        <v>2963</v>
      </c>
      <c r="F943" s="40" t="s">
        <v>4090</v>
      </c>
      <c r="G943" s="50"/>
      <c r="H943" s="150" t="s">
        <v>5608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3039</v>
      </c>
      <c r="W943" s="39">
        <v>104</v>
      </c>
      <c r="X943" s="40"/>
      <c r="Y943" s="40"/>
      <c r="Z943" s="40"/>
      <c r="AA943" s="40" t="s">
        <v>2939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1141</v>
      </c>
      <c r="C944" s="40">
        <v>631</v>
      </c>
      <c r="D944" s="38" t="s">
        <v>1123</v>
      </c>
      <c r="E944" s="40" t="s">
        <v>2963</v>
      </c>
      <c r="F944" s="40" t="s">
        <v>4091</v>
      </c>
      <c r="G944" s="50"/>
      <c r="H944" s="150" t="s">
        <v>5608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3039</v>
      </c>
      <c r="W944" s="39">
        <v>104</v>
      </c>
      <c r="X944" s="40"/>
      <c r="Y944" s="40"/>
      <c r="Z944" s="40"/>
      <c r="AA944" s="40" t="s">
        <v>2939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1142</v>
      </c>
      <c r="C945" s="83">
        <v>632</v>
      </c>
      <c r="D945" s="113" t="s">
        <v>1123</v>
      </c>
      <c r="E945" s="83" t="s">
        <v>2963</v>
      </c>
      <c r="F945" s="83" t="s">
        <v>4092</v>
      </c>
      <c r="G945" s="138"/>
      <c r="H945" s="340" t="s">
        <v>5608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3039</v>
      </c>
      <c r="W945" s="86">
        <v>104</v>
      </c>
      <c r="X945" s="83"/>
      <c r="Y945" s="83"/>
      <c r="Z945" s="83"/>
      <c r="AA945" s="83" t="s">
        <v>2939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1159</v>
      </c>
      <c r="C946" s="29">
        <v>289</v>
      </c>
      <c r="D946" s="27" t="s">
        <v>1158</v>
      </c>
      <c r="E946" s="29" t="s">
        <v>2963</v>
      </c>
      <c r="F946" s="29" t="s">
        <v>4093</v>
      </c>
      <c r="G946" s="31" t="s">
        <v>5604</v>
      </c>
      <c r="H946" s="145" t="s">
        <v>5608</v>
      </c>
      <c r="I946" s="31" t="s">
        <v>5609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575</v>
      </c>
      <c r="U946" s="30" t="str">
        <f>U950</f>
        <v>監測</v>
      </c>
      <c r="V946" s="27" t="s">
        <v>3039</v>
      </c>
      <c r="W946" s="28">
        <v>109</v>
      </c>
      <c r="X946" s="29"/>
      <c r="Y946" s="102"/>
      <c r="Z946" s="29"/>
      <c r="AA946" s="29"/>
      <c r="AB946" s="29"/>
      <c r="AC946" s="29" t="s">
        <v>2939</v>
      </c>
      <c r="AD946" s="29"/>
      <c r="AE946" s="29"/>
      <c r="AF946" s="29" t="s">
        <v>2939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1160</v>
      </c>
      <c r="C947" s="40">
        <v>329</v>
      </c>
      <c r="D947" s="38" t="s">
        <v>1158</v>
      </c>
      <c r="E947" s="40" t="s">
        <v>2963</v>
      </c>
      <c r="F947" s="40" t="s">
        <v>4094</v>
      </c>
      <c r="G947" s="50"/>
      <c r="H947" s="150" t="s">
        <v>5606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3039</v>
      </c>
      <c r="W947" s="39">
        <v>106</v>
      </c>
      <c r="X947" s="40"/>
      <c r="Y947" s="40"/>
      <c r="Z947" s="40" t="s">
        <v>2939</v>
      </c>
      <c r="AA947" s="40"/>
      <c r="AB947" s="40"/>
      <c r="AC947" s="40" t="s">
        <v>2939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1161</v>
      </c>
      <c r="C948" s="40">
        <v>330</v>
      </c>
      <c r="D948" s="38" t="s">
        <v>1158</v>
      </c>
      <c r="E948" s="40" t="s">
        <v>2963</v>
      </c>
      <c r="F948" s="40" t="s">
        <v>4095</v>
      </c>
      <c r="G948" s="50"/>
      <c r="H948" s="150" t="s">
        <v>5606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3039</v>
      </c>
      <c r="W948" s="39">
        <v>107</v>
      </c>
      <c r="X948" s="40"/>
      <c r="Y948" s="40"/>
      <c r="Z948" s="40" t="s">
        <v>2939</v>
      </c>
      <c r="AA948" s="40"/>
      <c r="AB948" s="40"/>
      <c r="AC948" s="40"/>
      <c r="AD948" s="40" t="s">
        <v>2939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1162</v>
      </c>
      <c r="C949" s="40">
        <v>331</v>
      </c>
      <c r="D949" s="38" t="s">
        <v>1158</v>
      </c>
      <c r="E949" s="40" t="s">
        <v>2963</v>
      </c>
      <c r="F949" s="40" t="s">
        <v>4096</v>
      </c>
      <c r="G949" s="50"/>
      <c r="H949" s="150" t="s">
        <v>5607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3039</v>
      </c>
      <c r="W949" s="39">
        <v>107</v>
      </c>
      <c r="X949" s="40"/>
      <c r="Y949" s="40"/>
      <c r="Z949" s="40" t="s">
        <v>2939</v>
      </c>
      <c r="AA949" s="40"/>
      <c r="AB949" s="40"/>
      <c r="AC949" s="40"/>
      <c r="AD949" s="40" t="s">
        <v>2939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1163</v>
      </c>
      <c r="C950" s="83">
        <v>368</v>
      </c>
      <c r="D950" s="113" t="s">
        <v>1158</v>
      </c>
      <c r="E950" s="83" t="s">
        <v>2963</v>
      </c>
      <c r="F950" s="83" t="s">
        <v>4097</v>
      </c>
      <c r="G950" s="138"/>
      <c r="H950" s="340" t="s">
        <v>5606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575</v>
      </c>
      <c r="U950" s="2" t="s">
        <v>8</v>
      </c>
      <c r="V950" s="113" t="s">
        <v>3039</v>
      </c>
      <c r="W950" s="86">
        <v>109</v>
      </c>
      <c r="X950" s="83"/>
      <c r="Y950" s="83"/>
      <c r="Z950" s="83" t="s">
        <v>2898</v>
      </c>
      <c r="AA950" s="83"/>
      <c r="AB950" s="83"/>
      <c r="AC950" s="83" t="s">
        <v>2939</v>
      </c>
      <c r="AD950" s="83"/>
      <c r="AE950" s="83"/>
      <c r="AF950" s="29" t="s">
        <v>2939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1169</v>
      </c>
      <c r="C951" s="29">
        <v>326</v>
      </c>
      <c r="D951" s="27" t="s">
        <v>1168</v>
      </c>
      <c r="E951" s="29" t="s">
        <v>2963</v>
      </c>
      <c r="F951" s="29" t="s">
        <v>4098</v>
      </c>
      <c r="G951" s="31" t="s">
        <v>5604</v>
      </c>
      <c r="H951" s="145" t="s">
        <v>5606</v>
      </c>
      <c r="I951" s="31" t="s">
        <v>5609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575</v>
      </c>
      <c r="U951" s="30" t="s">
        <v>8</v>
      </c>
      <c r="V951" s="27" t="s">
        <v>3039</v>
      </c>
      <c r="W951" s="28">
        <v>111</v>
      </c>
      <c r="X951" s="29"/>
      <c r="Y951" s="29"/>
      <c r="Z951" s="29" t="s">
        <v>2939</v>
      </c>
      <c r="AA951" s="29"/>
      <c r="AB951" s="29"/>
      <c r="AC951" s="29" t="s">
        <v>2939</v>
      </c>
      <c r="AD951" s="29"/>
      <c r="AE951" s="29"/>
      <c r="AF951" s="29"/>
      <c r="AG951" s="29"/>
      <c r="AH951" s="29" t="s">
        <v>2939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1170</v>
      </c>
      <c r="C952" s="40">
        <v>327</v>
      </c>
      <c r="D952" s="38" t="s">
        <v>1168</v>
      </c>
      <c r="E952" s="40" t="s">
        <v>2963</v>
      </c>
      <c r="F952" s="40" t="s">
        <v>4099</v>
      </c>
      <c r="G952" s="50"/>
      <c r="H952" s="150" t="s">
        <v>5606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3039</v>
      </c>
      <c r="W952" s="39">
        <v>106</v>
      </c>
      <c r="X952" s="40"/>
      <c r="Y952" s="40"/>
      <c r="Z952" s="40" t="s">
        <v>2939</v>
      </c>
      <c r="AA952" s="40"/>
      <c r="AB952" s="40"/>
      <c r="AC952" s="40" t="s">
        <v>2939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1175</v>
      </c>
      <c r="C953" s="40">
        <v>269</v>
      </c>
      <c r="D953" s="38" t="s">
        <v>1168</v>
      </c>
      <c r="E953" s="40" t="s">
        <v>2963</v>
      </c>
      <c r="F953" s="40" t="s">
        <v>4100</v>
      </c>
      <c r="G953" s="41" t="s">
        <v>5604</v>
      </c>
      <c r="H953" s="150" t="s">
        <v>5608</v>
      </c>
      <c r="I953" s="41" t="s">
        <v>5609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708</v>
      </c>
      <c r="U953" s="2" t="s">
        <v>56</v>
      </c>
      <c r="V953" s="38" t="s">
        <v>3039</v>
      </c>
      <c r="W953" s="39">
        <v>109</v>
      </c>
      <c r="X953" s="40"/>
      <c r="Y953" s="106"/>
      <c r="Z953" s="40"/>
      <c r="AA953" s="40"/>
      <c r="AB953" s="40"/>
      <c r="AC953" s="40" t="s">
        <v>2939</v>
      </c>
      <c r="AD953" s="40"/>
      <c r="AE953" s="40"/>
      <c r="AF953" s="40" t="s">
        <v>2943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1344</v>
      </c>
      <c r="C954" s="40">
        <v>290</v>
      </c>
      <c r="D954" s="38" t="s">
        <v>1342</v>
      </c>
      <c r="E954" s="40" t="s">
        <v>2963</v>
      </c>
      <c r="F954" s="40" t="s">
        <v>4101</v>
      </c>
      <c r="G954" s="50"/>
      <c r="H954" s="150" t="s">
        <v>5606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3039</v>
      </c>
      <c r="W954" s="39">
        <v>107</v>
      </c>
      <c r="X954" s="40"/>
      <c r="Y954" s="106"/>
      <c r="Z954" s="40"/>
      <c r="AA954" s="40" t="s">
        <v>2939</v>
      </c>
      <c r="AB954" s="40"/>
      <c r="AC954" s="40"/>
      <c r="AD954" s="40" t="s">
        <v>2939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1345</v>
      </c>
      <c r="C955" s="40">
        <v>291</v>
      </c>
      <c r="D955" s="38" t="s">
        <v>1342</v>
      </c>
      <c r="E955" s="40" t="s">
        <v>2963</v>
      </c>
      <c r="F955" s="40" t="s">
        <v>4102</v>
      </c>
      <c r="G955" s="50"/>
      <c r="H955" s="150" t="s">
        <v>5607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3039</v>
      </c>
      <c r="W955" s="39">
        <v>107</v>
      </c>
      <c r="X955" s="40"/>
      <c r="Y955" s="106"/>
      <c r="Z955" s="40"/>
      <c r="AA955" s="40" t="s">
        <v>2939</v>
      </c>
      <c r="AB955" s="40"/>
      <c r="AC955" s="40"/>
      <c r="AD955" s="40" t="s">
        <v>2939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1346</v>
      </c>
      <c r="C956" s="40">
        <v>292</v>
      </c>
      <c r="D956" s="38" t="s">
        <v>1342</v>
      </c>
      <c r="E956" s="40" t="s">
        <v>2963</v>
      </c>
      <c r="F956" s="40" t="s">
        <v>4103</v>
      </c>
      <c r="G956" s="50"/>
      <c r="H956" s="150" t="s">
        <v>5607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3039</v>
      </c>
      <c r="W956" s="39">
        <v>107</v>
      </c>
      <c r="X956" s="40"/>
      <c r="Y956" s="106"/>
      <c r="Z956" s="40"/>
      <c r="AA956" s="40" t="s">
        <v>2939</v>
      </c>
      <c r="AB956" s="40"/>
      <c r="AC956" s="40"/>
      <c r="AD956" s="40" t="s">
        <v>2939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1343</v>
      </c>
      <c r="C957" s="40">
        <v>288</v>
      </c>
      <c r="D957" s="38" t="s">
        <v>1342</v>
      </c>
      <c r="E957" s="40" t="s">
        <v>2963</v>
      </c>
      <c r="F957" s="40" t="s">
        <v>4104</v>
      </c>
      <c r="G957" s="50"/>
      <c r="H957" s="150" t="s">
        <v>5607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3039</v>
      </c>
      <c r="W957" s="39">
        <v>107</v>
      </c>
      <c r="X957" s="40"/>
      <c r="Y957" s="106"/>
      <c r="Z957" s="40"/>
      <c r="AA957" s="40" t="s">
        <v>2939</v>
      </c>
      <c r="AB957" s="40"/>
      <c r="AC957" s="40"/>
      <c r="AD957" s="40" t="s">
        <v>2939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1350</v>
      </c>
      <c r="C958" s="58">
        <v>261</v>
      </c>
      <c r="D958" s="56" t="s">
        <v>1342</v>
      </c>
      <c r="E958" s="58" t="s">
        <v>2963</v>
      </c>
      <c r="F958" s="58" t="s">
        <v>4105</v>
      </c>
      <c r="G958" s="127"/>
      <c r="H958" s="226" t="s">
        <v>5607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3039</v>
      </c>
      <c r="W958" s="57">
        <v>106</v>
      </c>
      <c r="X958" s="58"/>
      <c r="Y958" s="109"/>
      <c r="Z958" s="58"/>
      <c r="AA958" s="58"/>
      <c r="AB958" s="58"/>
      <c r="AC958" s="58" t="s">
        <v>2939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1223</v>
      </c>
      <c r="C959" s="75">
        <v>2344</v>
      </c>
      <c r="D959" s="67" t="s">
        <v>1222</v>
      </c>
      <c r="E959" s="75" t="s">
        <v>2915</v>
      </c>
      <c r="F959" s="75" t="s">
        <v>4106</v>
      </c>
      <c r="G959" s="76" t="s">
        <v>5604</v>
      </c>
      <c r="H959" s="414" t="s">
        <v>5606</v>
      </c>
      <c r="I959" s="76" t="s">
        <v>5609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306</v>
      </c>
      <c r="U959" s="69" t="s">
        <v>3</v>
      </c>
      <c r="V959" s="67" t="s">
        <v>3039</v>
      </c>
      <c r="W959" s="70">
        <v>111</v>
      </c>
      <c r="X959" s="215"/>
      <c r="Y959" s="215"/>
      <c r="Z959" s="75" t="s">
        <v>2898</v>
      </c>
      <c r="AA959" s="75"/>
      <c r="AB959" s="75"/>
      <c r="AC959" s="75"/>
      <c r="AD959" s="75"/>
      <c r="AE959" s="75"/>
      <c r="AF959" s="75" t="s">
        <v>2939</v>
      </c>
      <c r="AG959" s="75"/>
      <c r="AH959" s="75" t="s">
        <v>2898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1225</v>
      </c>
      <c r="C960" s="40">
        <v>2345</v>
      </c>
      <c r="D960" s="40" t="s">
        <v>1224</v>
      </c>
      <c r="E960" s="40" t="s">
        <v>2915</v>
      </c>
      <c r="F960" s="40" t="s">
        <v>4107</v>
      </c>
      <c r="G960" s="50"/>
      <c r="H960" s="150" t="s">
        <v>5607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3039</v>
      </c>
      <c r="W960" s="39">
        <v>108</v>
      </c>
      <c r="X960" s="40"/>
      <c r="Y960" s="106"/>
      <c r="Z960" s="40" t="s">
        <v>2939</v>
      </c>
      <c r="AA960" s="40"/>
      <c r="AB960" s="40"/>
      <c r="AC960" s="40"/>
      <c r="AD960" s="40"/>
      <c r="AE960" s="40" t="s">
        <v>2939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1226</v>
      </c>
      <c r="C961" s="40">
        <v>2346</v>
      </c>
      <c r="D961" s="38" t="s">
        <v>1222</v>
      </c>
      <c r="E961" s="40" t="s">
        <v>2915</v>
      </c>
      <c r="F961" s="40" t="s">
        <v>4108</v>
      </c>
      <c r="G961" s="50"/>
      <c r="H961" s="150" t="s">
        <v>5607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3039</v>
      </c>
      <c r="W961" s="39">
        <v>108</v>
      </c>
      <c r="X961" s="40"/>
      <c r="Y961" s="106"/>
      <c r="Z961" s="40" t="s">
        <v>2939</v>
      </c>
      <c r="AA961" s="40"/>
      <c r="AB961" s="40"/>
      <c r="AC961" s="40"/>
      <c r="AD961" s="40"/>
      <c r="AE961" s="40" t="s">
        <v>2939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1227</v>
      </c>
      <c r="C962" s="40">
        <v>2347</v>
      </c>
      <c r="D962" s="38" t="s">
        <v>1222</v>
      </c>
      <c r="E962" s="40" t="s">
        <v>2915</v>
      </c>
      <c r="F962" s="40" t="s">
        <v>4109</v>
      </c>
      <c r="G962" s="41" t="s">
        <v>5604</v>
      </c>
      <c r="H962" s="150" t="s">
        <v>5606</v>
      </c>
      <c r="I962" s="41" t="s">
        <v>5609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575</v>
      </c>
      <c r="U962" s="2" t="s">
        <v>8</v>
      </c>
      <c r="V962" s="38" t="s">
        <v>3039</v>
      </c>
      <c r="W962" s="39">
        <v>111</v>
      </c>
      <c r="X962" s="40"/>
      <c r="Y962" s="40"/>
      <c r="Z962" s="40" t="s">
        <v>2939</v>
      </c>
      <c r="AA962" s="40"/>
      <c r="AB962" s="40"/>
      <c r="AC962" s="40"/>
      <c r="AD962" s="40" t="s">
        <v>2939</v>
      </c>
      <c r="AE962" s="40"/>
      <c r="AF962" s="40" t="s">
        <v>2939</v>
      </c>
      <c r="AG962" s="40"/>
      <c r="AH962" s="40" t="s">
        <v>2939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1229</v>
      </c>
      <c r="C963" s="40">
        <v>2297</v>
      </c>
      <c r="D963" s="38" t="s">
        <v>1222</v>
      </c>
      <c r="E963" s="40" t="s">
        <v>2915</v>
      </c>
      <c r="F963" s="40" t="s">
        <v>4110</v>
      </c>
      <c r="G963" s="41" t="s">
        <v>5604</v>
      </c>
      <c r="H963" s="150" t="s">
        <v>5606</v>
      </c>
      <c r="I963" s="41" t="s">
        <v>5609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575</v>
      </c>
      <c r="U963" s="2" t="s">
        <v>8</v>
      </c>
      <c r="V963" s="38" t="s">
        <v>3039</v>
      </c>
      <c r="W963" s="39">
        <v>112</v>
      </c>
      <c r="X963" s="40"/>
      <c r="Y963" s="106"/>
      <c r="Z963" s="40"/>
      <c r="AA963" s="40"/>
      <c r="AB963" s="40" t="s">
        <v>2943</v>
      </c>
      <c r="AC963" s="40"/>
      <c r="AD963" s="40"/>
      <c r="AE963" s="40"/>
      <c r="AF963" s="40" t="s">
        <v>2939</v>
      </c>
      <c r="AG963" s="40" t="s">
        <v>2939</v>
      </c>
      <c r="AH963" s="40"/>
      <c r="AI963" s="40" t="s">
        <v>2939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1230</v>
      </c>
      <c r="C964" s="83">
        <v>2305</v>
      </c>
      <c r="D964" s="113" t="s">
        <v>1222</v>
      </c>
      <c r="E964" s="83" t="s">
        <v>2915</v>
      </c>
      <c r="F964" s="83" t="s">
        <v>4111</v>
      </c>
      <c r="G964" s="47" t="s">
        <v>5604</v>
      </c>
      <c r="H964" s="340" t="s">
        <v>5608</v>
      </c>
      <c r="I964" s="47" t="s">
        <v>5609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708</v>
      </c>
      <c r="U964" s="85" t="s">
        <v>56</v>
      </c>
      <c r="V964" s="113" t="s">
        <v>3039</v>
      </c>
      <c r="W964" s="86">
        <v>109</v>
      </c>
      <c r="X964" s="83"/>
      <c r="Y964" s="137"/>
      <c r="Z964" s="83"/>
      <c r="AA964" s="83" t="s">
        <v>2939</v>
      </c>
      <c r="AB964" s="83"/>
      <c r="AC964" s="83"/>
      <c r="AD964" s="83"/>
      <c r="AE964" s="83"/>
      <c r="AF964" s="83" t="s">
        <v>2943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1238</v>
      </c>
      <c r="C965" s="29">
        <v>2262</v>
      </c>
      <c r="D965" s="27" t="s">
        <v>1237</v>
      </c>
      <c r="E965" s="29" t="s">
        <v>2915</v>
      </c>
      <c r="F965" s="29" t="s">
        <v>4112</v>
      </c>
      <c r="G965" s="192"/>
      <c r="H965" s="145" t="s">
        <v>5607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3039</v>
      </c>
      <c r="W965" s="28">
        <v>105</v>
      </c>
      <c r="X965" s="29"/>
      <c r="Y965" s="102"/>
      <c r="Z965" s="29"/>
      <c r="AA965" s="29"/>
      <c r="AB965" s="29" t="s">
        <v>2939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2908</v>
      </c>
      <c r="AM965" s="164"/>
    </row>
    <row r="966" spans="1:39" x14ac:dyDescent="0.3">
      <c r="A966" s="15">
        <v>965</v>
      </c>
      <c r="B966" s="40" t="s">
        <v>1239</v>
      </c>
      <c r="C966" s="40">
        <v>2283</v>
      </c>
      <c r="D966" s="38" t="s">
        <v>1237</v>
      </c>
      <c r="E966" s="40" t="s">
        <v>2915</v>
      </c>
      <c r="F966" s="40" t="s">
        <v>4113</v>
      </c>
      <c r="G966" s="41" t="s">
        <v>5604</v>
      </c>
      <c r="H966" s="150" t="s">
        <v>5606</v>
      </c>
      <c r="I966" s="41" t="s">
        <v>5609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575</v>
      </c>
      <c r="U966" s="2" t="s">
        <v>8</v>
      </c>
      <c r="V966" s="38" t="s">
        <v>3039</v>
      </c>
      <c r="W966" s="39">
        <v>110</v>
      </c>
      <c r="X966" s="40"/>
      <c r="Y966" s="40"/>
      <c r="Z966" s="40"/>
      <c r="AA966" s="40" t="s">
        <v>2943</v>
      </c>
      <c r="AB966" s="40"/>
      <c r="AC966" s="40"/>
      <c r="AD966" s="40" t="s">
        <v>2939</v>
      </c>
      <c r="AE966" s="40"/>
      <c r="AF966" s="40"/>
      <c r="AG966" s="40" t="s">
        <v>2939</v>
      </c>
      <c r="AH966" s="40"/>
      <c r="AI966" s="40"/>
      <c r="AJ966" s="39"/>
      <c r="AK966" s="125"/>
      <c r="AL966" s="54" t="s">
        <v>2908</v>
      </c>
      <c r="AM966" s="167"/>
    </row>
    <row r="967" spans="1:39" x14ac:dyDescent="0.3">
      <c r="A967" s="15">
        <v>966</v>
      </c>
      <c r="B967" s="40" t="s">
        <v>1240</v>
      </c>
      <c r="C967" s="40">
        <v>2284</v>
      </c>
      <c r="D967" s="38" t="s">
        <v>1237</v>
      </c>
      <c r="E967" s="40" t="s">
        <v>2915</v>
      </c>
      <c r="F967" s="40" t="s">
        <v>4114</v>
      </c>
      <c r="G967" s="41" t="s">
        <v>5604</v>
      </c>
      <c r="H967" s="150" t="s">
        <v>5606</v>
      </c>
      <c r="I967" s="41" t="s">
        <v>5609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575</v>
      </c>
      <c r="U967" s="2" t="s">
        <v>8</v>
      </c>
      <c r="V967" s="38" t="s">
        <v>3039</v>
      </c>
      <c r="W967" s="39">
        <v>110</v>
      </c>
      <c r="X967" s="40"/>
      <c r="Y967" s="40"/>
      <c r="Z967" s="40"/>
      <c r="AA967" s="40" t="s">
        <v>2939</v>
      </c>
      <c r="AB967" s="40"/>
      <c r="AC967" s="40"/>
      <c r="AD967" s="40" t="s">
        <v>2939</v>
      </c>
      <c r="AE967" s="40"/>
      <c r="AF967" s="40"/>
      <c r="AG967" s="40" t="s">
        <v>2939</v>
      </c>
      <c r="AH967" s="40"/>
      <c r="AI967" s="40"/>
      <c r="AJ967" s="39"/>
      <c r="AK967" s="125"/>
      <c r="AL967" s="54" t="s">
        <v>2908</v>
      </c>
      <c r="AM967" s="167"/>
    </row>
    <row r="968" spans="1:39" x14ac:dyDescent="0.3">
      <c r="A968" s="15">
        <v>967</v>
      </c>
      <c r="B968" s="40" t="s">
        <v>1241</v>
      </c>
      <c r="C968" s="40">
        <v>2286</v>
      </c>
      <c r="D968" s="38" t="s">
        <v>1237</v>
      </c>
      <c r="E968" s="40" t="s">
        <v>2915</v>
      </c>
      <c r="F968" s="40" t="s">
        <v>4115</v>
      </c>
      <c r="G968" s="50"/>
      <c r="H968" s="150" t="s">
        <v>5606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3039</v>
      </c>
      <c r="W968" s="39">
        <v>107</v>
      </c>
      <c r="X968" s="40"/>
      <c r="Y968" s="40"/>
      <c r="Z968" s="40"/>
      <c r="AA968" s="40" t="s">
        <v>2939</v>
      </c>
      <c r="AB968" s="40"/>
      <c r="AC968" s="40"/>
      <c r="AD968" s="40" t="s">
        <v>2939</v>
      </c>
      <c r="AE968" s="40"/>
      <c r="AF968" s="40"/>
      <c r="AG968" s="40"/>
      <c r="AH968" s="40"/>
      <c r="AI968" s="40"/>
      <c r="AJ968" s="39"/>
      <c r="AK968" s="125"/>
      <c r="AL968" s="54" t="s">
        <v>2908</v>
      </c>
      <c r="AM968" s="167"/>
    </row>
    <row r="969" spans="1:39" x14ac:dyDescent="0.3">
      <c r="A969" s="15">
        <v>968</v>
      </c>
      <c r="B969" s="40" t="s">
        <v>1243</v>
      </c>
      <c r="C969" s="40">
        <v>2282</v>
      </c>
      <c r="D969" s="38" t="s">
        <v>1237</v>
      </c>
      <c r="E969" s="40" t="s">
        <v>2915</v>
      </c>
      <c r="F969" s="40" t="s">
        <v>4116</v>
      </c>
      <c r="G969" s="50"/>
      <c r="H969" s="150" t="s">
        <v>5607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3039</v>
      </c>
      <c r="W969" s="39">
        <v>107</v>
      </c>
      <c r="X969" s="40"/>
      <c r="Y969" s="40"/>
      <c r="Z969" s="40"/>
      <c r="AA969" s="40" t="s">
        <v>2939</v>
      </c>
      <c r="AB969" s="40"/>
      <c r="AC969" s="40"/>
      <c r="AD969" s="40" t="s">
        <v>2939</v>
      </c>
      <c r="AE969" s="40"/>
      <c r="AF969" s="40"/>
      <c r="AG969" s="40"/>
      <c r="AH969" s="40"/>
      <c r="AI969" s="40"/>
      <c r="AJ969" s="39"/>
      <c r="AK969" s="125"/>
      <c r="AL969" s="54" t="s">
        <v>2908</v>
      </c>
      <c r="AM969" s="167"/>
    </row>
    <row r="970" spans="1:39" ht="14.4" thickBot="1" x14ac:dyDescent="0.35">
      <c r="A970" s="15">
        <v>969</v>
      </c>
      <c r="B970" s="83" t="s">
        <v>1244</v>
      </c>
      <c r="C970" s="83">
        <v>2285</v>
      </c>
      <c r="D970" s="113" t="s">
        <v>1237</v>
      </c>
      <c r="E970" s="83" t="s">
        <v>2915</v>
      </c>
      <c r="F970" s="83" t="s">
        <v>4117</v>
      </c>
      <c r="G970" s="138"/>
      <c r="H970" s="340" t="s">
        <v>5607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3039</v>
      </c>
      <c r="W970" s="86">
        <v>107</v>
      </c>
      <c r="X970" s="83"/>
      <c r="Y970" s="83"/>
      <c r="Z970" s="83"/>
      <c r="AA970" s="83" t="s">
        <v>2939</v>
      </c>
      <c r="AB970" s="83"/>
      <c r="AC970" s="83"/>
      <c r="AD970" s="83" t="s">
        <v>2898</v>
      </c>
      <c r="AE970" s="83"/>
      <c r="AF970" s="83"/>
      <c r="AG970" s="83"/>
      <c r="AH970" s="83"/>
      <c r="AI970" s="83"/>
      <c r="AJ970" s="86"/>
      <c r="AK970" s="191"/>
      <c r="AL970" s="157" t="s">
        <v>2908</v>
      </c>
      <c r="AM970" s="154"/>
    </row>
    <row r="971" spans="1:39" x14ac:dyDescent="0.3">
      <c r="A971" s="15">
        <v>970</v>
      </c>
      <c r="B971" s="29" t="s">
        <v>1269</v>
      </c>
      <c r="C971" s="29">
        <v>805</v>
      </c>
      <c r="D971" s="27" t="s">
        <v>1268</v>
      </c>
      <c r="E971" s="29" t="s">
        <v>2929</v>
      </c>
      <c r="F971" s="29" t="s">
        <v>4118</v>
      </c>
      <c r="G971" s="31" t="s">
        <v>5604</v>
      </c>
      <c r="H971" s="145" t="s">
        <v>5606</v>
      </c>
      <c r="I971" s="31" t="s">
        <v>5609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575</v>
      </c>
      <c r="U971" s="30" t="s">
        <v>8</v>
      </c>
      <c r="V971" s="27" t="s">
        <v>3039</v>
      </c>
      <c r="W971" s="28">
        <v>109</v>
      </c>
      <c r="X971" s="29"/>
      <c r="Y971" s="29"/>
      <c r="Z971" s="29"/>
      <c r="AA971" s="29"/>
      <c r="AB971" s="29"/>
      <c r="AC971" s="29" t="s">
        <v>2939</v>
      </c>
      <c r="AD971" s="29"/>
      <c r="AE971" s="29"/>
      <c r="AF971" s="29" t="s">
        <v>2939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1270</v>
      </c>
      <c r="C972" s="40">
        <v>807</v>
      </c>
      <c r="D972" s="38" t="s">
        <v>1268</v>
      </c>
      <c r="E972" s="40" t="s">
        <v>2929</v>
      </c>
      <c r="F972" s="40" t="s">
        <v>4119</v>
      </c>
      <c r="G972" s="50"/>
      <c r="H972" s="150" t="s">
        <v>5607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3039</v>
      </c>
      <c r="W972" s="39">
        <v>106</v>
      </c>
      <c r="X972" s="40"/>
      <c r="Y972" s="40"/>
      <c r="Z972" s="40"/>
      <c r="AA972" s="40"/>
      <c r="AB972" s="40"/>
      <c r="AC972" s="40" t="s">
        <v>2939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1271</v>
      </c>
      <c r="C973" s="40">
        <v>808</v>
      </c>
      <c r="D973" s="38" t="s">
        <v>1268</v>
      </c>
      <c r="E973" s="40" t="s">
        <v>2929</v>
      </c>
      <c r="F973" s="40" t="s">
        <v>4120</v>
      </c>
      <c r="G973" s="50"/>
      <c r="H973" s="150" t="s">
        <v>5607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3039</v>
      </c>
      <c r="W973" s="39">
        <v>106</v>
      </c>
      <c r="X973" s="40"/>
      <c r="Y973" s="40"/>
      <c r="Z973" s="40"/>
      <c r="AA973" s="40"/>
      <c r="AB973" s="40"/>
      <c r="AC973" s="40" t="s">
        <v>2939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1272</v>
      </c>
      <c r="C974" s="40">
        <v>810</v>
      </c>
      <c r="D974" s="38" t="s">
        <v>1268</v>
      </c>
      <c r="E974" s="40" t="s">
        <v>2929</v>
      </c>
      <c r="F974" s="40" t="s">
        <v>4121</v>
      </c>
      <c r="G974" s="41" t="s">
        <v>5604</v>
      </c>
      <c r="H974" s="150" t="s">
        <v>5606</v>
      </c>
      <c r="I974" s="41" t="s">
        <v>5609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575</v>
      </c>
      <c r="U974" s="2" t="s">
        <v>8</v>
      </c>
      <c r="V974" s="38" t="s">
        <v>3039</v>
      </c>
      <c r="W974" s="39">
        <v>109</v>
      </c>
      <c r="X974" s="40"/>
      <c r="Y974" s="40"/>
      <c r="Z974" s="40"/>
      <c r="AA974" s="40"/>
      <c r="AB974" s="40"/>
      <c r="AC974" s="40" t="s">
        <v>2939</v>
      </c>
      <c r="AD974" s="40"/>
      <c r="AE974" s="40"/>
      <c r="AF974" s="40" t="s">
        <v>2939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1273</v>
      </c>
      <c r="C975" s="40">
        <v>813</v>
      </c>
      <c r="D975" s="38" t="s">
        <v>1268</v>
      </c>
      <c r="E975" s="40" t="s">
        <v>2929</v>
      </c>
      <c r="F975" s="40" t="s">
        <v>4122</v>
      </c>
      <c r="G975" s="50"/>
      <c r="H975" s="150" t="s">
        <v>5607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3039</v>
      </c>
      <c r="W975" s="39">
        <v>106</v>
      </c>
      <c r="X975" s="40"/>
      <c r="Y975" s="40"/>
      <c r="Z975" s="40"/>
      <c r="AA975" s="40"/>
      <c r="AB975" s="40"/>
      <c r="AC975" s="40" t="s">
        <v>2939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1274</v>
      </c>
      <c r="C976" s="40">
        <v>815</v>
      </c>
      <c r="D976" s="38" t="s">
        <v>1268</v>
      </c>
      <c r="E976" s="40" t="s">
        <v>2929</v>
      </c>
      <c r="F976" s="40" t="s">
        <v>4123</v>
      </c>
      <c r="G976" s="50"/>
      <c r="H976" s="150" t="s">
        <v>5607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3039</v>
      </c>
      <c r="W976" s="39">
        <v>106</v>
      </c>
      <c r="X976" s="40"/>
      <c r="Y976" s="40"/>
      <c r="Z976" s="40"/>
      <c r="AA976" s="40"/>
      <c r="AB976" s="40"/>
      <c r="AC976" s="40" t="s">
        <v>2939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1268</v>
      </c>
      <c r="E977" s="40" t="s">
        <v>2929</v>
      </c>
      <c r="F977" s="40" t="s">
        <v>4124</v>
      </c>
      <c r="G977" s="41" t="s">
        <v>5604</v>
      </c>
      <c r="H977" s="150" t="s">
        <v>5608</v>
      </c>
      <c r="I977" s="41" t="s">
        <v>5609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575</v>
      </c>
      <c r="U977" s="2" t="str">
        <f>U971</f>
        <v>監測</v>
      </c>
      <c r="V977" s="38" t="s">
        <v>3039</v>
      </c>
      <c r="W977" s="39">
        <v>109</v>
      </c>
      <c r="X977" s="40"/>
      <c r="Y977" s="40"/>
      <c r="Z977" s="40"/>
      <c r="AA977" s="40"/>
      <c r="AB977" s="40"/>
      <c r="AC977" s="40" t="s">
        <v>2939</v>
      </c>
      <c r="AD977" s="40"/>
      <c r="AE977" s="40"/>
      <c r="AF977" s="40" t="s">
        <v>2939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1268</v>
      </c>
      <c r="E978" s="40" t="s">
        <v>2929</v>
      </c>
      <c r="F978" s="40" t="s">
        <v>4125</v>
      </c>
      <c r="G978" s="41" t="s">
        <v>5604</v>
      </c>
      <c r="H978" s="150" t="s">
        <v>5608</v>
      </c>
      <c r="I978" s="41" t="s">
        <v>5609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575</v>
      </c>
      <c r="U978" s="2" t="str">
        <f>U974</f>
        <v>監測</v>
      </c>
      <c r="V978" s="38" t="s">
        <v>3039</v>
      </c>
      <c r="W978" s="39">
        <v>109</v>
      </c>
      <c r="X978" s="40"/>
      <c r="Y978" s="40"/>
      <c r="Z978" s="40"/>
      <c r="AA978" s="40"/>
      <c r="AB978" s="40"/>
      <c r="AC978" s="40" t="s">
        <v>2939</v>
      </c>
      <c r="AD978" s="40"/>
      <c r="AE978" s="40"/>
      <c r="AF978" s="40" t="s">
        <v>2939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1268</v>
      </c>
      <c r="E979" s="83" t="s">
        <v>2929</v>
      </c>
      <c r="F979" s="83" t="s">
        <v>4126</v>
      </c>
      <c r="G979" s="138"/>
      <c r="H979" s="340" t="s">
        <v>5606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3039</v>
      </c>
      <c r="W979" s="86">
        <v>106</v>
      </c>
      <c r="X979" s="83"/>
      <c r="Y979" s="83"/>
      <c r="Z979" s="83"/>
      <c r="AA979" s="83"/>
      <c r="AB979" s="83"/>
      <c r="AC979" s="83" t="s">
        <v>2939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1311</v>
      </c>
      <c r="C980" s="29">
        <v>1212</v>
      </c>
      <c r="D980" s="27" t="s">
        <v>1310</v>
      </c>
      <c r="E980" s="29" t="s">
        <v>2929</v>
      </c>
      <c r="F980" s="29" t="s">
        <v>4127</v>
      </c>
      <c r="G980" s="192"/>
      <c r="H980" s="434" t="s">
        <v>5606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3039</v>
      </c>
      <c r="W980" s="28">
        <v>104</v>
      </c>
      <c r="X980" s="29"/>
      <c r="Y980" s="102"/>
      <c r="Z980" s="29"/>
      <c r="AA980" s="29" t="s">
        <v>2939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2908</v>
      </c>
      <c r="AM980" s="164"/>
    </row>
    <row r="981" spans="1:39" ht="14.4" thickBot="1" x14ac:dyDescent="0.35">
      <c r="A981" s="15">
        <v>980</v>
      </c>
      <c r="B981" s="83" t="s">
        <v>1316</v>
      </c>
      <c r="C981" s="83">
        <v>1234</v>
      </c>
      <c r="D981" s="113" t="s">
        <v>1310</v>
      </c>
      <c r="E981" s="83" t="s">
        <v>2929</v>
      </c>
      <c r="F981" s="83" t="s">
        <v>4128</v>
      </c>
      <c r="G981" s="138"/>
      <c r="H981" s="340" t="s">
        <v>5606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575</v>
      </c>
      <c r="U981" s="85" t="s">
        <v>8</v>
      </c>
      <c r="V981" s="113" t="s">
        <v>3039</v>
      </c>
      <c r="W981" s="86">
        <v>109</v>
      </c>
      <c r="X981" s="83"/>
      <c r="Y981" s="137"/>
      <c r="Z981" s="83"/>
      <c r="AA981" s="83"/>
      <c r="AB981" s="83"/>
      <c r="AC981" s="83" t="s">
        <v>2939</v>
      </c>
      <c r="AD981" s="83"/>
      <c r="AE981" s="83"/>
      <c r="AF981" s="83" t="s">
        <v>2939</v>
      </c>
      <c r="AG981" s="83"/>
      <c r="AH981" s="83"/>
      <c r="AI981" s="83"/>
      <c r="AJ981" s="86"/>
      <c r="AK981" s="191"/>
      <c r="AL981" s="157" t="s">
        <v>2908</v>
      </c>
      <c r="AM981" s="154"/>
    </row>
    <row r="982" spans="1:39" ht="14.4" thickBot="1" x14ac:dyDescent="0.35">
      <c r="A982" s="15">
        <v>981</v>
      </c>
      <c r="B982" s="19" t="s">
        <v>1333</v>
      </c>
      <c r="C982" s="19">
        <v>1264</v>
      </c>
      <c r="D982" s="17" t="s">
        <v>1331</v>
      </c>
      <c r="E982" s="19" t="s">
        <v>2929</v>
      </c>
      <c r="F982" s="19" t="s">
        <v>4129</v>
      </c>
      <c r="G982" s="21" t="s">
        <v>5604</v>
      </c>
      <c r="H982" s="434" t="s">
        <v>5606</v>
      </c>
      <c r="I982" s="21" t="s">
        <v>5609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575</v>
      </c>
      <c r="U982" s="20" t="s">
        <v>8</v>
      </c>
      <c r="V982" s="17" t="s">
        <v>3039</v>
      </c>
      <c r="W982" s="222">
        <v>111</v>
      </c>
      <c r="X982" s="19"/>
      <c r="Y982" s="19"/>
      <c r="Z982" s="19"/>
      <c r="AA982" s="19"/>
      <c r="AB982" s="19" t="s">
        <v>2939</v>
      </c>
      <c r="AC982" s="19"/>
      <c r="AD982" s="19" t="s">
        <v>2898</v>
      </c>
      <c r="AE982" s="19"/>
      <c r="AF982" s="19"/>
      <c r="AG982" s="19"/>
      <c r="AH982" s="19" t="s">
        <v>2939</v>
      </c>
      <c r="AI982" s="19"/>
      <c r="AJ982" s="222"/>
      <c r="AK982" s="314"/>
      <c r="AL982" s="257" t="s">
        <v>2908</v>
      </c>
      <c r="AM982" s="289"/>
    </row>
    <row r="983" spans="1:39" x14ac:dyDescent="0.3">
      <c r="A983" s="15">
        <v>982</v>
      </c>
      <c r="B983" s="29" t="s">
        <v>1348</v>
      </c>
      <c r="C983" s="29">
        <v>578</v>
      </c>
      <c r="D983" s="27" t="s">
        <v>1347</v>
      </c>
      <c r="E983" s="29" t="s">
        <v>2963</v>
      </c>
      <c r="F983" s="29" t="s">
        <v>4130</v>
      </c>
      <c r="G983" s="31" t="s">
        <v>5604</v>
      </c>
      <c r="H983" s="145" t="s">
        <v>5608</v>
      </c>
      <c r="I983" s="31" t="s">
        <v>5609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708</v>
      </c>
      <c r="U983" s="30" t="s">
        <v>56</v>
      </c>
      <c r="V983" s="27" t="s">
        <v>3039</v>
      </c>
      <c r="W983" s="28">
        <v>109</v>
      </c>
      <c r="X983" s="29"/>
      <c r="Y983" s="29"/>
      <c r="Z983" s="29"/>
      <c r="AA983" s="29" t="s">
        <v>2939</v>
      </c>
      <c r="AB983" s="29"/>
      <c r="AC983" s="29"/>
      <c r="AD983" s="29"/>
      <c r="AE983" s="29"/>
      <c r="AF983" s="29" t="s">
        <v>2943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1349</v>
      </c>
      <c r="C984" s="83">
        <v>585</v>
      </c>
      <c r="D984" s="113" t="s">
        <v>1347</v>
      </c>
      <c r="E984" s="83" t="s">
        <v>2963</v>
      </c>
      <c r="F984" s="83" t="s">
        <v>4131</v>
      </c>
      <c r="G984" s="47" t="s">
        <v>5604</v>
      </c>
      <c r="H984" s="340" t="s">
        <v>5606</v>
      </c>
      <c r="I984" s="47" t="s">
        <v>5609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575</v>
      </c>
      <c r="U984" s="85" t="s">
        <v>8</v>
      </c>
      <c r="V984" s="113" t="s">
        <v>3039</v>
      </c>
      <c r="W984" s="86">
        <v>109</v>
      </c>
      <c r="X984" s="83"/>
      <c r="Y984" s="83"/>
      <c r="Z984" s="83"/>
      <c r="AA984" s="83" t="s">
        <v>2939</v>
      </c>
      <c r="AB984" s="83"/>
      <c r="AC984" s="83"/>
      <c r="AD984" s="83"/>
      <c r="AE984" s="83"/>
      <c r="AF984" s="83" t="s">
        <v>2939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1355</v>
      </c>
      <c r="C985" s="29">
        <v>355</v>
      </c>
      <c r="D985" s="27" t="s">
        <v>1354</v>
      </c>
      <c r="E985" s="29" t="s">
        <v>2963</v>
      </c>
      <c r="F985" s="29" t="s">
        <v>4132</v>
      </c>
      <c r="G985" s="192"/>
      <c r="H985" s="145" t="s">
        <v>5607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3039</v>
      </c>
      <c r="W985" s="28">
        <v>103</v>
      </c>
      <c r="X985" s="29"/>
      <c r="Y985" s="29"/>
      <c r="Z985" s="29" t="s">
        <v>2943</v>
      </c>
      <c r="AA985" s="29"/>
      <c r="AB985" s="29"/>
      <c r="AC985" s="29"/>
      <c r="AD985" s="29" t="s">
        <v>2939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1356</v>
      </c>
      <c r="C986" s="40">
        <v>573</v>
      </c>
      <c r="D986" s="38" t="s">
        <v>1354</v>
      </c>
      <c r="E986" s="40" t="s">
        <v>2963</v>
      </c>
      <c r="F986" s="40" t="s">
        <v>4133</v>
      </c>
      <c r="G986" s="41" t="s">
        <v>5604</v>
      </c>
      <c r="H986" s="150" t="s">
        <v>5606</v>
      </c>
      <c r="I986" s="41" t="s">
        <v>5609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172</v>
      </c>
      <c r="Q986" s="43">
        <v>27.1</v>
      </c>
      <c r="R986" s="43">
        <v>375</v>
      </c>
      <c r="S986" s="43">
        <v>57.6</v>
      </c>
      <c r="T986" s="2" t="s">
        <v>575</v>
      </c>
      <c r="U986" s="2" t="s">
        <v>8</v>
      </c>
      <c r="V986" s="38" t="s">
        <v>3039</v>
      </c>
      <c r="W986" s="39">
        <v>109</v>
      </c>
      <c r="X986" s="40"/>
      <c r="Y986" s="40"/>
      <c r="Z986" s="40"/>
      <c r="AA986" s="40" t="s">
        <v>2943</v>
      </c>
      <c r="AB986" s="40"/>
      <c r="AC986" s="40"/>
      <c r="AD986" s="40"/>
      <c r="AE986" s="40"/>
      <c r="AF986" s="40" t="s">
        <v>2939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1357</v>
      </c>
      <c r="C987" s="40">
        <v>574</v>
      </c>
      <c r="D987" s="38" t="s">
        <v>1354</v>
      </c>
      <c r="E987" s="40" t="s">
        <v>2963</v>
      </c>
      <c r="F987" s="40" t="s">
        <v>4134</v>
      </c>
      <c r="G987" s="41" t="s">
        <v>5604</v>
      </c>
      <c r="H987" s="150" t="s">
        <v>5606</v>
      </c>
      <c r="I987" s="41" t="s">
        <v>5609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66</v>
      </c>
      <c r="Q987" s="43">
        <v>35.5</v>
      </c>
      <c r="R987" s="43">
        <v>314</v>
      </c>
      <c r="S987" s="43">
        <v>33.799999999999997</v>
      </c>
      <c r="T987" s="2" t="s">
        <v>575</v>
      </c>
      <c r="U987" s="2" t="s">
        <v>8</v>
      </c>
      <c r="V987" s="38" t="s">
        <v>3039</v>
      </c>
      <c r="W987" s="39">
        <v>109</v>
      </c>
      <c r="X987" s="40"/>
      <c r="Y987" s="40"/>
      <c r="Z987" s="40"/>
      <c r="AA987" s="40" t="s">
        <v>2939</v>
      </c>
      <c r="AB987" s="40"/>
      <c r="AC987" s="40"/>
      <c r="AD987" s="40"/>
      <c r="AE987" s="40"/>
      <c r="AF987" s="40" t="s">
        <v>2939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1358</v>
      </c>
      <c r="C988" s="40">
        <v>576</v>
      </c>
      <c r="D988" s="38" t="s">
        <v>1354</v>
      </c>
      <c r="E988" s="40" t="s">
        <v>2963</v>
      </c>
      <c r="F988" s="40" t="s">
        <v>4135</v>
      </c>
      <c r="G988" s="41" t="s">
        <v>5604</v>
      </c>
      <c r="H988" s="150" t="s">
        <v>5606</v>
      </c>
      <c r="I988" s="41" t="s">
        <v>5609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77</v>
      </c>
      <c r="Q988" s="43">
        <v>30.5</v>
      </c>
      <c r="R988" s="43">
        <v>368</v>
      </c>
      <c r="S988" s="43">
        <v>29.3</v>
      </c>
      <c r="T988" s="2" t="s">
        <v>575</v>
      </c>
      <c r="U988" s="2" t="s">
        <v>8</v>
      </c>
      <c r="V988" s="38" t="s">
        <v>3039</v>
      </c>
      <c r="W988" s="39">
        <v>109</v>
      </c>
      <c r="X988" s="40"/>
      <c r="Y988" s="40"/>
      <c r="Z988" s="40"/>
      <c r="AA988" s="40" t="s">
        <v>2939</v>
      </c>
      <c r="AB988" s="40"/>
      <c r="AC988" s="40"/>
      <c r="AD988" s="40"/>
      <c r="AE988" s="40"/>
      <c r="AF988" s="40" t="s">
        <v>2939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1366</v>
      </c>
      <c r="C989" s="40">
        <v>354</v>
      </c>
      <c r="D989" s="38" t="s">
        <v>1354</v>
      </c>
      <c r="E989" s="40" t="s">
        <v>2963</v>
      </c>
      <c r="F989" s="40" t="s">
        <v>4136</v>
      </c>
      <c r="G989" s="50"/>
      <c r="H989" s="150" t="s">
        <v>5607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3039</v>
      </c>
      <c r="W989" s="39">
        <v>107</v>
      </c>
      <c r="X989" s="40"/>
      <c r="Y989" s="40"/>
      <c r="Z989" s="40" t="s">
        <v>2939</v>
      </c>
      <c r="AA989" s="40"/>
      <c r="AB989" s="40"/>
      <c r="AC989" s="40"/>
      <c r="AD989" s="40" t="s">
        <v>2898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1367</v>
      </c>
      <c r="C990" s="40">
        <v>572</v>
      </c>
      <c r="D990" s="38" t="s">
        <v>1354</v>
      </c>
      <c r="E990" s="40" t="s">
        <v>2963</v>
      </c>
      <c r="F990" s="40" t="s">
        <v>4137</v>
      </c>
      <c r="G990" s="50"/>
      <c r="H990" s="150" t="s">
        <v>5607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3039</v>
      </c>
      <c r="W990" s="39">
        <v>102</v>
      </c>
      <c r="X990" s="40"/>
      <c r="Y990" s="40" t="s">
        <v>2939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1368</v>
      </c>
      <c r="C991" s="40">
        <v>575</v>
      </c>
      <c r="D991" s="38" t="s">
        <v>1354</v>
      </c>
      <c r="E991" s="40" t="s">
        <v>2963</v>
      </c>
      <c r="F991" s="40" t="s">
        <v>4138</v>
      </c>
      <c r="G991" s="50"/>
      <c r="H991" s="150" t="s">
        <v>5607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3039</v>
      </c>
      <c r="W991" s="39">
        <v>109</v>
      </c>
      <c r="X991" s="40"/>
      <c r="Y991" s="40"/>
      <c r="Z991" s="40"/>
      <c r="AA991" s="40" t="s">
        <v>2939</v>
      </c>
      <c r="AB991" s="40"/>
      <c r="AC991" s="40"/>
      <c r="AD991" s="40"/>
      <c r="AE991" s="40"/>
      <c r="AF991" s="40" t="s">
        <v>2898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1369</v>
      </c>
      <c r="C992" s="83">
        <v>577</v>
      </c>
      <c r="D992" s="113" t="s">
        <v>1354</v>
      </c>
      <c r="E992" s="83" t="s">
        <v>2963</v>
      </c>
      <c r="F992" s="83" t="s">
        <v>4139</v>
      </c>
      <c r="G992" s="138"/>
      <c r="H992" s="340" t="s">
        <v>5607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3039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2898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1383</v>
      </c>
      <c r="C993" s="29">
        <v>2119</v>
      </c>
      <c r="D993" s="27" t="s">
        <v>1382</v>
      </c>
      <c r="E993" s="29" t="s">
        <v>2963</v>
      </c>
      <c r="F993" s="29" t="s">
        <v>4140</v>
      </c>
      <c r="G993" s="31" t="s">
        <v>5604</v>
      </c>
      <c r="H993" s="145" t="s">
        <v>5606</v>
      </c>
      <c r="I993" s="31" t="s">
        <v>5609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575</v>
      </c>
      <c r="U993" s="30" t="s">
        <v>8</v>
      </c>
      <c r="V993" s="27" t="s">
        <v>3039</v>
      </c>
      <c r="W993" s="28">
        <v>109</v>
      </c>
      <c r="X993" s="29"/>
      <c r="Y993" s="29"/>
      <c r="Z993" s="29" t="s">
        <v>2939</v>
      </c>
      <c r="AA993" s="29"/>
      <c r="AB993" s="29"/>
      <c r="AC993" s="29"/>
      <c r="AD993" s="29"/>
      <c r="AE993" s="29"/>
      <c r="AF993" s="29" t="s">
        <v>2939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1384</v>
      </c>
      <c r="C994" s="40">
        <v>2120</v>
      </c>
      <c r="D994" s="38" t="s">
        <v>1382</v>
      </c>
      <c r="E994" s="40" t="s">
        <v>2963</v>
      </c>
      <c r="F994" s="40" t="s">
        <v>4141</v>
      </c>
      <c r="G994" s="50"/>
      <c r="H994" s="150" t="s">
        <v>5606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3039</v>
      </c>
      <c r="W994" s="39">
        <v>106</v>
      </c>
      <c r="X994" s="40"/>
      <c r="Y994" s="40"/>
      <c r="Z994" s="40" t="s">
        <v>2939</v>
      </c>
      <c r="AA994" s="40"/>
      <c r="AB994" s="40"/>
      <c r="AC994" s="40" t="s">
        <v>2939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1385</v>
      </c>
      <c r="C995" s="40">
        <v>2121</v>
      </c>
      <c r="D995" s="38" t="s">
        <v>1382</v>
      </c>
      <c r="E995" s="40" t="s">
        <v>2963</v>
      </c>
      <c r="F995" s="40" t="s">
        <v>4142</v>
      </c>
      <c r="G995" s="50"/>
      <c r="H995" s="150" t="s">
        <v>5607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3039</v>
      </c>
      <c r="W995" s="39">
        <v>107</v>
      </c>
      <c r="X995" s="40"/>
      <c r="Y995" s="40"/>
      <c r="Z995" s="40" t="s">
        <v>2939</v>
      </c>
      <c r="AA995" s="40"/>
      <c r="AB995" s="40"/>
      <c r="AC995" s="40"/>
      <c r="AD995" s="40" t="s">
        <v>2939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1386</v>
      </c>
      <c r="C996" s="40">
        <v>2393</v>
      </c>
      <c r="D996" s="38" t="s">
        <v>1382</v>
      </c>
      <c r="E996" s="40" t="s">
        <v>2915</v>
      </c>
      <c r="F996" s="40" t="s">
        <v>4143</v>
      </c>
      <c r="G996" s="38"/>
      <c r="H996" s="150" t="s">
        <v>5607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3039</v>
      </c>
      <c r="W996" s="39">
        <v>102</v>
      </c>
      <c r="X996" s="38" t="s">
        <v>2939</v>
      </c>
      <c r="Y996" s="38" t="s">
        <v>2939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1387</v>
      </c>
      <c r="C997" s="40">
        <v>2312</v>
      </c>
      <c r="D997" s="38" t="s">
        <v>1382</v>
      </c>
      <c r="E997" s="40" t="s">
        <v>2915</v>
      </c>
      <c r="F997" s="40" t="s">
        <v>4144</v>
      </c>
      <c r="G997" s="50"/>
      <c r="H997" s="150" t="s">
        <v>5606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331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3039</v>
      </c>
      <c r="W997" s="39">
        <v>103</v>
      </c>
      <c r="X997" s="40"/>
      <c r="Y997" s="106"/>
      <c r="Z997" s="40" t="s">
        <v>2939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1246</v>
      </c>
      <c r="C998" s="83">
        <v>2301</v>
      </c>
      <c r="D998" s="113" t="s">
        <v>1245</v>
      </c>
      <c r="E998" s="83" t="s">
        <v>2915</v>
      </c>
      <c r="F998" s="83" t="s">
        <v>4145</v>
      </c>
      <c r="G998" s="138"/>
      <c r="H998" s="340" t="s">
        <v>5607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3039</v>
      </c>
      <c r="W998" s="86">
        <v>105</v>
      </c>
      <c r="X998" s="83"/>
      <c r="Y998" s="137"/>
      <c r="Z998" s="83"/>
      <c r="AA998" s="83"/>
      <c r="AB998" s="83" t="s">
        <v>2939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1422</v>
      </c>
      <c r="C999" s="29">
        <v>2216</v>
      </c>
      <c r="D999" s="27" t="s">
        <v>1421</v>
      </c>
      <c r="E999" s="29" t="s">
        <v>2915</v>
      </c>
      <c r="F999" s="29" t="s">
        <v>4146</v>
      </c>
      <c r="G999" s="192"/>
      <c r="H999" s="145" t="s">
        <v>5606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3039</v>
      </c>
      <c r="W999" s="28">
        <v>105</v>
      </c>
      <c r="X999" s="29"/>
      <c r="Y999" s="102"/>
      <c r="Z999" s="29"/>
      <c r="AA999" s="29"/>
      <c r="AB999" s="29" t="s">
        <v>2939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1428</v>
      </c>
      <c r="C1000" s="83">
        <v>2252</v>
      </c>
      <c r="D1000" s="113" t="s">
        <v>1421</v>
      </c>
      <c r="E1000" s="83" t="s">
        <v>2915</v>
      </c>
      <c r="F1000" s="83" t="s">
        <v>4147</v>
      </c>
      <c r="G1000" s="47" t="s">
        <v>5604</v>
      </c>
      <c r="H1000" s="340" t="s">
        <v>5606</v>
      </c>
      <c r="I1000" s="47" t="s">
        <v>5609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331</v>
      </c>
      <c r="Q1000" s="88">
        <v>39.200000000000003</v>
      </c>
      <c r="R1000" s="88">
        <v>216</v>
      </c>
      <c r="S1000" s="88">
        <v>142</v>
      </c>
      <c r="T1000" s="85" t="s">
        <v>575</v>
      </c>
      <c r="U1000" s="85" t="s">
        <v>8</v>
      </c>
      <c r="V1000" s="113" t="s">
        <v>3039</v>
      </c>
      <c r="W1000" s="86">
        <v>111</v>
      </c>
      <c r="X1000" s="83"/>
      <c r="Y1000" s="137"/>
      <c r="Z1000" s="83"/>
      <c r="AA1000" s="83"/>
      <c r="AB1000" s="83"/>
      <c r="AC1000" s="83" t="s">
        <v>2898</v>
      </c>
      <c r="AD1000" s="83"/>
      <c r="AE1000" s="83"/>
      <c r="AF1000" s="83"/>
      <c r="AG1000" s="83"/>
      <c r="AH1000" s="83" t="s">
        <v>2939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1453</v>
      </c>
      <c r="C1001" s="29">
        <v>1552</v>
      </c>
      <c r="D1001" s="27" t="s">
        <v>1452</v>
      </c>
      <c r="E1001" s="29" t="s">
        <v>2929</v>
      </c>
      <c r="F1001" s="29" t="s">
        <v>4148</v>
      </c>
      <c r="G1001" s="31" t="s">
        <v>5604</v>
      </c>
      <c r="H1001" s="145" t="s">
        <v>5606</v>
      </c>
      <c r="I1001" s="31" t="s">
        <v>5609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575</v>
      </c>
      <c r="U1001" s="30" t="s">
        <v>8</v>
      </c>
      <c r="V1001" s="27" t="s">
        <v>3039</v>
      </c>
      <c r="W1001" s="28">
        <v>110</v>
      </c>
      <c r="X1001" s="29"/>
      <c r="Y1001" s="29"/>
      <c r="Z1001" s="29"/>
      <c r="AA1001" s="29"/>
      <c r="AB1001" s="29"/>
      <c r="AC1001" s="29" t="s">
        <v>2939</v>
      </c>
      <c r="AD1001" s="29"/>
      <c r="AE1001" s="29" t="s">
        <v>2939</v>
      </c>
      <c r="AF1001" s="29"/>
      <c r="AG1001" s="29" t="s">
        <v>2939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1454</v>
      </c>
      <c r="C1002" s="40">
        <v>1553</v>
      </c>
      <c r="D1002" s="38" t="s">
        <v>1452</v>
      </c>
      <c r="E1002" s="40" t="s">
        <v>2929</v>
      </c>
      <c r="F1002" s="40" t="s">
        <v>4149</v>
      </c>
      <c r="G1002" s="41" t="s">
        <v>5604</v>
      </c>
      <c r="H1002" s="150" t="s">
        <v>5606</v>
      </c>
      <c r="I1002" s="41" t="s">
        <v>5609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575</v>
      </c>
      <c r="U1002" s="2" t="s">
        <v>8</v>
      </c>
      <c r="V1002" s="38" t="s">
        <v>3039</v>
      </c>
      <c r="W1002" s="39">
        <v>110</v>
      </c>
      <c r="X1002" s="40"/>
      <c r="Y1002" s="40"/>
      <c r="Z1002" s="40"/>
      <c r="AA1002" s="40"/>
      <c r="AB1002" s="40"/>
      <c r="AC1002" s="40" t="s">
        <v>2939</v>
      </c>
      <c r="AD1002" s="40"/>
      <c r="AE1002" s="40" t="s">
        <v>2939</v>
      </c>
      <c r="AF1002" s="40"/>
      <c r="AG1002" s="40" t="s">
        <v>2939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1455</v>
      </c>
      <c r="C1003" s="83">
        <v>1551</v>
      </c>
      <c r="D1003" s="113" t="s">
        <v>1452</v>
      </c>
      <c r="E1003" s="83" t="s">
        <v>2929</v>
      </c>
      <c r="F1003" s="83" t="s">
        <v>4150</v>
      </c>
      <c r="G1003" s="47" t="s">
        <v>5604</v>
      </c>
      <c r="H1003" s="340" t="s">
        <v>5608</v>
      </c>
      <c r="I1003" s="47" t="s">
        <v>5609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102</v>
      </c>
      <c r="Q1003" s="88">
        <v>30.1</v>
      </c>
      <c r="R1003" s="88">
        <v>316</v>
      </c>
      <c r="S1003" s="88">
        <v>109</v>
      </c>
      <c r="T1003" s="85" t="s">
        <v>575</v>
      </c>
      <c r="U1003" s="85" t="str">
        <f>U1001</f>
        <v>監測</v>
      </c>
      <c r="V1003" s="113" t="s">
        <v>3039</v>
      </c>
      <c r="W1003" s="86">
        <v>110</v>
      </c>
      <c r="X1003" s="83"/>
      <c r="Y1003" s="83"/>
      <c r="Z1003" s="83"/>
      <c r="AA1003" s="83"/>
      <c r="AB1003" s="83"/>
      <c r="AC1003" s="83" t="s">
        <v>2939</v>
      </c>
      <c r="AD1003" s="83"/>
      <c r="AE1003" s="83" t="s">
        <v>2939</v>
      </c>
      <c r="AF1003" s="83"/>
      <c r="AG1003" s="83" t="s">
        <v>2939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1464</v>
      </c>
      <c r="C1004" s="29">
        <v>1536</v>
      </c>
      <c r="D1004" s="27" t="s">
        <v>1463</v>
      </c>
      <c r="E1004" s="29" t="s">
        <v>2929</v>
      </c>
      <c r="F1004" s="29" t="s">
        <v>4151</v>
      </c>
      <c r="G1004" s="31" t="s">
        <v>5604</v>
      </c>
      <c r="H1004" s="145" t="s">
        <v>5606</v>
      </c>
      <c r="I1004" s="31" t="s">
        <v>5609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575</v>
      </c>
      <c r="U1004" s="30" t="s">
        <v>8</v>
      </c>
      <c r="V1004" s="27" t="s">
        <v>3039</v>
      </c>
      <c r="W1004" s="28">
        <v>110</v>
      </c>
      <c r="X1004" s="29"/>
      <c r="Y1004" s="29"/>
      <c r="Z1004" s="29"/>
      <c r="AA1004" s="29"/>
      <c r="AB1004" s="29"/>
      <c r="AC1004" s="29" t="s">
        <v>2939</v>
      </c>
      <c r="AD1004" s="29"/>
      <c r="AE1004" s="29" t="s">
        <v>2898</v>
      </c>
      <c r="AF1004" s="29"/>
      <c r="AG1004" s="29" t="s">
        <v>2939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1465</v>
      </c>
      <c r="C1005" s="40">
        <v>1539</v>
      </c>
      <c r="D1005" s="38" t="s">
        <v>1463</v>
      </c>
      <c r="E1005" s="40" t="s">
        <v>2929</v>
      </c>
      <c r="F1005" s="40" t="s">
        <v>4152</v>
      </c>
      <c r="G1005" s="41" t="s">
        <v>5604</v>
      </c>
      <c r="H1005" s="150" t="s">
        <v>5606</v>
      </c>
      <c r="I1005" s="41" t="s">
        <v>5609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306</v>
      </c>
      <c r="U1005" s="2" t="s">
        <v>3</v>
      </c>
      <c r="V1005" s="38" t="s">
        <v>3039</v>
      </c>
      <c r="W1005" s="39">
        <v>110</v>
      </c>
      <c r="X1005" s="40"/>
      <c r="Y1005" s="40"/>
      <c r="Z1005" s="40"/>
      <c r="AA1005" s="40"/>
      <c r="AB1005" s="40"/>
      <c r="AC1005" s="40" t="s">
        <v>2939</v>
      </c>
      <c r="AD1005" s="40"/>
      <c r="AE1005" s="40" t="s">
        <v>2898</v>
      </c>
      <c r="AF1005" s="40"/>
      <c r="AG1005" s="40" t="s">
        <v>2898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1466</v>
      </c>
      <c r="C1006" s="40">
        <v>1540</v>
      </c>
      <c r="D1006" s="38" t="s">
        <v>1463</v>
      </c>
      <c r="E1006" s="40" t="s">
        <v>2929</v>
      </c>
      <c r="F1006" s="40" t="s">
        <v>4153</v>
      </c>
      <c r="G1006" s="41" t="s">
        <v>5604</v>
      </c>
      <c r="H1006" s="150" t="s">
        <v>5606</v>
      </c>
      <c r="I1006" s="41" t="s">
        <v>5609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575</v>
      </c>
      <c r="U1006" s="2" t="s">
        <v>8</v>
      </c>
      <c r="V1006" s="38" t="s">
        <v>3039</v>
      </c>
      <c r="W1006" s="39">
        <v>110</v>
      </c>
      <c r="X1006" s="40"/>
      <c r="Y1006" s="40"/>
      <c r="Z1006" s="40"/>
      <c r="AA1006" s="40"/>
      <c r="AB1006" s="40"/>
      <c r="AC1006" s="40" t="s">
        <v>2939</v>
      </c>
      <c r="AD1006" s="40"/>
      <c r="AE1006" s="40" t="s">
        <v>2898</v>
      </c>
      <c r="AF1006" s="40"/>
      <c r="AG1006" s="40" t="s">
        <v>2939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1467</v>
      </c>
      <c r="C1007" s="40">
        <v>1541</v>
      </c>
      <c r="D1007" s="38" t="s">
        <v>1463</v>
      </c>
      <c r="E1007" s="40" t="s">
        <v>2929</v>
      </c>
      <c r="F1007" s="40" t="s">
        <v>4154</v>
      </c>
      <c r="G1007" s="50"/>
      <c r="H1007" s="150" t="s">
        <v>5607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3039</v>
      </c>
      <c r="W1007" s="39">
        <v>108</v>
      </c>
      <c r="X1007" s="40"/>
      <c r="Y1007" s="40"/>
      <c r="Z1007" s="40"/>
      <c r="AA1007" s="40"/>
      <c r="AB1007" s="40"/>
      <c r="AC1007" s="40" t="s">
        <v>2939</v>
      </c>
      <c r="AD1007" s="40"/>
      <c r="AE1007" s="40" t="s">
        <v>2898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1468</v>
      </c>
      <c r="C1008" s="40">
        <v>1537</v>
      </c>
      <c r="D1008" s="38" t="s">
        <v>1463</v>
      </c>
      <c r="E1008" s="40" t="s">
        <v>2929</v>
      </c>
      <c r="F1008" s="40" t="s">
        <v>4155</v>
      </c>
      <c r="G1008" s="41" t="s">
        <v>5604</v>
      </c>
      <c r="H1008" s="150" t="s">
        <v>5608</v>
      </c>
      <c r="I1008" s="41" t="s">
        <v>5609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102</v>
      </c>
      <c r="Q1008" s="43">
        <v>22.5</v>
      </c>
      <c r="R1008" s="43">
        <v>236</v>
      </c>
      <c r="S1008" s="43">
        <v>81.400000000000006</v>
      </c>
      <c r="T1008" s="2" t="s">
        <v>575</v>
      </c>
      <c r="U1008" s="2" t="str">
        <f>U1004</f>
        <v>監測</v>
      </c>
      <c r="V1008" s="38" t="s">
        <v>3039</v>
      </c>
      <c r="W1008" s="39">
        <v>110</v>
      </c>
      <c r="X1008" s="40"/>
      <c r="Y1008" s="40"/>
      <c r="Z1008" s="40"/>
      <c r="AA1008" s="40"/>
      <c r="AB1008" s="40"/>
      <c r="AC1008" s="40" t="s">
        <v>2939</v>
      </c>
      <c r="AD1008" s="40"/>
      <c r="AE1008" s="40" t="s">
        <v>2898</v>
      </c>
      <c r="AF1008" s="40"/>
      <c r="AG1008" s="40" t="s">
        <v>2939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1463</v>
      </c>
      <c r="E1009" s="83" t="s">
        <v>2929</v>
      </c>
      <c r="F1009" s="83" t="s">
        <v>4156</v>
      </c>
      <c r="G1009" s="138"/>
      <c r="H1009" s="340" t="s">
        <v>5607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102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3039</v>
      </c>
      <c r="W1009" s="86">
        <v>108</v>
      </c>
      <c r="X1009" s="83"/>
      <c r="Y1009" s="83"/>
      <c r="Z1009" s="83"/>
      <c r="AA1009" s="83"/>
      <c r="AB1009" s="83"/>
      <c r="AC1009" s="83" t="s">
        <v>2939</v>
      </c>
      <c r="AD1009" s="83"/>
      <c r="AE1009" s="83" t="s">
        <v>2898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1470</v>
      </c>
      <c r="C1010" s="19">
        <v>1535</v>
      </c>
      <c r="D1010" s="17" t="s">
        <v>1469</v>
      </c>
      <c r="E1010" s="19" t="s">
        <v>2929</v>
      </c>
      <c r="F1010" s="19" t="s">
        <v>4157</v>
      </c>
      <c r="G1010" s="21" t="s">
        <v>5604</v>
      </c>
      <c r="H1010" s="434" t="s">
        <v>5606</v>
      </c>
      <c r="I1010" s="21" t="s">
        <v>5609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575</v>
      </c>
      <c r="U1010" s="20" t="s">
        <v>8</v>
      </c>
      <c r="V1010" s="17" t="s">
        <v>3039</v>
      </c>
      <c r="W1010" s="222">
        <v>110</v>
      </c>
      <c r="X1010" s="19"/>
      <c r="Y1010" s="19"/>
      <c r="Z1010" s="19"/>
      <c r="AA1010" s="19"/>
      <c r="AB1010" s="19"/>
      <c r="AC1010" s="19" t="s">
        <v>2939</v>
      </c>
      <c r="AD1010" s="19"/>
      <c r="AE1010" s="19" t="s">
        <v>2898</v>
      </c>
      <c r="AF1010" s="19"/>
      <c r="AG1010" s="19" t="s">
        <v>2939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1489</v>
      </c>
      <c r="C1011" s="19">
        <v>610</v>
      </c>
      <c r="D1011" s="17" t="s">
        <v>1488</v>
      </c>
      <c r="E1011" s="19" t="s">
        <v>2963</v>
      </c>
      <c r="F1011" s="19" t="s">
        <v>4158</v>
      </c>
      <c r="G1011" s="21" t="s">
        <v>5604</v>
      </c>
      <c r="H1011" s="434" t="s">
        <v>5606</v>
      </c>
      <c r="I1011" s="21" t="s">
        <v>5609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575</v>
      </c>
      <c r="U1011" s="20" t="s">
        <v>8</v>
      </c>
      <c r="V1011" s="17" t="s">
        <v>3039</v>
      </c>
      <c r="W1011" s="222">
        <v>109</v>
      </c>
      <c r="X1011" s="19"/>
      <c r="Y1011" s="19"/>
      <c r="Z1011" s="19"/>
      <c r="AA1011" s="19" t="s">
        <v>2939</v>
      </c>
      <c r="AB1011" s="19"/>
      <c r="AC1011" s="19"/>
      <c r="AD1011" s="19"/>
      <c r="AE1011" s="19"/>
      <c r="AF1011" s="19" t="s">
        <v>2939</v>
      </c>
      <c r="AG1011" s="19"/>
      <c r="AH1011" s="19"/>
      <c r="AI1011" s="19"/>
      <c r="AJ1011" s="222"/>
      <c r="AK1011" s="314"/>
      <c r="AL1011" s="257" t="s">
        <v>2908</v>
      </c>
      <c r="AM1011" s="289"/>
    </row>
    <row r="1012" spans="1:39" ht="27.6" x14ac:dyDescent="0.3">
      <c r="A1012" s="15">
        <v>1011</v>
      </c>
      <c r="B1012" s="29" t="s">
        <v>1504</v>
      </c>
      <c r="C1012" s="29">
        <v>588</v>
      </c>
      <c r="D1012" s="27" t="s">
        <v>1503</v>
      </c>
      <c r="E1012" s="29" t="s">
        <v>2963</v>
      </c>
      <c r="F1012" s="29" t="s">
        <v>4159</v>
      </c>
      <c r="G1012" s="192"/>
      <c r="H1012" s="145" t="s">
        <v>5608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138</v>
      </c>
      <c r="Q1012" s="33">
        <v>29.3</v>
      </c>
      <c r="R1012" s="33">
        <v>274</v>
      </c>
      <c r="S1012" s="33">
        <v>68.8</v>
      </c>
      <c r="T1012" s="141"/>
      <c r="U1012" s="463" t="s">
        <v>73</v>
      </c>
      <c r="V1012" s="27" t="s">
        <v>3039</v>
      </c>
      <c r="W1012" s="28">
        <v>112</v>
      </c>
      <c r="X1012" s="29"/>
      <c r="Y1012" s="29"/>
      <c r="Z1012" s="29"/>
      <c r="AA1012" s="29" t="s">
        <v>2939</v>
      </c>
      <c r="AB1012" s="29"/>
      <c r="AC1012" s="29"/>
      <c r="AD1012" s="29"/>
      <c r="AE1012" s="29" t="s">
        <v>2898</v>
      </c>
      <c r="AF1012" s="29"/>
      <c r="AG1012" s="29"/>
      <c r="AH1012" s="29"/>
      <c r="AI1012" s="135" t="s">
        <v>3045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1505</v>
      </c>
      <c r="C1013" s="40">
        <v>589</v>
      </c>
      <c r="D1013" s="38" t="s">
        <v>1503</v>
      </c>
      <c r="E1013" s="40" t="s">
        <v>2963</v>
      </c>
      <c r="F1013" s="40" t="s">
        <v>4160</v>
      </c>
      <c r="G1013" s="50"/>
      <c r="H1013" s="150" t="s">
        <v>5606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575</v>
      </c>
      <c r="U1013" s="2" t="s">
        <v>8</v>
      </c>
      <c r="V1013" s="38" t="s">
        <v>3039</v>
      </c>
      <c r="W1013" s="39">
        <v>112</v>
      </c>
      <c r="X1013" s="40"/>
      <c r="Y1013" s="40"/>
      <c r="Z1013" s="40"/>
      <c r="AA1013" s="40" t="s">
        <v>2939</v>
      </c>
      <c r="AB1013" s="40"/>
      <c r="AC1013" s="40"/>
      <c r="AD1013" s="40"/>
      <c r="AE1013" s="40" t="s">
        <v>2939</v>
      </c>
      <c r="AF1013" s="40"/>
      <c r="AG1013" s="40"/>
      <c r="AH1013" s="40"/>
      <c r="AI1013" s="40" t="s">
        <v>2961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1506</v>
      </c>
      <c r="C1014" s="40">
        <v>594</v>
      </c>
      <c r="D1014" s="38" t="s">
        <v>1503</v>
      </c>
      <c r="E1014" s="40" t="s">
        <v>2963</v>
      </c>
      <c r="F1014" s="40" t="s">
        <v>4161</v>
      </c>
      <c r="G1014" s="50"/>
      <c r="H1014" s="150" t="s">
        <v>5606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287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3039</v>
      </c>
      <c r="W1014" s="39">
        <v>104</v>
      </c>
      <c r="X1014" s="40"/>
      <c r="Y1014" s="40"/>
      <c r="Z1014" s="40"/>
      <c r="AA1014" s="40" t="s">
        <v>2939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1507</v>
      </c>
      <c r="C1015" s="40">
        <v>590</v>
      </c>
      <c r="D1015" s="38" t="s">
        <v>1503</v>
      </c>
      <c r="E1015" s="40" t="s">
        <v>2963</v>
      </c>
      <c r="F1015" s="40" t="s">
        <v>4162</v>
      </c>
      <c r="G1015" s="50"/>
      <c r="H1015" s="150" t="s">
        <v>5606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306</v>
      </c>
      <c r="U1015" s="2" t="s">
        <v>3</v>
      </c>
      <c r="V1015" s="38" t="s">
        <v>3039</v>
      </c>
      <c r="W1015" s="39">
        <v>112</v>
      </c>
      <c r="X1015" s="40"/>
      <c r="Y1015" s="40"/>
      <c r="Z1015" s="40"/>
      <c r="AA1015" s="40" t="s">
        <v>2939</v>
      </c>
      <c r="AB1015" s="40"/>
      <c r="AC1015" s="40"/>
      <c r="AD1015" s="40"/>
      <c r="AE1015" s="40" t="s">
        <v>2939</v>
      </c>
      <c r="AF1015" s="40"/>
      <c r="AG1015" s="40"/>
      <c r="AH1015" s="40"/>
      <c r="AI1015" s="40" t="s">
        <v>2959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1508</v>
      </c>
      <c r="C1016" s="83">
        <v>593</v>
      </c>
      <c r="D1016" s="113" t="s">
        <v>1503</v>
      </c>
      <c r="E1016" s="83" t="s">
        <v>2963</v>
      </c>
      <c r="F1016" s="83" t="s">
        <v>4163</v>
      </c>
      <c r="G1016" s="138"/>
      <c r="H1016" s="340" t="s">
        <v>5608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3039</v>
      </c>
      <c r="W1016" s="86">
        <v>108</v>
      </c>
      <c r="X1016" s="83"/>
      <c r="Y1016" s="83"/>
      <c r="Z1016" s="83"/>
      <c r="AA1016" s="83" t="s">
        <v>2939</v>
      </c>
      <c r="AB1016" s="83"/>
      <c r="AC1016" s="83"/>
      <c r="AD1016" s="83"/>
      <c r="AE1016" s="83" t="s">
        <v>2898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1511</v>
      </c>
      <c r="C1017" s="29">
        <v>582</v>
      </c>
      <c r="D1017" s="27" t="s">
        <v>1509</v>
      </c>
      <c r="E1017" s="29" t="s">
        <v>2963</v>
      </c>
      <c r="F1017" s="29" t="s">
        <v>4164</v>
      </c>
      <c r="G1017" s="192"/>
      <c r="H1017" s="145" t="s">
        <v>5607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138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3039</v>
      </c>
      <c r="W1017" s="28">
        <v>104</v>
      </c>
      <c r="X1017" s="29"/>
      <c r="Y1017" s="29"/>
      <c r="Z1017" s="29"/>
      <c r="AA1017" s="29" t="s">
        <v>2939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2908</v>
      </c>
      <c r="AM1017" s="164"/>
    </row>
    <row r="1018" spans="1:39" x14ac:dyDescent="0.3">
      <c r="A1018" s="15">
        <v>1017</v>
      </c>
      <c r="B1018" s="40" t="s">
        <v>1512</v>
      </c>
      <c r="C1018" s="40">
        <v>583</v>
      </c>
      <c r="D1018" s="38" t="s">
        <v>1509</v>
      </c>
      <c r="E1018" s="40" t="s">
        <v>2963</v>
      </c>
      <c r="F1018" s="40" t="s">
        <v>4165</v>
      </c>
      <c r="G1018" s="50"/>
      <c r="H1018" s="150" t="s">
        <v>5607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3039</v>
      </c>
      <c r="W1018" s="39">
        <v>108</v>
      </c>
      <c r="X1018" s="40"/>
      <c r="Y1018" s="40"/>
      <c r="Z1018" s="40"/>
      <c r="AA1018" s="40" t="s">
        <v>2939</v>
      </c>
      <c r="AB1018" s="40"/>
      <c r="AC1018" s="40"/>
      <c r="AD1018" s="40"/>
      <c r="AE1018" s="40" t="s">
        <v>2898</v>
      </c>
      <c r="AF1018" s="40"/>
      <c r="AG1018" s="40"/>
      <c r="AH1018" s="40"/>
      <c r="AI1018" s="40"/>
      <c r="AJ1018" s="39"/>
      <c r="AK1018" s="125"/>
      <c r="AL1018" s="54" t="s">
        <v>2908</v>
      </c>
      <c r="AM1018" s="167"/>
    </row>
    <row r="1019" spans="1:39" x14ac:dyDescent="0.3">
      <c r="A1019" s="15">
        <v>1018</v>
      </c>
      <c r="B1019" s="40" t="s">
        <v>1513</v>
      </c>
      <c r="C1019" s="40">
        <v>584</v>
      </c>
      <c r="D1019" s="38" t="s">
        <v>1509</v>
      </c>
      <c r="E1019" s="40" t="s">
        <v>2963</v>
      </c>
      <c r="F1019" s="40" t="s">
        <v>4166</v>
      </c>
      <c r="G1019" s="41" t="s">
        <v>5604</v>
      </c>
      <c r="H1019" s="150" t="s">
        <v>5606</v>
      </c>
      <c r="I1019" s="41" t="s">
        <v>5609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575</v>
      </c>
      <c r="U1019" s="2" t="s">
        <v>8</v>
      </c>
      <c r="V1019" s="38" t="s">
        <v>3039</v>
      </c>
      <c r="W1019" s="39">
        <v>109</v>
      </c>
      <c r="X1019" s="40"/>
      <c r="Y1019" s="40"/>
      <c r="Z1019" s="40"/>
      <c r="AA1019" s="40" t="s">
        <v>2939</v>
      </c>
      <c r="AB1019" s="40"/>
      <c r="AC1019" s="40"/>
      <c r="AD1019" s="40"/>
      <c r="AE1019" s="40"/>
      <c r="AF1019" s="40" t="s">
        <v>2939</v>
      </c>
      <c r="AG1019" s="40"/>
      <c r="AH1019" s="40"/>
      <c r="AI1019" s="40"/>
      <c r="AJ1019" s="39"/>
      <c r="AK1019" s="125"/>
      <c r="AL1019" s="54" t="s">
        <v>2908</v>
      </c>
      <c r="AM1019" s="167"/>
    </row>
    <row r="1020" spans="1:39" x14ac:dyDescent="0.3">
      <c r="A1020" s="15">
        <v>1019</v>
      </c>
      <c r="B1020" s="40" t="s">
        <v>1514</v>
      </c>
      <c r="C1020" s="40">
        <v>586</v>
      </c>
      <c r="D1020" s="38" t="s">
        <v>1509</v>
      </c>
      <c r="E1020" s="40" t="s">
        <v>2963</v>
      </c>
      <c r="F1020" s="40" t="s">
        <v>4167</v>
      </c>
      <c r="G1020" s="50"/>
      <c r="H1020" s="150" t="s">
        <v>5606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3039</v>
      </c>
      <c r="W1020" s="39">
        <v>108</v>
      </c>
      <c r="X1020" s="40"/>
      <c r="Y1020" s="40"/>
      <c r="Z1020" s="40"/>
      <c r="AA1020" s="40" t="s">
        <v>2939</v>
      </c>
      <c r="AB1020" s="40"/>
      <c r="AC1020" s="40"/>
      <c r="AD1020" s="40"/>
      <c r="AE1020" s="40" t="s">
        <v>2939</v>
      </c>
      <c r="AF1020" s="40"/>
      <c r="AG1020" s="40"/>
      <c r="AH1020" s="40"/>
      <c r="AI1020" s="40"/>
      <c r="AJ1020" s="39"/>
      <c r="AK1020" s="125"/>
      <c r="AL1020" s="54" t="s">
        <v>2908</v>
      </c>
      <c r="AM1020" s="167"/>
    </row>
    <row r="1021" spans="1:39" ht="14.4" thickBot="1" x14ac:dyDescent="0.35">
      <c r="A1021" s="15">
        <v>1020</v>
      </c>
      <c r="B1021" s="83" t="s">
        <v>1515</v>
      </c>
      <c r="C1021" s="83">
        <v>587</v>
      </c>
      <c r="D1021" s="113" t="s">
        <v>1509</v>
      </c>
      <c r="E1021" s="83" t="s">
        <v>2963</v>
      </c>
      <c r="F1021" s="83" t="s">
        <v>4168</v>
      </c>
      <c r="G1021" s="138"/>
      <c r="H1021" s="340" t="s">
        <v>5606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52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3039</v>
      </c>
      <c r="W1021" s="86">
        <v>108</v>
      </c>
      <c r="X1021" s="83"/>
      <c r="Y1021" s="83"/>
      <c r="Z1021" s="83"/>
      <c r="AA1021" s="83" t="s">
        <v>2939</v>
      </c>
      <c r="AB1021" s="83"/>
      <c r="AC1021" s="83"/>
      <c r="AD1021" s="83"/>
      <c r="AE1021" s="83" t="s">
        <v>2898</v>
      </c>
      <c r="AF1021" s="83"/>
      <c r="AG1021" s="83"/>
      <c r="AH1021" s="83"/>
      <c r="AI1021" s="83"/>
      <c r="AJ1021" s="86"/>
      <c r="AK1021" s="191"/>
      <c r="AL1021" s="157" t="s">
        <v>2908</v>
      </c>
      <c r="AM1021" s="154"/>
    </row>
    <row r="1022" spans="1:39" x14ac:dyDescent="0.3">
      <c r="A1022" s="15">
        <v>1021</v>
      </c>
      <c r="B1022" s="29" t="s">
        <v>1517</v>
      </c>
      <c r="C1022" s="29">
        <v>568</v>
      </c>
      <c r="D1022" s="27" t="s">
        <v>1516</v>
      </c>
      <c r="E1022" s="29" t="s">
        <v>2963</v>
      </c>
      <c r="F1022" s="29" t="s">
        <v>4169</v>
      </c>
      <c r="G1022" s="192"/>
      <c r="H1022" s="145" t="s">
        <v>5606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3039</v>
      </c>
      <c r="W1022" s="28">
        <v>108</v>
      </c>
      <c r="X1022" s="29"/>
      <c r="Y1022" s="29"/>
      <c r="Z1022" s="29"/>
      <c r="AA1022" s="29" t="s">
        <v>2939</v>
      </c>
      <c r="AB1022" s="29"/>
      <c r="AC1022" s="29"/>
      <c r="AD1022" s="29"/>
      <c r="AE1022" s="29" t="s">
        <v>2939</v>
      </c>
      <c r="AF1022" s="29"/>
      <c r="AG1022" s="29"/>
      <c r="AH1022" s="29"/>
      <c r="AI1022" s="29"/>
      <c r="AJ1022" s="28"/>
      <c r="AK1022" s="190"/>
      <c r="AL1022" s="105" t="s">
        <v>2908</v>
      </c>
      <c r="AM1022" s="164"/>
    </row>
    <row r="1023" spans="1:39" x14ac:dyDescent="0.3">
      <c r="A1023" s="15">
        <v>1022</v>
      </c>
      <c r="B1023" s="40" t="s">
        <v>1518</v>
      </c>
      <c r="C1023" s="40">
        <v>569</v>
      </c>
      <c r="D1023" s="38" t="s">
        <v>1516</v>
      </c>
      <c r="E1023" s="40" t="s">
        <v>2963</v>
      </c>
      <c r="F1023" s="40" t="s">
        <v>4170</v>
      </c>
      <c r="G1023" s="50"/>
      <c r="H1023" s="150" t="s">
        <v>5606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172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3039</v>
      </c>
      <c r="W1023" s="39">
        <v>108</v>
      </c>
      <c r="X1023" s="40"/>
      <c r="Y1023" s="40"/>
      <c r="Z1023" s="40"/>
      <c r="AA1023" s="40" t="s">
        <v>2939</v>
      </c>
      <c r="AB1023" s="40"/>
      <c r="AC1023" s="40"/>
      <c r="AD1023" s="40"/>
      <c r="AE1023" s="40" t="s">
        <v>2939</v>
      </c>
      <c r="AF1023" s="40"/>
      <c r="AG1023" s="40"/>
      <c r="AH1023" s="40"/>
      <c r="AI1023" s="40"/>
      <c r="AJ1023" s="39"/>
      <c r="AK1023" s="125"/>
      <c r="AL1023" s="54" t="s">
        <v>2908</v>
      </c>
      <c r="AM1023" s="167"/>
    </row>
    <row r="1024" spans="1:39" ht="14.4" thickBot="1" x14ac:dyDescent="0.35">
      <c r="A1024" s="15">
        <v>1023</v>
      </c>
      <c r="B1024" s="83" t="s">
        <v>1519</v>
      </c>
      <c r="C1024" s="83">
        <v>581</v>
      </c>
      <c r="D1024" s="113" t="s">
        <v>1516</v>
      </c>
      <c r="E1024" s="83" t="s">
        <v>2963</v>
      </c>
      <c r="F1024" s="83" t="s">
        <v>4171</v>
      </c>
      <c r="G1024" s="47" t="s">
        <v>5604</v>
      </c>
      <c r="H1024" s="340" t="s">
        <v>5606</v>
      </c>
      <c r="I1024" s="47" t="s">
        <v>5609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575</v>
      </c>
      <c r="U1024" s="85" t="s">
        <v>8</v>
      </c>
      <c r="V1024" s="113" t="s">
        <v>3039</v>
      </c>
      <c r="W1024" s="86">
        <v>109</v>
      </c>
      <c r="X1024" s="83"/>
      <c r="Y1024" s="83"/>
      <c r="Z1024" s="83"/>
      <c r="AA1024" s="83" t="s">
        <v>2939</v>
      </c>
      <c r="AB1024" s="83"/>
      <c r="AC1024" s="83"/>
      <c r="AD1024" s="83"/>
      <c r="AE1024" s="83"/>
      <c r="AF1024" s="83" t="s">
        <v>2939</v>
      </c>
      <c r="AG1024" s="83"/>
      <c r="AH1024" s="83"/>
      <c r="AI1024" s="83"/>
      <c r="AJ1024" s="86"/>
      <c r="AK1024" s="191"/>
      <c r="AL1024" s="157" t="s">
        <v>2908</v>
      </c>
      <c r="AM1024" s="154"/>
    </row>
    <row r="1025" spans="1:39" ht="14.4" thickBot="1" x14ac:dyDescent="0.35">
      <c r="A1025" s="15">
        <v>1024</v>
      </c>
      <c r="B1025" s="205" t="s">
        <v>1646</v>
      </c>
      <c r="C1025" s="205">
        <v>284</v>
      </c>
      <c r="D1025" s="203" t="s">
        <v>1645</v>
      </c>
      <c r="E1025" s="205" t="s">
        <v>2963</v>
      </c>
      <c r="F1025" s="205" t="s">
        <v>4172</v>
      </c>
      <c r="G1025" s="207" t="s">
        <v>5604</v>
      </c>
      <c r="H1025" s="453" t="s">
        <v>5606</v>
      </c>
      <c r="I1025" s="207" t="s">
        <v>5609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575</v>
      </c>
      <c r="U1025" s="206" t="s">
        <v>8</v>
      </c>
      <c r="V1025" s="203" t="s">
        <v>3039</v>
      </c>
      <c r="W1025" s="208">
        <v>109</v>
      </c>
      <c r="X1025" s="205"/>
      <c r="Y1025" s="211"/>
      <c r="Z1025" s="205"/>
      <c r="AA1025" s="205"/>
      <c r="AB1025" s="205"/>
      <c r="AC1025" s="205" t="s">
        <v>2939</v>
      </c>
      <c r="AD1025" s="205"/>
      <c r="AE1025" s="205"/>
      <c r="AF1025" s="205" t="s">
        <v>2939</v>
      </c>
      <c r="AG1025" s="205"/>
      <c r="AH1025" s="205"/>
      <c r="AI1025" s="205"/>
      <c r="AJ1025" s="208"/>
      <c r="AK1025" s="274"/>
      <c r="AL1025" s="275" t="s">
        <v>2908</v>
      </c>
      <c r="AM1025" s="202"/>
    </row>
    <row r="1026" spans="1:39" x14ac:dyDescent="0.3">
      <c r="A1026" s="15">
        <v>1025</v>
      </c>
      <c r="B1026" s="75" t="s">
        <v>1610</v>
      </c>
      <c r="C1026" s="75">
        <v>1545</v>
      </c>
      <c r="D1026" s="67" t="s">
        <v>1609</v>
      </c>
      <c r="E1026" s="75" t="s">
        <v>2929</v>
      </c>
      <c r="F1026" s="75" t="s">
        <v>4173</v>
      </c>
      <c r="G1026" s="76" t="s">
        <v>5604</v>
      </c>
      <c r="H1026" s="414" t="s">
        <v>5606</v>
      </c>
      <c r="I1026" s="76" t="s">
        <v>5609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575</v>
      </c>
      <c r="U1026" s="69" t="s">
        <v>8</v>
      </c>
      <c r="V1026" s="67" t="s">
        <v>3039</v>
      </c>
      <c r="W1026" s="70">
        <v>110</v>
      </c>
      <c r="X1026" s="75"/>
      <c r="Y1026" s="75"/>
      <c r="Z1026" s="75"/>
      <c r="AA1026" s="75"/>
      <c r="AB1026" s="75"/>
      <c r="AC1026" s="75" t="s">
        <v>2939</v>
      </c>
      <c r="AD1026" s="75"/>
      <c r="AE1026" s="75" t="s">
        <v>2898</v>
      </c>
      <c r="AF1026" s="75"/>
      <c r="AG1026" s="75" t="s">
        <v>2939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1611</v>
      </c>
      <c r="C1027" s="83">
        <v>1544</v>
      </c>
      <c r="D1027" s="113" t="s">
        <v>1609</v>
      </c>
      <c r="E1027" s="83" t="s">
        <v>2929</v>
      </c>
      <c r="F1027" s="83" t="s">
        <v>4174</v>
      </c>
      <c r="G1027" s="47" t="s">
        <v>5604</v>
      </c>
      <c r="H1027" s="340" t="s">
        <v>5608</v>
      </c>
      <c r="I1027" s="47" t="s">
        <v>5609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102</v>
      </c>
      <c r="Q1027" s="88">
        <v>29.8</v>
      </c>
      <c r="R1027" s="88">
        <v>247</v>
      </c>
      <c r="S1027" s="88">
        <v>91.7</v>
      </c>
      <c r="T1027" s="85" t="s">
        <v>575</v>
      </c>
      <c r="U1027" s="85" t="str">
        <f>U1026</f>
        <v>監測</v>
      </c>
      <c r="V1027" s="113" t="s">
        <v>3039</v>
      </c>
      <c r="W1027" s="86">
        <v>110</v>
      </c>
      <c r="X1027" s="83"/>
      <c r="Y1027" s="83"/>
      <c r="Z1027" s="83"/>
      <c r="AA1027" s="83"/>
      <c r="AB1027" s="83"/>
      <c r="AC1027" s="83" t="s">
        <v>2939</v>
      </c>
      <c r="AD1027" s="83"/>
      <c r="AE1027" s="83" t="s">
        <v>2898</v>
      </c>
      <c r="AF1027" s="83"/>
      <c r="AG1027" s="83" t="s">
        <v>2939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1619</v>
      </c>
      <c r="C1028" s="19">
        <v>1531</v>
      </c>
      <c r="D1028" s="17" t="s">
        <v>1618</v>
      </c>
      <c r="E1028" s="315" t="s">
        <v>2929</v>
      </c>
      <c r="F1028" s="315" t="s">
        <v>4175</v>
      </c>
      <c r="G1028" s="21" t="s">
        <v>5604</v>
      </c>
      <c r="H1028" s="434" t="s">
        <v>5606</v>
      </c>
      <c r="I1028" s="21" t="s">
        <v>5609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575</v>
      </c>
      <c r="U1028" s="20" t="s">
        <v>8</v>
      </c>
      <c r="V1028" s="17" t="s">
        <v>3039</v>
      </c>
      <c r="W1028" s="222">
        <v>110</v>
      </c>
      <c r="X1028" s="19"/>
      <c r="Y1028" s="19"/>
      <c r="Z1028" s="19"/>
      <c r="AA1028" s="19"/>
      <c r="AB1028" s="19" t="s">
        <v>2939</v>
      </c>
      <c r="AC1028" s="19"/>
      <c r="AD1028" s="19"/>
      <c r="AE1028" s="19" t="s">
        <v>2898</v>
      </c>
      <c r="AF1028" s="19"/>
      <c r="AG1028" s="19" t="s">
        <v>2939</v>
      </c>
      <c r="AH1028" s="19"/>
      <c r="AI1028" s="19"/>
      <c r="AJ1028" s="222"/>
      <c r="AK1028" s="314"/>
      <c r="AL1028" s="257" t="s">
        <v>2908</v>
      </c>
      <c r="AM1028" s="289"/>
    </row>
    <row r="1029" spans="1:39" x14ac:dyDescent="0.3">
      <c r="A1029" s="15">
        <v>1028</v>
      </c>
      <c r="B1029" s="29" t="s">
        <v>1633</v>
      </c>
      <c r="C1029" s="29">
        <v>1706</v>
      </c>
      <c r="D1029" s="27" t="s">
        <v>1632</v>
      </c>
      <c r="E1029" s="29" t="s">
        <v>2929</v>
      </c>
      <c r="F1029" s="29" t="s">
        <v>4176</v>
      </c>
      <c r="G1029" s="31" t="s">
        <v>5604</v>
      </c>
      <c r="H1029" s="145" t="s">
        <v>5606</v>
      </c>
      <c r="I1029" s="31" t="s">
        <v>5609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3039</v>
      </c>
      <c r="W1029" s="28">
        <v>110</v>
      </c>
      <c r="X1029" s="29"/>
      <c r="Y1029" s="29"/>
      <c r="Z1029" s="29" t="s">
        <v>2939</v>
      </c>
      <c r="AA1029" s="29"/>
      <c r="AB1029" s="29"/>
      <c r="AC1029" s="29"/>
      <c r="AD1029" s="29" t="s">
        <v>2939</v>
      </c>
      <c r="AE1029" s="29"/>
      <c r="AF1029" s="29"/>
      <c r="AG1029" s="29" t="s">
        <v>2939</v>
      </c>
      <c r="AH1029" s="29"/>
      <c r="AI1029" s="29"/>
      <c r="AJ1029" s="28"/>
      <c r="AK1029" s="190"/>
      <c r="AL1029" s="105" t="s">
        <v>2908</v>
      </c>
      <c r="AM1029" s="164"/>
    </row>
    <row r="1030" spans="1:39" x14ac:dyDescent="0.3">
      <c r="A1030" s="15">
        <v>1029</v>
      </c>
      <c r="B1030" s="40" t="s">
        <v>1634</v>
      </c>
      <c r="C1030" s="40">
        <v>1707</v>
      </c>
      <c r="D1030" s="38" t="s">
        <v>1632</v>
      </c>
      <c r="E1030" s="40" t="s">
        <v>2929</v>
      </c>
      <c r="F1030" s="40" t="s">
        <v>4177</v>
      </c>
      <c r="G1030" s="41" t="s">
        <v>5604</v>
      </c>
      <c r="H1030" s="150" t="s">
        <v>5606</v>
      </c>
      <c r="I1030" s="41" t="s">
        <v>5609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575</v>
      </c>
      <c r="U1030" s="2" t="s">
        <v>8</v>
      </c>
      <c r="V1030" s="38" t="s">
        <v>3039</v>
      </c>
      <c r="W1030" s="39">
        <v>110</v>
      </c>
      <c r="X1030" s="40"/>
      <c r="Y1030" s="40"/>
      <c r="Z1030" s="40" t="s">
        <v>2939</v>
      </c>
      <c r="AA1030" s="40"/>
      <c r="AB1030" s="40"/>
      <c r="AC1030" s="40"/>
      <c r="AD1030" s="40" t="s">
        <v>2939</v>
      </c>
      <c r="AE1030" s="40"/>
      <c r="AF1030" s="40"/>
      <c r="AG1030" s="40" t="s">
        <v>2939</v>
      </c>
      <c r="AH1030" s="40"/>
      <c r="AI1030" s="40"/>
      <c r="AJ1030" s="39"/>
      <c r="AK1030" s="125"/>
      <c r="AL1030" s="54" t="s">
        <v>2908</v>
      </c>
      <c r="AM1030" s="167"/>
    </row>
    <row r="1031" spans="1:39" ht="14.4" thickBot="1" x14ac:dyDescent="0.35">
      <c r="A1031" s="15">
        <v>1030</v>
      </c>
      <c r="B1031" s="83" t="s">
        <v>1635</v>
      </c>
      <c r="C1031" s="83">
        <v>1708</v>
      </c>
      <c r="D1031" s="113" t="s">
        <v>1632</v>
      </c>
      <c r="E1031" s="83" t="s">
        <v>2929</v>
      </c>
      <c r="F1031" s="83" t="s">
        <v>4178</v>
      </c>
      <c r="G1031" s="47" t="s">
        <v>5604</v>
      </c>
      <c r="H1031" s="340" t="s">
        <v>5608</v>
      </c>
      <c r="I1031" s="47" t="s">
        <v>5609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102</v>
      </c>
      <c r="Q1031" s="88">
        <v>26.1</v>
      </c>
      <c r="R1031" s="88">
        <v>259</v>
      </c>
      <c r="S1031" s="88">
        <v>74.599999999999994</v>
      </c>
      <c r="T1031" s="85" t="s">
        <v>575</v>
      </c>
      <c r="U1031" s="85" t="s">
        <v>8</v>
      </c>
      <c r="V1031" s="113" t="s">
        <v>3039</v>
      </c>
      <c r="W1031" s="86">
        <v>110</v>
      </c>
      <c r="X1031" s="83"/>
      <c r="Y1031" s="83"/>
      <c r="Z1031" s="83" t="s">
        <v>2939</v>
      </c>
      <c r="AA1031" s="83"/>
      <c r="AB1031" s="83"/>
      <c r="AC1031" s="83"/>
      <c r="AD1031" s="83" t="s">
        <v>2939</v>
      </c>
      <c r="AE1031" s="83"/>
      <c r="AF1031" s="83"/>
      <c r="AG1031" s="83" t="s">
        <v>2939</v>
      </c>
      <c r="AH1031" s="83"/>
      <c r="AI1031" s="83"/>
      <c r="AJ1031" s="86"/>
      <c r="AK1031" s="191"/>
      <c r="AL1031" s="157" t="s">
        <v>2908</v>
      </c>
      <c r="AM1031" s="154"/>
    </row>
    <row r="1032" spans="1:39" x14ac:dyDescent="0.3">
      <c r="A1032" s="15">
        <v>1031</v>
      </c>
      <c r="B1032" s="29" t="s">
        <v>1640</v>
      </c>
      <c r="C1032" s="29">
        <v>1469</v>
      </c>
      <c r="D1032" s="27" t="s">
        <v>1638</v>
      </c>
      <c r="E1032" s="29" t="s">
        <v>2929</v>
      </c>
      <c r="F1032" s="29" t="s">
        <v>4179</v>
      </c>
      <c r="G1032" s="31" t="s">
        <v>5604</v>
      </c>
      <c r="H1032" s="145" t="s">
        <v>5608</v>
      </c>
      <c r="I1032" s="31" t="s">
        <v>5609</v>
      </c>
      <c r="J1032" s="33">
        <v>198003</v>
      </c>
      <c r="K1032" s="33">
        <v>2664679</v>
      </c>
      <c r="L1032" s="33" t="s">
        <v>412</v>
      </c>
      <c r="M1032" s="34">
        <v>9.49</v>
      </c>
      <c r="N1032" s="33">
        <v>198</v>
      </c>
      <c r="O1032" s="33">
        <v>96.4</v>
      </c>
      <c r="P1032" s="33" t="s">
        <v>331</v>
      </c>
      <c r="Q1032" s="33">
        <v>35.799999999999997</v>
      </c>
      <c r="R1032" s="33">
        <v>409</v>
      </c>
      <c r="S1032" s="33">
        <v>132</v>
      </c>
      <c r="T1032" s="30" t="s">
        <v>575</v>
      </c>
      <c r="U1032" s="30" t="str">
        <f>U1034</f>
        <v>監測</v>
      </c>
      <c r="V1032" s="27" t="s">
        <v>3039</v>
      </c>
      <c r="W1032" s="28">
        <v>109</v>
      </c>
      <c r="X1032" s="29"/>
      <c r="Y1032" s="102"/>
      <c r="Z1032" s="29"/>
      <c r="AA1032" s="29"/>
      <c r="AB1032" s="29"/>
      <c r="AC1032" s="29" t="s">
        <v>2898</v>
      </c>
      <c r="AD1032" s="29"/>
      <c r="AE1032" s="29"/>
      <c r="AF1032" s="29" t="s">
        <v>2939</v>
      </c>
      <c r="AG1032" s="29"/>
      <c r="AH1032" s="29"/>
      <c r="AI1032" s="29"/>
      <c r="AJ1032" s="28"/>
      <c r="AK1032" s="190"/>
      <c r="AL1032" s="105" t="s">
        <v>2908</v>
      </c>
      <c r="AM1032" s="164"/>
    </row>
    <row r="1033" spans="1:39" x14ac:dyDescent="0.3">
      <c r="A1033" s="15">
        <v>1032</v>
      </c>
      <c r="B1033" s="40" t="s">
        <v>1641</v>
      </c>
      <c r="C1033" s="40">
        <v>1470</v>
      </c>
      <c r="D1033" s="38" t="s">
        <v>1638</v>
      </c>
      <c r="E1033" s="40" t="s">
        <v>2929</v>
      </c>
      <c r="F1033" s="40" t="s">
        <v>4180</v>
      </c>
      <c r="G1033" s="41" t="s">
        <v>5604</v>
      </c>
      <c r="H1033" s="150" t="s">
        <v>5608</v>
      </c>
      <c r="I1033" s="41" t="s">
        <v>5609</v>
      </c>
      <c r="J1033" s="43">
        <v>197921</v>
      </c>
      <c r="K1033" s="43">
        <v>2664687</v>
      </c>
      <c r="L1033" s="43" t="s">
        <v>412</v>
      </c>
      <c r="M1033" s="44">
        <v>12.6</v>
      </c>
      <c r="N1033" s="43">
        <v>171</v>
      </c>
      <c r="O1033" s="43">
        <v>52.3</v>
      </c>
      <c r="P1033" s="43" t="s">
        <v>331</v>
      </c>
      <c r="Q1033" s="43">
        <v>32.299999999999997</v>
      </c>
      <c r="R1033" s="43">
        <v>294</v>
      </c>
      <c r="S1033" s="43">
        <v>69.3</v>
      </c>
      <c r="T1033" s="2" t="s">
        <v>306</v>
      </c>
      <c r="U1033" s="2" t="str">
        <f>U1035</f>
        <v>正常</v>
      </c>
      <c r="V1033" s="38" t="s">
        <v>3039</v>
      </c>
      <c r="W1033" s="39">
        <v>109</v>
      </c>
      <c r="X1033" s="40"/>
      <c r="Y1033" s="106"/>
      <c r="Z1033" s="40"/>
      <c r="AA1033" s="40"/>
      <c r="AB1033" s="40"/>
      <c r="AC1033" s="40" t="s">
        <v>2898</v>
      </c>
      <c r="AD1033" s="40"/>
      <c r="AE1033" s="40"/>
      <c r="AF1033" s="40" t="s">
        <v>2898</v>
      </c>
      <c r="AG1033" s="40"/>
      <c r="AH1033" s="40"/>
      <c r="AI1033" s="40"/>
      <c r="AJ1033" s="39"/>
      <c r="AK1033" s="125"/>
      <c r="AL1033" s="54" t="s">
        <v>2908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1638</v>
      </c>
      <c r="E1034" s="40" t="s">
        <v>2929</v>
      </c>
      <c r="F1034" s="40" t="s">
        <v>4181</v>
      </c>
      <c r="G1034" s="41" t="s">
        <v>5604</v>
      </c>
      <c r="H1034" s="150" t="s">
        <v>5606</v>
      </c>
      <c r="I1034" s="41" t="s">
        <v>5609</v>
      </c>
      <c r="J1034" s="43">
        <v>197998</v>
      </c>
      <c r="K1034" s="43">
        <v>2664662</v>
      </c>
      <c r="L1034" s="43" t="s">
        <v>40</v>
      </c>
      <c r="M1034" s="44">
        <v>10</v>
      </c>
      <c r="N1034" s="43">
        <v>157</v>
      </c>
      <c r="O1034" s="43">
        <v>68</v>
      </c>
      <c r="P1034" s="43" t="s">
        <v>41</v>
      </c>
      <c r="Q1034" s="43">
        <v>32</v>
      </c>
      <c r="R1034" s="43">
        <v>198</v>
      </c>
      <c r="S1034" s="43">
        <v>59</v>
      </c>
      <c r="T1034" s="2" t="s">
        <v>575</v>
      </c>
      <c r="U1034" s="2" t="s">
        <v>8</v>
      </c>
      <c r="V1034" s="38" t="s">
        <v>3039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2939</v>
      </c>
      <c r="AG1034" s="40"/>
      <c r="AH1034" s="40"/>
      <c r="AI1034" s="40"/>
      <c r="AJ1034" s="39"/>
      <c r="AK1034" s="125"/>
      <c r="AL1034" s="54" t="s">
        <v>2908</v>
      </c>
      <c r="AM1034" s="167"/>
    </row>
    <row r="1035" spans="1:39" ht="14.4" thickBot="1" x14ac:dyDescent="0.35">
      <c r="A1035" s="15">
        <v>1034</v>
      </c>
      <c r="B1035" s="83" t="s">
        <v>1642</v>
      </c>
      <c r="C1035" s="83">
        <v>2502</v>
      </c>
      <c r="D1035" s="113" t="s">
        <v>1638</v>
      </c>
      <c r="E1035" s="83" t="s">
        <v>2929</v>
      </c>
      <c r="F1035" s="83" t="s">
        <v>4182</v>
      </c>
      <c r="G1035" s="138"/>
      <c r="H1035" s="340" t="s">
        <v>5606</v>
      </c>
      <c r="I1035" s="138"/>
      <c r="J1035" s="88">
        <v>197989</v>
      </c>
      <c r="K1035" s="88">
        <v>2664640</v>
      </c>
      <c r="L1035" s="88" t="s">
        <v>1643</v>
      </c>
      <c r="M1035" s="89">
        <v>8.3800000000000008</v>
      </c>
      <c r="N1035" s="88">
        <v>208</v>
      </c>
      <c r="O1035" s="88">
        <v>85</v>
      </c>
      <c r="P1035" s="88" t="s">
        <v>1644</v>
      </c>
      <c r="Q1035" s="88">
        <v>34.1</v>
      </c>
      <c r="R1035" s="88">
        <v>382</v>
      </c>
      <c r="S1035" s="88">
        <v>112</v>
      </c>
      <c r="T1035" s="85" t="s">
        <v>306</v>
      </c>
      <c r="U1035" s="85" t="s">
        <v>3</v>
      </c>
      <c r="V1035" s="113" t="s">
        <v>3039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2898</v>
      </c>
      <c r="AG1035" s="83"/>
      <c r="AH1035" s="83"/>
      <c r="AI1035" s="83"/>
      <c r="AJ1035" s="86"/>
      <c r="AK1035" s="191"/>
      <c r="AL1035" s="157" t="s">
        <v>2908</v>
      </c>
      <c r="AM1035" s="154"/>
    </row>
    <row r="1036" spans="1:39" ht="26.4" x14ac:dyDescent="0.3">
      <c r="A1036" s="15">
        <v>1035</v>
      </c>
      <c r="B1036" s="29" t="s">
        <v>1655</v>
      </c>
      <c r="C1036" s="29">
        <v>526</v>
      </c>
      <c r="D1036" s="27" t="s">
        <v>1654</v>
      </c>
      <c r="E1036" s="29" t="s">
        <v>2963</v>
      </c>
      <c r="F1036" s="29" t="s">
        <v>4183</v>
      </c>
      <c r="G1036" s="31" t="s">
        <v>5604</v>
      </c>
      <c r="H1036" s="145" t="s">
        <v>5608</v>
      </c>
      <c r="I1036" s="31" t="s">
        <v>5609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236</v>
      </c>
      <c r="Q1036" s="33">
        <v>34.4</v>
      </c>
      <c r="R1036" s="33">
        <v>295</v>
      </c>
      <c r="S1036" s="33">
        <v>60.4</v>
      </c>
      <c r="T1036" s="141" t="s">
        <v>708</v>
      </c>
      <c r="U1036" s="30" t="s">
        <v>56</v>
      </c>
      <c r="V1036" s="27" t="s">
        <v>3039</v>
      </c>
      <c r="W1036" s="28">
        <v>110</v>
      </c>
      <c r="X1036" s="29"/>
      <c r="Y1036" s="29"/>
      <c r="Z1036" s="29"/>
      <c r="AA1036" s="29" t="s">
        <v>2939</v>
      </c>
      <c r="AB1036" s="29"/>
      <c r="AC1036" s="29"/>
      <c r="AD1036" s="29"/>
      <c r="AE1036" s="29" t="s">
        <v>2939</v>
      </c>
      <c r="AF1036" s="29"/>
      <c r="AG1036" s="29" t="s">
        <v>2943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1656</v>
      </c>
      <c r="C1037" s="40">
        <v>591</v>
      </c>
      <c r="D1037" s="38" t="s">
        <v>1654</v>
      </c>
      <c r="E1037" s="40" t="s">
        <v>2963</v>
      </c>
      <c r="F1037" s="40" t="s">
        <v>4184</v>
      </c>
      <c r="G1037" s="41" t="s">
        <v>5604</v>
      </c>
      <c r="H1037" s="150" t="s">
        <v>5606</v>
      </c>
      <c r="I1037" s="41" t="s">
        <v>5609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209</v>
      </c>
      <c r="Q1037" s="43">
        <v>34.200000000000003</v>
      </c>
      <c r="R1037" s="43">
        <v>278</v>
      </c>
      <c r="S1037" s="43">
        <v>60.8</v>
      </c>
      <c r="T1037" s="2" t="s">
        <v>575</v>
      </c>
      <c r="U1037" s="2" t="s">
        <v>8</v>
      </c>
      <c r="V1037" s="38" t="s">
        <v>3039</v>
      </c>
      <c r="W1037" s="39">
        <v>109</v>
      </c>
      <c r="X1037" s="40"/>
      <c r="Y1037" s="40"/>
      <c r="Z1037" s="40"/>
      <c r="AA1037" s="40" t="s">
        <v>2939</v>
      </c>
      <c r="AB1037" s="40"/>
      <c r="AC1037" s="40"/>
      <c r="AD1037" s="40"/>
      <c r="AE1037" s="40"/>
      <c r="AF1037" s="40" t="s">
        <v>2939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1657</v>
      </c>
      <c r="C1038" s="40">
        <v>592</v>
      </c>
      <c r="D1038" s="38" t="s">
        <v>1654</v>
      </c>
      <c r="E1038" s="40" t="s">
        <v>2963</v>
      </c>
      <c r="F1038" s="40" t="s">
        <v>4185</v>
      </c>
      <c r="G1038" s="41" t="s">
        <v>5604</v>
      </c>
      <c r="H1038" s="150" t="s">
        <v>5606</v>
      </c>
      <c r="I1038" s="41" t="s">
        <v>5609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55</v>
      </c>
      <c r="Q1038" s="43">
        <v>32.5</v>
      </c>
      <c r="R1038" s="43">
        <v>301</v>
      </c>
      <c r="S1038" s="43">
        <v>93</v>
      </c>
      <c r="T1038" s="2" t="s">
        <v>575</v>
      </c>
      <c r="U1038" s="2" t="s">
        <v>8</v>
      </c>
      <c r="V1038" s="38" t="s">
        <v>3039</v>
      </c>
      <c r="W1038" s="39">
        <v>110</v>
      </c>
      <c r="X1038" s="40"/>
      <c r="Y1038" s="40"/>
      <c r="Z1038" s="40"/>
      <c r="AA1038" s="40" t="s">
        <v>2939</v>
      </c>
      <c r="AB1038" s="40"/>
      <c r="AC1038" s="40"/>
      <c r="AD1038" s="40"/>
      <c r="AE1038" s="40" t="s">
        <v>2898</v>
      </c>
      <c r="AF1038" s="40"/>
      <c r="AG1038" s="40" t="s">
        <v>2939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1658</v>
      </c>
      <c r="C1039" s="40">
        <v>536</v>
      </c>
      <c r="D1039" s="38" t="s">
        <v>1654</v>
      </c>
      <c r="E1039" s="40" t="s">
        <v>2963</v>
      </c>
      <c r="F1039" s="40" t="s">
        <v>4186</v>
      </c>
      <c r="G1039" s="50"/>
      <c r="H1039" s="150" t="s">
        <v>5608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122</v>
      </c>
      <c r="Q1039" s="43">
        <v>34.9</v>
      </c>
      <c r="R1039" s="43">
        <v>492</v>
      </c>
      <c r="S1039" s="43">
        <v>83.7</v>
      </c>
      <c r="T1039" s="79" t="s">
        <v>708</v>
      </c>
      <c r="U1039" s="2" t="s">
        <v>56</v>
      </c>
      <c r="V1039" s="38" t="s">
        <v>3039</v>
      </c>
      <c r="W1039" s="39">
        <v>108</v>
      </c>
      <c r="X1039" s="40"/>
      <c r="Y1039" s="40"/>
      <c r="Z1039" s="40"/>
      <c r="AA1039" s="40" t="s">
        <v>2939</v>
      </c>
      <c r="AB1039" s="40"/>
      <c r="AC1039" s="40"/>
      <c r="AD1039" s="40"/>
      <c r="AE1039" s="40" t="s">
        <v>2943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1659</v>
      </c>
      <c r="C1040" s="83">
        <v>2439</v>
      </c>
      <c r="D1040" s="113" t="s">
        <v>1654</v>
      </c>
      <c r="E1040" s="83" t="s">
        <v>2963</v>
      </c>
      <c r="F1040" s="83" t="s">
        <v>4187</v>
      </c>
      <c r="G1040" s="47" t="s">
        <v>5604</v>
      </c>
      <c r="H1040" s="340" t="s">
        <v>5608</v>
      </c>
      <c r="I1040" s="47" t="s">
        <v>5609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236</v>
      </c>
      <c r="Q1040" s="88">
        <v>34.4</v>
      </c>
      <c r="R1040" s="88">
        <v>295</v>
      </c>
      <c r="S1040" s="88">
        <v>60.4</v>
      </c>
      <c r="T1040" s="112" t="s">
        <v>708</v>
      </c>
      <c r="U1040" s="85" t="str">
        <f>U1036</f>
        <v>管制</v>
      </c>
      <c r="V1040" s="113" t="s">
        <v>3039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2943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1662</v>
      </c>
      <c r="C1041" s="29">
        <v>538</v>
      </c>
      <c r="D1041" s="27" t="s">
        <v>1660</v>
      </c>
      <c r="E1041" s="29" t="s">
        <v>2963</v>
      </c>
      <c r="F1041" s="29" t="s">
        <v>4188</v>
      </c>
      <c r="G1041" s="31" t="s">
        <v>5604</v>
      </c>
      <c r="H1041" s="145" t="s">
        <v>5606</v>
      </c>
      <c r="I1041" s="31" t="s">
        <v>5609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155</v>
      </c>
      <c r="Q1041" s="33">
        <v>29.9</v>
      </c>
      <c r="R1041" s="33">
        <v>321</v>
      </c>
      <c r="S1041" s="33">
        <v>104</v>
      </c>
      <c r="T1041" s="30" t="s">
        <v>306</v>
      </c>
      <c r="U1041" s="30" t="s">
        <v>3</v>
      </c>
      <c r="V1041" s="27" t="s">
        <v>3039</v>
      </c>
      <c r="W1041" s="28">
        <v>111</v>
      </c>
      <c r="X1041" s="29"/>
      <c r="Y1041" s="29"/>
      <c r="Z1041" s="29"/>
      <c r="AA1041" s="29" t="s">
        <v>2939</v>
      </c>
      <c r="AB1041" s="29"/>
      <c r="AC1041" s="29"/>
      <c r="AD1041" s="29"/>
      <c r="AE1041" s="29"/>
      <c r="AF1041" s="29" t="s">
        <v>2939</v>
      </c>
      <c r="AG1041" s="29"/>
      <c r="AH1041" s="29" t="s">
        <v>2898</v>
      </c>
      <c r="AI1041" s="29"/>
      <c r="AJ1041" s="28"/>
      <c r="AK1041" s="190"/>
      <c r="AL1041" s="105" t="s">
        <v>2908</v>
      </c>
      <c r="AM1041" s="164"/>
    </row>
    <row r="1042" spans="1:39" ht="14.4" thickBot="1" x14ac:dyDescent="0.35">
      <c r="A1042" s="15">
        <v>1041</v>
      </c>
      <c r="B1042" s="83" t="s">
        <v>1663</v>
      </c>
      <c r="C1042" s="83">
        <v>545</v>
      </c>
      <c r="D1042" s="113" t="s">
        <v>1660</v>
      </c>
      <c r="E1042" s="83" t="s">
        <v>2963</v>
      </c>
      <c r="F1042" s="83" t="s">
        <v>4189</v>
      </c>
      <c r="G1042" s="47" t="s">
        <v>5604</v>
      </c>
      <c r="H1042" s="340" t="s">
        <v>5606</v>
      </c>
      <c r="I1042" s="47" t="s">
        <v>5609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575</v>
      </c>
      <c r="U1042" s="85" t="s">
        <v>8</v>
      </c>
      <c r="V1042" s="113" t="s">
        <v>3039</v>
      </c>
      <c r="W1042" s="86">
        <v>111</v>
      </c>
      <c r="X1042" s="83"/>
      <c r="Y1042" s="83"/>
      <c r="Z1042" s="83"/>
      <c r="AA1042" s="83" t="s">
        <v>2939</v>
      </c>
      <c r="AB1042" s="83"/>
      <c r="AC1042" s="83"/>
      <c r="AD1042" s="83"/>
      <c r="AE1042" s="83"/>
      <c r="AF1042" s="83" t="s">
        <v>2939</v>
      </c>
      <c r="AG1042" s="83"/>
      <c r="AH1042" s="83" t="s">
        <v>2939</v>
      </c>
      <c r="AI1042" s="83"/>
      <c r="AJ1042" s="86"/>
      <c r="AK1042" s="191"/>
      <c r="AL1042" s="157" t="s">
        <v>2908</v>
      </c>
      <c r="AM1042" s="154"/>
    </row>
    <row r="1043" spans="1:39" x14ac:dyDescent="0.3">
      <c r="A1043" s="15">
        <v>1042</v>
      </c>
      <c r="B1043" s="29" t="s">
        <v>1683</v>
      </c>
      <c r="C1043" s="29">
        <v>336</v>
      </c>
      <c r="D1043" s="27" t="s">
        <v>3046</v>
      </c>
      <c r="E1043" s="29" t="s">
        <v>2963</v>
      </c>
      <c r="F1043" s="29" t="s">
        <v>4190</v>
      </c>
      <c r="G1043" s="192" t="s">
        <v>5604</v>
      </c>
      <c r="H1043" s="145" t="s">
        <v>5606</v>
      </c>
      <c r="I1043" s="192" t="s">
        <v>5609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575</v>
      </c>
      <c r="U1043" s="30" t="s">
        <v>8</v>
      </c>
      <c r="V1043" s="27" t="s">
        <v>3039</v>
      </c>
      <c r="W1043" s="28">
        <v>109</v>
      </c>
      <c r="X1043" s="29"/>
      <c r="Y1043" s="29"/>
      <c r="Z1043" s="29" t="s">
        <v>2939</v>
      </c>
      <c r="AA1043" s="29"/>
      <c r="AB1043" s="29"/>
      <c r="AC1043" s="29" t="s">
        <v>2939</v>
      </c>
      <c r="AD1043" s="29"/>
      <c r="AE1043" s="29"/>
      <c r="AF1043" s="29" t="s">
        <v>2939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1684</v>
      </c>
      <c r="C1044" s="40">
        <v>357</v>
      </c>
      <c r="D1044" s="38" t="s">
        <v>1682</v>
      </c>
      <c r="E1044" s="40" t="s">
        <v>2963</v>
      </c>
      <c r="F1044" s="40" t="s">
        <v>4191</v>
      </c>
      <c r="G1044" s="50" t="s">
        <v>5604</v>
      </c>
      <c r="H1044" s="150" t="s">
        <v>5606</v>
      </c>
      <c r="I1044" s="50" t="s">
        <v>5609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3039</v>
      </c>
      <c r="W1044" s="39">
        <v>108</v>
      </c>
      <c r="X1044" s="40"/>
      <c r="Y1044" s="40"/>
      <c r="Z1044" s="40"/>
      <c r="AA1044" s="40" t="s">
        <v>2939</v>
      </c>
      <c r="AB1044" s="40"/>
      <c r="AC1044" s="40"/>
      <c r="AD1044" s="40"/>
      <c r="AE1044" s="40" t="s">
        <v>2939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1685</v>
      </c>
      <c r="C1045" s="83">
        <v>359</v>
      </c>
      <c r="D1045" s="113" t="s">
        <v>1682</v>
      </c>
      <c r="E1045" s="83" t="s">
        <v>2963</v>
      </c>
      <c r="F1045" s="83" t="s">
        <v>4192</v>
      </c>
      <c r="G1045" s="138" t="s">
        <v>5604</v>
      </c>
      <c r="H1045" s="340" t="s">
        <v>5606</v>
      </c>
      <c r="I1045" s="138" t="s">
        <v>5609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3039</v>
      </c>
      <c r="W1045" s="86">
        <v>108</v>
      </c>
      <c r="X1045" s="83"/>
      <c r="Y1045" s="83"/>
      <c r="Z1045" s="83"/>
      <c r="AA1045" s="83" t="s">
        <v>2939</v>
      </c>
      <c r="AB1045" s="83"/>
      <c r="AC1045" s="83"/>
      <c r="AD1045" s="83"/>
      <c r="AE1045" s="83" t="s">
        <v>2939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1687</v>
      </c>
      <c r="C1046" s="29">
        <v>315</v>
      </c>
      <c r="D1046" s="27" t="s">
        <v>1686</v>
      </c>
      <c r="E1046" s="29" t="s">
        <v>2963</v>
      </c>
      <c r="F1046" s="29" t="s">
        <v>4193</v>
      </c>
      <c r="G1046" s="192" t="s">
        <v>5604</v>
      </c>
      <c r="H1046" s="145" t="s">
        <v>5607</v>
      </c>
      <c r="I1046" s="192" t="s">
        <v>5609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3039</v>
      </c>
      <c r="W1046" s="28">
        <v>108</v>
      </c>
      <c r="X1046" s="29"/>
      <c r="Y1046" s="29"/>
      <c r="Z1046" s="29"/>
      <c r="AA1046" s="29" t="s">
        <v>2939</v>
      </c>
      <c r="AB1046" s="29"/>
      <c r="AC1046" s="29"/>
      <c r="AD1046" s="29"/>
      <c r="AE1046" s="29" t="s">
        <v>2939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1688</v>
      </c>
      <c r="C1047" s="40">
        <v>316</v>
      </c>
      <c r="D1047" s="38" t="s">
        <v>1686</v>
      </c>
      <c r="E1047" s="40" t="s">
        <v>2963</v>
      </c>
      <c r="F1047" s="40" t="s">
        <v>4194</v>
      </c>
      <c r="G1047" s="50" t="s">
        <v>5604</v>
      </c>
      <c r="H1047" s="150" t="s">
        <v>5606</v>
      </c>
      <c r="I1047" s="50" t="s">
        <v>5609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3039</v>
      </c>
      <c r="W1047" s="39">
        <v>108</v>
      </c>
      <c r="X1047" s="40"/>
      <c r="Y1047" s="40"/>
      <c r="Z1047" s="40"/>
      <c r="AA1047" s="40" t="s">
        <v>2939</v>
      </c>
      <c r="AB1047" s="40"/>
      <c r="AC1047" s="40"/>
      <c r="AD1047" s="40"/>
      <c r="AE1047" s="40" t="s">
        <v>2939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1689</v>
      </c>
      <c r="C1048" s="40">
        <v>318</v>
      </c>
      <c r="D1048" s="38" t="s">
        <v>1686</v>
      </c>
      <c r="E1048" s="40" t="s">
        <v>2963</v>
      </c>
      <c r="F1048" s="40" t="s">
        <v>4195</v>
      </c>
      <c r="G1048" s="50" t="s">
        <v>5604</v>
      </c>
      <c r="H1048" s="150" t="s">
        <v>5606</v>
      </c>
      <c r="I1048" s="50" t="s">
        <v>5609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3039</v>
      </c>
      <c r="W1048" s="39">
        <v>108</v>
      </c>
      <c r="X1048" s="40"/>
      <c r="Y1048" s="40"/>
      <c r="Z1048" s="40"/>
      <c r="AA1048" s="40" t="s">
        <v>2939</v>
      </c>
      <c r="AB1048" s="40"/>
      <c r="AC1048" s="40"/>
      <c r="AD1048" s="40"/>
      <c r="AE1048" s="40" t="s">
        <v>2939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1690</v>
      </c>
      <c r="C1049" s="40">
        <v>335</v>
      </c>
      <c r="D1049" s="38" t="s">
        <v>1686</v>
      </c>
      <c r="E1049" s="40" t="s">
        <v>2963</v>
      </c>
      <c r="F1049" s="40" t="s">
        <v>4196</v>
      </c>
      <c r="G1049" s="50" t="s">
        <v>5604</v>
      </c>
      <c r="H1049" s="150" t="s">
        <v>5606</v>
      </c>
      <c r="I1049" s="50" t="s">
        <v>5609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575</v>
      </c>
      <c r="U1049" s="2" t="s">
        <v>8</v>
      </c>
      <c r="V1049" s="38" t="s">
        <v>3039</v>
      </c>
      <c r="W1049" s="39">
        <v>109</v>
      </c>
      <c r="X1049" s="40"/>
      <c r="Y1049" s="40"/>
      <c r="Z1049" s="40" t="s">
        <v>2939</v>
      </c>
      <c r="AA1049" s="40"/>
      <c r="AB1049" s="40"/>
      <c r="AC1049" s="40" t="s">
        <v>2939</v>
      </c>
      <c r="AD1049" s="40"/>
      <c r="AE1049" s="40"/>
      <c r="AF1049" s="40" t="s">
        <v>2939</v>
      </c>
      <c r="AG1049" s="40"/>
      <c r="AH1049" s="40" t="s">
        <v>2939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1671</v>
      </c>
      <c r="C1050" s="58">
        <v>247</v>
      </c>
      <c r="D1050" s="56" t="s">
        <v>1670</v>
      </c>
      <c r="E1050" s="58" t="s">
        <v>2963</v>
      </c>
      <c r="F1050" s="58" t="s">
        <v>4197</v>
      </c>
      <c r="G1050" s="60" t="s">
        <v>5604</v>
      </c>
      <c r="H1050" s="226" t="s">
        <v>5608</v>
      </c>
      <c r="I1050" s="60" t="s">
        <v>5609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708</v>
      </c>
      <c r="U1050" s="59" t="s">
        <v>56</v>
      </c>
      <c r="V1050" s="56" t="s">
        <v>3039</v>
      </c>
      <c r="W1050" s="57">
        <v>109</v>
      </c>
      <c r="X1050" s="58"/>
      <c r="Y1050" s="109"/>
      <c r="Z1050" s="58"/>
      <c r="AA1050" s="58"/>
      <c r="AB1050" s="58" t="s">
        <v>2898</v>
      </c>
      <c r="AC1050" s="58"/>
      <c r="AD1050" s="58"/>
      <c r="AE1050" s="58"/>
      <c r="AF1050" s="58" t="s">
        <v>2943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1709</v>
      </c>
      <c r="C1051" s="75">
        <v>293</v>
      </c>
      <c r="D1051" s="67" t="s">
        <v>1708</v>
      </c>
      <c r="E1051" s="75" t="s">
        <v>2963</v>
      </c>
      <c r="F1051" s="75" t="s">
        <v>4198</v>
      </c>
      <c r="G1051" s="178" t="s">
        <v>5604</v>
      </c>
      <c r="H1051" s="414" t="s">
        <v>5606</v>
      </c>
      <c r="I1051" s="178" t="s">
        <v>5609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575</v>
      </c>
      <c r="U1051" s="69" t="s">
        <v>8</v>
      </c>
      <c r="V1051" s="67" t="s">
        <v>3039</v>
      </c>
      <c r="W1051" s="70">
        <v>111</v>
      </c>
      <c r="X1051" s="75"/>
      <c r="Y1051" s="215"/>
      <c r="Z1051" s="75"/>
      <c r="AA1051" s="75" t="s">
        <v>2939</v>
      </c>
      <c r="AB1051" s="75"/>
      <c r="AC1051" s="75"/>
      <c r="AD1051" s="75" t="s">
        <v>2939</v>
      </c>
      <c r="AE1051" s="75"/>
      <c r="AF1051" s="75"/>
      <c r="AG1051" s="75"/>
      <c r="AH1051" s="75" t="s">
        <v>2939</v>
      </c>
      <c r="AI1051" s="75"/>
      <c r="AJ1051" s="70"/>
      <c r="AK1051" s="216"/>
      <c r="AL1051" s="248" t="s">
        <v>2908</v>
      </c>
      <c r="AM1051" s="250"/>
    </row>
    <row r="1052" spans="1:39" ht="14.4" thickBot="1" x14ac:dyDescent="0.35">
      <c r="A1052" s="15">
        <v>1051</v>
      </c>
      <c r="B1052" s="83" t="s">
        <v>1711</v>
      </c>
      <c r="C1052" s="83">
        <v>294</v>
      </c>
      <c r="D1052" s="113" t="s">
        <v>1710</v>
      </c>
      <c r="E1052" s="83" t="s">
        <v>2963</v>
      </c>
      <c r="F1052" s="83" t="s">
        <v>4199</v>
      </c>
      <c r="G1052" s="138"/>
      <c r="H1052" s="340" t="s">
        <v>5606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3039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2939</v>
      </c>
      <c r="AF1052" s="83"/>
      <c r="AG1052" s="83"/>
      <c r="AH1052" s="83"/>
      <c r="AI1052" s="83"/>
      <c r="AJ1052" s="86"/>
      <c r="AK1052" s="191"/>
      <c r="AL1052" s="157" t="s">
        <v>2908</v>
      </c>
      <c r="AM1052" s="154"/>
    </row>
    <row r="1053" spans="1:39" x14ac:dyDescent="0.3">
      <c r="A1053" s="15">
        <v>1052</v>
      </c>
      <c r="B1053" s="29" t="s">
        <v>1741</v>
      </c>
      <c r="C1053" s="29">
        <v>2270</v>
      </c>
      <c r="D1053" s="27" t="s">
        <v>1740</v>
      </c>
      <c r="E1053" s="29" t="s">
        <v>2915</v>
      </c>
      <c r="F1053" s="29" t="s">
        <v>4200</v>
      </c>
      <c r="G1053" s="192"/>
      <c r="H1053" s="145" t="s">
        <v>5606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575</v>
      </c>
      <c r="U1053" s="30" t="s">
        <v>8</v>
      </c>
      <c r="V1053" s="27" t="s">
        <v>3039</v>
      </c>
      <c r="W1053" s="28">
        <v>112</v>
      </c>
      <c r="X1053" s="29"/>
      <c r="Y1053" s="29"/>
      <c r="Z1053" s="29"/>
      <c r="AA1053" s="29" t="s">
        <v>2943</v>
      </c>
      <c r="AB1053" s="29"/>
      <c r="AC1053" s="29"/>
      <c r="AD1053" s="29"/>
      <c r="AE1053" s="29" t="s">
        <v>2939</v>
      </c>
      <c r="AF1053" s="29"/>
      <c r="AG1053" s="29"/>
      <c r="AH1053" s="29"/>
      <c r="AI1053" s="29" t="s">
        <v>2961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1742</v>
      </c>
      <c r="C1054" s="40">
        <v>2271</v>
      </c>
      <c r="D1054" s="38" t="s">
        <v>1740</v>
      </c>
      <c r="E1054" s="40" t="s">
        <v>2915</v>
      </c>
      <c r="F1054" s="40" t="s">
        <v>4201</v>
      </c>
      <c r="G1054" s="50" t="s">
        <v>5604</v>
      </c>
      <c r="H1054" s="150" t="s">
        <v>5606</v>
      </c>
      <c r="I1054" s="50" t="s">
        <v>5609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306</v>
      </c>
      <c r="U1054" s="2" t="s">
        <v>3</v>
      </c>
      <c r="V1054" s="38" t="s">
        <v>3039</v>
      </c>
      <c r="W1054" s="39">
        <v>110</v>
      </c>
      <c r="X1054" s="40"/>
      <c r="Y1054" s="40"/>
      <c r="Z1054" s="40"/>
      <c r="AA1054" s="40" t="s">
        <v>2943</v>
      </c>
      <c r="AB1054" s="40"/>
      <c r="AC1054" s="40"/>
      <c r="AD1054" s="40" t="s">
        <v>2939</v>
      </c>
      <c r="AE1054" s="40"/>
      <c r="AF1054" s="40"/>
      <c r="AG1054" s="40" t="s">
        <v>2898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1743</v>
      </c>
      <c r="C1055" s="83">
        <v>2274</v>
      </c>
      <c r="D1055" s="113" t="s">
        <v>1740</v>
      </c>
      <c r="E1055" s="83" t="s">
        <v>2915</v>
      </c>
      <c r="F1055" s="83" t="s">
        <v>4202</v>
      </c>
      <c r="G1055" s="138"/>
      <c r="H1055" s="340" t="s">
        <v>5608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73</v>
      </c>
      <c r="U1055" s="85" t="s">
        <v>4</v>
      </c>
      <c r="V1055" s="113" t="s">
        <v>3039</v>
      </c>
      <c r="W1055" s="86">
        <v>112</v>
      </c>
      <c r="X1055" s="83"/>
      <c r="Y1055" s="83"/>
      <c r="Z1055" s="83"/>
      <c r="AA1055" s="83" t="s">
        <v>2939</v>
      </c>
      <c r="AB1055" s="83"/>
      <c r="AC1055" s="83"/>
      <c r="AD1055" s="83" t="s">
        <v>2939</v>
      </c>
      <c r="AE1055" s="83"/>
      <c r="AF1055" s="83"/>
      <c r="AG1055" s="83"/>
      <c r="AH1055" s="83"/>
      <c r="AI1055" s="83" t="s">
        <v>2977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1749</v>
      </c>
      <c r="C1056" s="29">
        <v>1533</v>
      </c>
      <c r="D1056" s="27" t="s">
        <v>1748</v>
      </c>
      <c r="E1056" s="217" t="s">
        <v>2929</v>
      </c>
      <c r="F1056" s="217" t="s">
        <v>4203</v>
      </c>
      <c r="G1056" s="192"/>
      <c r="H1056" s="145" t="s">
        <v>5606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3039</v>
      </c>
      <c r="W1056" s="28">
        <v>108</v>
      </c>
      <c r="X1056" s="29"/>
      <c r="Y1056" s="29"/>
      <c r="Z1056" s="29"/>
      <c r="AA1056" s="29"/>
      <c r="AB1056" s="29" t="s">
        <v>2939</v>
      </c>
      <c r="AC1056" s="29"/>
      <c r="AD1056" s="29"/>
      <c r="AE1056" s="29" t="s">
        <v>2898</v>
      </c>
      <c r="AF1056" s="29"/>
      <c r="AG1056" s="29"/>
      <c r="AH1056" s="29"/>
      <c r="AI1056" s="29"/>
      <c r="AJ1056" s="28"/>
      <c r="AK1056" s="190"/>
      <c r="AL1056" s="105" t="s">
        <v>2908</v>
      </c>
      <c r="AM1056" s="164"/>
    </row>
    <row r="1057" spans="1:39" ht="14.4" thickBot="1" x14ac:dyDescent="0.35">
      <c r="A1057" s="15">
        <v>1056</v>
      </c>
      <c r="B1057" s="83" t="s">
        <v>1750</v>
      </c>
      <c r="C1057" s="83">
        <v>1534</v>
      </c>
      <c r="D1057" s="113" t="s">
        <v>1748</v>
      </c>
      <c r="E1057" s="218" t="s">
        <v>2929</v>
      </c>
      <c r="F1057" s="218" t="s">
        <v>4204</v>
      </c>
      <c r="G1057" s="138" t="s">
        <v>5604</v>
      </c>
      <c r="H1057" s="340" t="s">
        <v>5606</v>
      </c>
      <c r="I1057" s="138" t="s">
        <v>5609</v>
      </c>
      <c r="J1057" s="88">
        <v>195727</v>
      </c>
      <c r="K1057" s="88">
        <v>2664915</v>
      </c>
      <c r="L1057" s="88" t="s">
        <v>1751</v>
      </c>
      <c r="M1057" s="89">
        <v>8.76</v>
      </c>
      <c r="N1057" s="88">
        <v>169</v>
      </c>
      <c r="O1057" s="88">
        <v>80.7</v>
      </c>
      <c r="P1057" s="88" t="s">
        <v>52</v>
      </c>
      <c r="Q1057" s="88">
        <v>50.2</v>
      </c>
      <c r="R1057" s="88">
        <v>558</v>
      </c>
      <c r="S1057" s="88">
        <v>91.6</v>
      </c>
      <c r="T1057" s="85" t="s">
        <v>575</v>
      </c>
      <c r="U1057" s="85" t="s">
        <v>8</v>
      </c>
      <c r="V1057" s="113" t="s">
        <v>3039</v>
      </c>
      <c r="W1057" s="86">
        <v>110</v>
      </c>
      <c r="X1057" s="83"/>
      <c r="Y1057" s="83"/>
      <c r="Z1057" s="83"/>
      <c r="AA1057" s="83"/>
      <c r="AB1057" s="83" t="s">
        <v>2939</v>
      </c>
      <c r="AC1057" s="83"/>
      <c r="AD1057" s="83"/>
      <c r="AE1057" s="83" t="s">
        <v>2939</v>
      </c>
      <c r="AF1057" s="83"/>
      <c r="AG1057" s="83" t="s">
        <v>2939</v>
      </c>
      <c r="AH1057" s="83"/>
      <c r="AI1057" s="83"/>
      <c r="AJ1057" s="86"/>
      <c r="AK1057" s="191"/>
      <c r="AL1057" s="157" t="s">
        <v>2908</v>
      </c>
      <c r="AM1057" s="154"/>
    </row>
    <row r="1058" spans="1:39" x14ac:dyDescent="0.3">
      <c r="A1058" s="15">
        <v>1057</v>
      </c>
      <c r="B1058" s="29" t="s">
        <v>1759</v>
      </c>
      <c r="C1058" s="29">
        <v>1785</v>
      </c>
      <c r="D1058" s="27" t="s">
        <v>1758</v>
      </c>
      <c r="E1058" s="217" t="s">
        <v>2929</v>
      </c>
      <c r="F1058" s="217" t="s">
        <v>4205</v>
      </c>
      <c r="G1058" s="192"/>
      <c r="H1058" s="145" t="s">
        <v>5606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3039</v>
      </c>
      <c r="W1058" s="28">
        <v>107</v>
      </c>
      <c r="X1058" s="29"/>
      <c r="Y1058" s="29"/>
      <c r="Z1058" s="29"/>
      <c r="AA1058" s="29"/>
      <c r="AB1058" s="29" t="s">
        <v>2939</v>
      </c>
      <c r="AC1058" s="29"/>
      <c r="AD1058" s="29" t="s">
        <v>2939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1760</v>
      </c>
      <c r="C1059" s="83">
        <v>1786</v>
      </c>
      <c r="D1059" s="113" t="s">
        <v>1758</v>
      </c>
      <c r="E1059" s="218" t="s">
        <v>2929</v>
      </c>
      <c r="F1059" s="218" t="s">
        <v>4206</v>
      </c>
      <c r="G1059" s="138" t="s">
        <v>5604</v>
      </c>
      <c r="H1059" s="340" t="s">
        <v>5606</v>
      </c>
      <c r="I1059" s="138" t="s">
        <v>5609</v>
      </c>
      <c r="J1059" s="88">
        <v>196603</v>
      </c>
      <c r="K1059" s="88">
        <v>2664981</v>
      </c>
      <c r="L1059" s="88" t="s">
        <v>1761</v>
      </c>
      <c r="M1059" s="88">
        <v>6.13</v>
      </c>
      <c r="N1059" s="88">
        <v>181</v>
      </c>
      <c r="O1059" s="88">
        <v>101</v>
      </c>
      <c r="P1059" s="88" t="s">
        <v>192</v>
      </c>
      <c r="Q1059" s="88">
        <v>33.700000000000003</v>
      </c>
      <c r="R1059" s="88">
        <v>358</v>
      </c>
      <c r="S1059" s="88">
        <v>118</v>
      </c>
      <c r="T1059" s="85" t="s">
        <v>575</v>
      </c>
      <c r="U1059" s="85" t="s">
        <v>8</v>
      </c>
      <c r="V1059" s="113" t="s">
        <v>3039</v>
      </c>
      <c r="W1059" s="86">
        <v>110</v>
      </c>
      <c r="X1059" s="83"/>
      <c r="Y1059" s="83"/>
      <c r="Z1059" s="83"/>
      <c r="AA1059" s="83"/>
      <c r="AB1059" s="83" t="s">
        <v>2939</v>
      </c>
      <c r="AC1059" s="83"/>
      <c r="AD1059" s="83" t="s">
        <v>2939</v>
      </c>
      <c r="AE1059" s="83"/>
      <c r="AF1059" s="83"/>
      <c r="AG1059" s="83" t="s">
        <v>2939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1791</v>
      </c>
      <c r="C1060" s="29">
        <v>514</v>
      </c>
      <c r="D1060" s="27" t="s">
        <v>1790</v>
      </c>
      <c r="E1060" s="29" t="s">
        <v>2963</v>
      </c>
      <c r="F1060" s="29" t="s">
        <v>4207</v>
      </c>
      <c r="G1060" s="192" t="s">
        <v>5604</v>
      </c>
      <c r="H1060" s="145" t="s">
        <v>5606</v>
      </c>
      <c r="I1060" s="192" t="s">
        <v>5609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575</v>
      </c>
      <c r="U1060" s="30" t="s">
        <v>8</v>
      </c>
      <c r="V1060" s="27" t="s">
        <v>3039</v>
      </c>
      <c r="W1060" s="28">
        <v>108</v>
      </c>
      <c r="X1060" s="29"/>
      <c r="Y1060" s="29"/>
      <c r="Z1060" s="29"/>
      <c r="AA1060" s="29" t="s">
        <v>2939</v>
      </c>
      <c r="AB1060" s="29"/>
      <c r="AC1060" s="29"/>
      <c r="AD1060" s="29"/>
      <c r="AE1060" s="29" t="s">
        <v>2939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1792</v>
      </c>
      <c r="C1061" s="40">
        <v>515</v>
      </c>
      <c r="D1061" s="38" t="s">
        <v>1790</v>
      </c>
      <c r="E1061" s="40" t="s">
        <v>2963</v>
      </c>
      <c r="F1061" s="40" t="s">
        <v>4208</v>
      </c>
      <c r="G1061" s="50" t="s">
        <v>5604</v>
      </c>
      <c r="H1061" s="150" t="s">
        <v>5608</v>
      </c>
      <c r="I1061" s="50" t="s">
        <v>5609</v>
      </c>
      <c r="J1061" s="43">
        <v>198108</v>
      </c>
      <c r="K1061" s="43">
        <v>2664881</v>
      </c>
      <c r="L1061" s="43" t="s">
        <v>1793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708</v>
      </c>
      <c r="U1061" s="2" t="s">
        <v>56</v>
      </c>
      <c r="V1061" s="38" t="s">
        <v>3039</v>
      </c>
      <c r="W1061" s="39">
        <v>104</v>
      </c>
      <c r="X1061" s="40"/>
      <c r="Y1061" s="40"/>
      <c r="Z1061" s="40"/>
      <c r="AA1061" s="40" t="s">
        <v>2939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1794</v>
      </c>
      <c r="C1062" s="40">
        <v>517</v>
      </c>
      <c r="D1062" s="38" t="s">
        <v>1790</v>
      </c>
      <c r="E1062" s="40" t="s">
        <v>2963</v>
      </c>
      <c r="F1062" s="40" t="s">
        <v>4209</v>
      </c>
      <c r="G1062" s="50"/>
      <c r="H1062" s="150" t="s">
        <v>5607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3039</v>
      </c>
      <c r="W1062" s="39">
        <v>109</v>
      </c>
      <c r="X1062" s="40"/>
      <c r="Y1062" s="40"/>
      <c r="Z1062" s="40"/>
      <c r="AA1062" s="40" t="s">
        <v>2939</v>
      </c>
      <c r="AB1062" s="40"/>
      <c r="AC1062" s="40"/>
      <c r="AD1062" s="40"/>
      <c r="AE1062" s="40"/>
      <c r="AF1062" s="40" t="s">
        <v>2939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1795</v>
      </c>
      <c r="C1063" s="40">
        <v>518</v>
      </c>
      <c r="D1063" s="38" t="s">
        <v>1790</v>
      </c>
      <c r="E1063" s="40" t="s">
        <v>2963</v>
      </c>
      <c r="F1063" s="40" t="s">
        <v>4210</v>
      </c>
      <c r="G1063" s="50"/>
      <c r="H1063" s="150" t="s">
        <v>5606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575</v>
      </c>
      <c r="U1063" s="2" t="s">
        <v>8</v>
      </c>
      <c r="V1063" s="38" t="s">
        <v>3039</v>
      </c>
      <c r="W1063" s="39">
        <v>112</v>
      </c>
      <c r="X1063" s="40"/>
      <c r="Y1063" s="40"/>
      <c r="Z1063" s="40"/>
      <c r="AA1063" s="40" t="s">
        <v>2939</v>
      </c>
      <c r="AB1063" s="40"/>
      <c r="AC1063" s="40"/>
      <c r="AD1063" s="40"/>
      <c r="AE1063" s="40" t="s">
        <v>2939</v>
      </c>
      <c r="AF1063" s="40"/>
      <c r="AG1063" s="40"/>
      <c r="AH1063" s="40"/>
      <c r="AI1063" s="40" t="s">
        <v>2939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1796</v>
      </c>
      <c r="C1064" s="40">
        <v>1490</v>
      </c>
      <c r="D1064" s="38" t="s">
        <v>1790</v>
      </c>
      <c r="E1064" s="40" t="s">
        <v>2929</v>
      </c>
      <c r="F1064" s="40" t="s">
        <v>4211</v>
      </c>
      <c r="G1064" s="50"/>
      <c r="H1064" s="150" t="s">
        <v>5607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3039</v>
      </c>
      <c r="W1064" s="39">
        <v>105</v>
      </c>
      <c r="X1064" s="40"/>
      <c r="Y1064" s="40"/>
      <c r="Z1064" s="40" t="s">
        <v>2939</v>
      </c>
      <c r="AA1064" s="40"/>
      <c r="AB1064" s="40" t="s">
        <v>2939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1790</v>
      </c>
      <c r="E1065" s="40" t="s">
        <v>2963</v>
      </c>
      <c r="F1065" s="40" t="s">
        <v>4212</v>
      </c>
      <c r="G1065" s="50"/>
      <c r="H1065" s="150" t="s">
        <v>5606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3039</v>
      </c>
      <c r="W1065" s="39">
        <v>108</v>
      </c>
      <c r="X1065" s="40"/>
      <c r="Y1065" s="40"/>
      <c r="Z1065" s="40"/>
      <c r="AA1065" s="40"/>
      <c r="AB1065" s="40" t="s">
        <v>2939</v>
      </c>
      <c r="AC1065" s="40"/>
      <c r="AD1065" s="40"/>
      <c r="AE1065" s="40" t="s">
        <v>2898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1790</v>
      </c>
      <c r="E1066" s="40" t="s">
        <v>2963</v>
      </c>
      <c r="F1066" s="40" t="s">
        <v>4213</v>
      </c>
      <c r="G1066" s="50"/>
      <c r="H1066" s="150" t="s">
        <v>5607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3039</v>
      </c>
      <c r="W1066" s="39">
        <v>105</v>
      </c>
      <c r="X1066" s="40"/>
      <c r="Y1066" s="40"/>
      <c r="Z1066" s="40"/>
      <c r="AA1066" s="40"/>
      <c r="AB1066" s="40" t="s">
        <v>2939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1797</v>
      </c>
      <c r="C1067" s="83">
        <v>516</v>
      </c>
      <c r="D1067" s="113" t="s">
        <v>1790</v>
      </c>
      <c r="E1067" s="83" t="s">
        <v>2963</v>
      </c>
      <c r="F1067" s="83" t="s">
        <v>4214</v>
      </c>
      <c r="G1067" s="138" t="s">
        <v>5604</v>
      </c>
      <c r="H1067" s="340" t="s">
        <v>5608</v>
      </c>
      <c r="I1067" s="138" t="s">
        <v>5609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708</v>
      </c>
      <c r="U1067" s="85" t="s">
        <v>56</v>
      </c>
      <c r="V1067" s="113" t="s">
        <v>3039</v>
      </c>
      <c r="W1067" s="86">
        <v>109</v>
      </c>
      <c r="X1067" s="83"/>
      <c r="Y1067" s="83"/>
      <c r="Z1067" s="83"/>
      <c r="AA1067" s="83" t="s">
        <v>2939</v>
      </c>
      <c r="AB1067" s="83"/>
      <c r="AC1067" s="83"/>
      <c r="AD1067" s="83"/>
      <c r="AE1067" s="83"/>
      <c r="AF1067" s="83" t="s">
        <v>2943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1799</v>
      </c>
      <c r="C1068" s="29">
        <v>519</v>
      </c>
      <c r="D1068" s="27" t="s">
        <v>1798</v>
      </c>
      <c r="E1068" s="29" t="s">
        <v>2963</v>
      </c>
      <c r="F1068" s="29" t="s">
        <v>4215</v>
      </c>
      <c r="G1068" s="192" t="s">
        <v>5604</v>
      </c>
      <c r="H1068" s="145" t="s">
        <v>5607</v>
      </c>
      <c r="I1068" s="192" t="s">
        <v>5609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575</v>
      </c>
      <c r="U1068" s="30" t="s">
        <v>8</v>
      </c>
      <c r="V1068" s="27" t="s">
        <v>3039</v>
      </c>
      <c r="W1068" s="28">
        <v>109</v>
      </c>
      <c r="X1068" s="29"/>
      <c r="Y1068" s="29"/>
      <c r="Z1068" s="29"/>
      <c r="AA1068" s="29" t="s">
        <v>2939</v>
      </c>
      <c r="AB1068" s="29"/>
      <c r="AC1068" s="29"/>
      <c r="AD1068" s="29"/>
      <c r="AE1068" s="29"/>
      <c r="AF1068" s="29" t="s">
        <v>2939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1800</v>
      </c>
      <c r="C1069" s="40">
        <v>520</v>
      </c>
      <c r="D1069" s="38" t="s">
        <v>1798</v>
      </c>
      <c r="E1069" s="40" t="s">
        <v>2963</v>
      </c>
      <c r="F1069" s="40" t="s">
        <v>4216</v>
      </c>
      <c r="G1069" s="50"/>
      <c r="H1069" s="150" t="s">
        <v>5607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3039</v>
      </c>
      <c r="W1069" s="39">
        <v>108</v>
      </c>
      <c r="X1069" s="40"/>
      <c r="Y1069" s="40"/>
      <c r="Z1069" s="40"/>
      <c r="AA1069" s="40" t="s">
        <v>2939</v>
      </c>
      <c r="AB1069" s="40"/>
      <c r="AC1069" s="40"/>
      <c r="AD1069" s="40"/>
      <c r="AE1069" s="40" t="s">
        <v>2898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1801</v>
      </c>
      <c r="C1070" s="40">
        <v>525</v>
      </c>
      <c r="D1070" s="38" t="s">
        <v>1798</v>
      </c>
      <c r="E1070" s="40" t="s">
        <v>2963</v>
      </c>
      <c r="F1070" s="40" t="s">
        <v>4217</v>
      </c>
      <c r="G1070" s="50"/>
      <c r="H1070" s="150" t="s">
        <v>5607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3039</v>
      </c>
      <c r="W1070" s="39">
        <v>108</v>
      </c>
      <c r="X1070" s="40"/>
      <c r="Y1070" s="40"/>
      <c r="Z1070" s="40"/>
      <c r="AA1070" s="40" t="s">
        <v>2939</v>
      </c>
      <c r="AB1070" s="40"/>
      <c r="AC1070" s="40"/>
      <c r="AD1070" s="40"/>
      <c r="AE1070" s="40" t="s">
        <v>2898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1802</v>
      </c>
      <c r="C1071" s="40">
        <v>528</v>
      </c>
      <c r="D1071" s="38" t="s">
        <v>1798</v>
      </c>
      <c r="E1071" s="40" t="s">
        <v>2963</v>
      </c>
      <c r="F1071" s="40" t="s">
        <v>4218</v>
      </c>
      <c r="G1071" s="50"/>
      <c r="H1071" s="150" t="s">
        <v>5606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3039</v>
      </c>
      <c r="W1071" s="39">
        <v>109</v>
      </c>
      <c r="X1071" s="40"/>
      <c r="Y1071" s="40"/>
      <c r="Z1071" s="40"/>
      <c r="AA1071" s="40" t="s">
        <v>2939</v>
      </c>
      <c r="AB1071" s="40"/>
      <c r="AC1071" s="40"/>
      <c r="AD1071" s="40"/>
      <c r="AE1071" s="40"/>
      <c r="AF1071" s="40" t="s">
        <v>2898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1803</v>
      </c>
      <c r="C1072" s="40">
        <v>529</v>
      </c>
      <c r="D1072" s="38" t="s">
        <v>1798</v>
      </c>
      <c r="E1072" s="40" t="s">
        <v>2963</v>
      </c>
      <c r="F1072" s="40" t="s">
        <v>4219</v>
      </c>
      <c r="G1072" s="50"/>
      <c r="H1072" s="150" t="s">
        <v>5607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278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3039</v>
      </c>
      <c r="W1072" s="39">
        <v>108</v>
      </c>
      <c r="X1072" s="40"/>
      <c r="Y1072" s="40"/>
      <c r="Z1072" s="40"/>
      <c r="AA1072" s="40" t="s">
        <v>2939</v>
      </c>
      <c r="AB1072" s="40"/>
      <c r="AC1072" s="40"/>
      <c r="AD1072" s="40"/>
      <c r="AE1072" s="40" t="s">
        <v>2898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1804</v>
      </c>
      <c r="C1073" s="40">
        <v>530</v>
      </c>
      <c r="D1073" s="38" t="s">
        <v>1798</v>
      </c>
      <c r="E1073" s="40" t="s">
        <v>2963</v>
      </c>
      <c r="F1073" s="40" t="s">
        <v>4220</v>
      </c>
      <c r="G1073" s="50"/>
      <c r="H1073" s="150" t="s">
        <v>5606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3039</v>
      </c>
      <c r="W1073" s="39">
        <v>108</v>
      </c>
      <c r="X1073" s="40"/>
      <c r="Y1073" s="40"/>
      <c r="Z1073" s="40"/>
      <c r="AA1073" s="40" t="s">
        <v>2939</v>
      </c>
      <c r="AB1073" s="40"/>
      <c r="AC1073" s="40"/>
      <c r="AD1073" s="40"/>
      <c r="AE1073" s="40" t="s">
        <v>2939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1807</v>
      </c>
      <c r="C1074" s="40">
        <v>533</v>
      </c>
      <c r="D1074" s="38" t="s">
        <v>1798</v>
      </c>
      <c r="E1074" s="40" t="s">
        <v>2963</v>
      </c>
      <c r="F1074" s="40" t="s">
        <v>4221</v>
      </c>
      <c r="G1074" s="50"/>
      <c r="H1074" s="150" t="s">
        <v>5607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209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3039</v>
      </c>
      <c r="W1074" s="39">
        <v>108</v>
      </c>
      <c r="X1074" s="40"/>
      <c r="Y1074" s="40"/>
      <c r="Z1074" s="40"/>
      <c r="AA1074" s="40" t="s">
        <v>2939</v>
      </c>
      <c r="AB1074" s="40"/>
      <c r="AC1074" s="40"/>
      <c r="AD1074" s="40"/>
      <c r="AE1074" s="40" t="s">
        <v>2939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1808</v>
      </c>
      <c r="C1075" s="40">
        <v>534</v>
      </c>
      <c r="D1075" s="38" t="s">
        <v>1798</v>
      </c>
      <c r="E1075" s="40" t="s">
        <v>2963</v>
      </c>
      <c r="F1075" s="40" t="s">
        <v>4222</v>
      </c>
      <c r="G1075" s="50"/>
      <c r="H1075" s="150" t="s">
        <v>5607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209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3039</v>
      </c>
      <c r="W1075" s="39">
        <v>108</v>
      </c>
      <c r="X1075" s="40"/>
      <c r="Y1075" s="40"/>
      <c r="Z1075" s="40"/>
      <c r="AA1075" s="40" t="s">
        <v>2939</v>
      </c>
      <c r="AB1075" s="40"/>
      <c r="AC1075" s="40"/>
      <c r="AD1075" s="40"/>
      <c r="AE1075" s="40" t="s">
        <v>2939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1809</v>
      </c>
      <c r="C1076" s="83">
        <v>527</v>
      </c>
      <c r="D1076" s="113" t="s">
        <v>1798</v>
      </c>
      <c r="E1076" s="83" t="s">
        <v>2963</v>
      </c>
      <c r="F1076" s="83" t="s">
        <v>4223</v>
      </c>
      <c r="G1076" s="138" t="s">
        <v>5604</v>
      </c>
      <c r="H1076" s="340" t="s">
        <v>5606</v>
      </c>
      <c r="I1076" s="138" t="s">
        <v>5609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575</v>
      </c>
      <c r="U1076" s="85" t="s">
        <v>8</v>
      </c>
      <c r="V1076" s="113" t="s">
        <v>3039</v>
      </c>
      <c r="W1076" s="86">
        <v>109</v>
      </c>
      <c r="X1076" s="83"/>
      <c r="Y1076" s="83"/>
      <c r="Z1076" s="83"/>
      <c r="AA1076" s="83" t="s">
        <v>2939</v>
      </c>
      <c r="AB1076" s="83"/>
      <c r="AC1076" s="83"/>
      <c r="AD1076" s="83"/>
      <c r="AE1076" s="83"/>
      <c r="AF1076" s="83" t="s">
        <v>2939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1811</v>
      </c>
      <c r="C1077" s="29">
        <v>532</v>
      </c>
      <c r="D1077" s="27" t="s">
        <v>1810</v>
      </c>
      <c r="E1077" s="29" t="s">
        <v>2963</v>
      </c>
      <c r="F1077" s="29" t="s">
        <v>4224</v>
      </c>
      <c r="G1077" s="192" t="s">
        <v>5604</v>
      </c>
      <c r="H1077" s="145" t="s">
        <v>5606</v>
      </c>
      <c r="I1077" s="192" t="s">
        <v>5609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52</v>
      </c>
      <c r="Q1077" s="33">
        <v>30.5</v>
      </c>
      <c r="R1077" s="33">
        <v>354</v>
      </c>
      <c r="S1077" s="33">
        <v>134</v>
      </c>
      <c r="T1077" s="30" t="s">
        <v>575</v>
      </c>
      <c r="U1077" s="30" t="s">
        <v>8</v>
      </c>
      <c r="V1077" s="27" t="s">
        <v>3039</v>
      </c>
      <c r="W1077" s="28">
        <v>110</v>
      </c>
      <c r="X1077" s="29"/>
      <c r="Y1077" s="29"/>
      <c r="Z1077" s="29"/>
      <c r="AA1077" s="29" t="s">
        <v>2939</v>
      </c>
      <c r="AB1077" s="29"/>
      <c r="AC1077" s="29"/>
      <c r="AD1077" s="29"/>
      <c r="AE1077" s="29" t="s">
        <v>2898</v>
      </c>
      <c r="AF1077" s="29"/>
      <c r="AG1077" s="29" t="s">
        <v>2939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1812</v>
      </c>
      <c r="C1078" s="40">
        <v>539</v>
      </c>
      <c r="D1078" s="38" t="s">
        <v>1810</v>
      </c>
      <c r="E1078" s="40" t="s">
        <v>2963</v>
      </c>
      <c r="F1078" s="40" t="s">
        <v>4225</v>
      </c>
      <c r="G1078" s="50" t="s">
        <v>5604</v>
      </c>
      <c r="H1078" s="150" t="s">
        <v>5606</v>
      </c>
      <c r="I1078" s="50" t="s">
        <v>5609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306</v>
      </c>
      <c r="U1078" s="2" t="s">
        <v>3</v>
      </c>
      <c r="V1078" s="38" t="s">
        <v>3039</v>
      </c>
      <c r="W1078" s="39">
        <v>110</v>
      </c>
      <c r="X1078" s="40"/>
      <c r="Y1078" s="40"/>
      <c r="Z1078" s="40"/>
      <c r="AA1078" s="40" t="s">
        <v>2939</v>
      </c>
      <c r="AB1078" s="40"/>
      <c r="AC1078" s="40"/>
      <c r="AD1078" s="40"/>
      <c r="AE1078" s="40" t="s">
        <v>2898</v>
      </c>
      <c r="AF1078" s="40"/>
      <c r="AG1078" s="40" t="s">
        <v>2898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1813</v>
      </c>
      <c r="C1079" s="40">
        <v>540</v>
      </c>
      <c r="D1079" s="38" t="s">
        <v>1810</v>
      </c>
      <c r="E1079" s="40" t="s">
        <v>2963</v>
      </c>
      <c r="F1079" s="40" t="s">
        <v>4226</v>
      </c>
      <c r="G1079" s="50"/>
      <c r="H1079" s="150" t="s">
        <v>5607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130</v>
      </c>
      <c r="U1079" s="2" t="s">
        <v>2916</v>
      </c>
      <c r="V1079" s="38" t="s">
        <v>3039</v>
      </c>
      <c r="W1079" s="39"/>
      <c r="X1079" s="40"/>
      <c r="Y1079" s="40"/>
      <c r="Z1079" s="40"/>
      <c r="AA1079" s="40" t="s">
        <v>2939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1814</v>
      </c>
      <c r="C1080" s="40">
        <v>541</v>
      </c>
      <c r="D1080" s="38" t="s">
        <v>1810</v>
      </c>
      <c r="E1080" s="40" t="s">
        <v>2963</v>
      </c>
      <c r="F1080" s="40" t="s">
        <v>4227</v>
      </c>
      <c r="G1080" s="50" t="s">
        <v>5604</v>
      </c>
      <c r="H1080" s="150" t="s">
        <v>5606</v>
      </c>
      <c r="I1080" s="50" t="s">
        <v>5609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214</v>
      </c>
      <c r="Q1080" s="43">
        <v>26.8</v>
      </c>
      <c r="R1080" s="43">
        <v>316</v>
      </c>
      <c r="S1080" s="43">
        <v>102</v>
      </c>
      <c r="T1080" s="2" t="s">
        <v>575</v>
      </c>
      <c r="U1080" s="2" t="s">
        <v>8</v>
      </c>
      <c r="V1080" s="38" t="s">
        <v>3039</v>
      </c>
      <c r="W1080" s="39">
        <v>110</v>
      </c>
      <c r="X1080" s="40"/>
      <c r="Y1080" s="40"/>
      <c r="Z1080" s="40"/>
      <c r="AA1080" s="40" t="s">
        <v>2939</v>
      </c>
      <c r="AB1080" s="40"/>
      <c r="AC1080" s="40"/>
      <c r="AD1080" s="40"/>
      <c r="AE1080" s="40" t="s">
        <v>2939</v>
      </c>
      <c r="AF1080" s="40"/>
      <c r="AG1080" s="40" t="s">
        <v>2939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1815</v>
      </c>
      <c r="C1081" s="40">
        <v>542</v>
      </c>
      <c r="D1081" s="38" t="s">
        <v>1810</v>
      </c>
      <c r="E1081" s="40" t="s">
        <v>2963</v>
      </c>
      <c r="F1081" s="40" t="s">
        <v>4228</v>
      </c>
      <c r="G1081" s="50"/>
      <c r="H1081" s="150" t="s">
        <v>5607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3039</v>
      </c>
      <c r="W1081" s="39">
        <v>108</v>
      </c>
      <c r="X1081" s="40"/>
      <c r="Y1081" s="40"/>
      <c r="Z1081" s="40"/>
      <c r="AA1081" s="40" t="s">
        <v>2939</v>
      </c>
      <c r="AB1081" s="40"/>
      <c r="AC1081" s="40"/>
      <c r="AD1081" s="40"/>
      <c r="AE1081" s="40" t="s">
        <v>2939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1816</v>
      </c>
      <c r="C1082" s="40">
        <v>543</v>
      </c>
      <c r="D1082" s="38" t="s">
        <v>1810</v>
      </c>
      <c r="E1082" s="40" t="s">
        <v>2963</v>
      </c>
      <c r="F1082" s="40" t="s">
        <v>4229</v>
      </c>
      <c r="G1082" s="50"/>
      <c r="H1082" s="150" t="s">
        <v>5607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1806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3039</v>
      </c>
      <c r="W1082" s="39">
        <v>108</v>
      </c>
      <c r="X1082" s="40"/>
      <c r="Y1082" s="40"/>
      <c r="Z1082" s="40"/>
      <c r="AA1082" s="40" t="s">
        <v>2939</v>
      </c>
      <c r="AB1082" s="40"/>
      <c r="AC1082" s="40"/>
      <c r="AD1082" s="40"/>
      <c r="AE1082" s="40" t="s">
        <v>2939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1817</v>
      </c>
      <c r="C1083" s="83">
        <v>544</v>
      </c>
      <c r="D1083" s="113" t="s">
        <v>1810</v>
      </c>
      <c r="E1083" s="83" t="s">
        <v>2963</v>
      </c>
      <c r="F1083" s="83" t="s">
        <v>4230</v>
      </c>
      <c r="G1083" s="138" t="s">
        <v>5604</v>
      </c>
      <c r="H1083" s="340" t="s">
        <v>5607</v>
      </c>
      <c r="I1083" s="138" t="s">
        <v>5609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306</v>
      </c>
      <c r="U1083" s="85" t="s">
        <v>3</v>
      </c>
      <c r="V1083" s="113" t="s">
        <v>3039</v>
      </c>
      <c r="W1083" s="86">
        <v>111</v>
      </c>
      <c r="X1083" s="83"/>
      <c r="Y1083" s="83"/>
      <c r="Z1083" s="83"/>
      <c r="AA1083" s="83" t="s">
        <v>2939</v>
      </c>
      <c r="AB1083" s="83"/>
      <c r="AC1083" s="83"/>
      <c r="AD1083" s="83"/>
      <c r="AE1083" s="83"/>
      <c r="AF1083" s="83" t="s">
        <v>2939</v>
      </c>
      <c r="AG1083" s="83"/>
      <c r="AH1083" s="83" t="s">
        <v>2898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1819</v>
      </c>
      <c r="C1084" s="29">
        <v>450</v>
      </c>
      <c r="D1084" s="27" t="s">
        <v>1818</v>
      </c>
      <c r="E1084" s="29" t="s">
        <v>2963</v>
      </c>
      <c r="F1084" s="29" t="s">
        <v>4231</v>
      </c>
      <c r="G1084" s="192"/>
      <c r="H1084" s="145" t="s">
        <v>5607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3039</v>
      </c>
      <c r="W1084" s="28">
        <v>108</v>
      </c>
      <c r="X1084" s="29"/>
      <c r="Y1084" s="29"/>
      <c r="Z1084" s="29"/>
      <c r="AA1084" s="29" t="s">
        <v>2939</v>
      </c>
      <c r="AB1084" s="29"/>
      <c r="AC1084" s="29"/>
      <c r="AD1084" s="29"/>
      <c r="AE1084" s="29" t="s">
        <v>2898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1820</v>
      </c>
      <c r="C1085" s="40">
        <v>452</v>
      </c>
      <c r="D1085" s="38" t="s">
        <v>1818</v>
      </c>
      <c r="E1085" s="40" t="s">
        <v>2963</v>
      </c>
      <c r="F1085" s="40" t="s">
        <v>4232</v>
      </c>
      <c r="G1085" s="50"/>
      <c r="H1085" s="150" t="s">
        <v>5606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3039</v>
      </c>
      <c r="W1085" s="39">
        <v>108</v>
      </c>
      <c r="X1085" s="40"/>
      <c r="Y1085" s="40"/>
      <c r="Z1085" s="40"/>
      <c r="AA1085" s="40" t="s">
        <v>2939</v>
      </c>
      <c r="AB1085" s="40"/>
      <c r="AC1085" s="40"/>
      <c r="AD1085" s="40"/>
      <c r="AE1085" s="40" t="s">
        <v>2898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1821</v>
      </c>
      <c r="C1086" s="40">
        <v>549</v>
      </c>
      <c r="D1086" s="38" t="s">
        <v>1818</v>
      </c>
      <c r="E1086" s="40" t="s">
        <v>2963</v>
      </c>
      <c r="F1086" s="40" t="s">
        <v>4233</v>
      </c>
      <c r="G1086" s="50" t="s">
        <v>5604</v>
      </c>
      <c r="H1086" s="150" t="s">
        <v>5607</v>
      </c>
      <c r="I1086" s="50" t="s">
        <v>5609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575</v>
      </c>
      <c r="U1086" s="2" t="s">
        <v>8</v>
      </c>
      <c r="V1086" s="38" t="s">
        <v>3039</v>
      </c>
      <c r="W1086" s="39">
        <v>109</v>
      </c>
      <c r="X1086" s="40"/>
      <c r="Y1086" s="40"/>
      <c r="Z1086" s="40"/>
      <c r="AA1086" s="40" t="s">
        <v>2939</v>
      </c>
      <c r="AB1086" s="40"/>
      <c r="AC1086" s="40"/>
      <c r="AD1086" s="40"/>
      <c r="AE1086" s="40"/>
      <c r="AF1086" s="40" t="s">
        <v>2939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1822</v>
      </c>
      <c r="C1087" s="40">
        <v>550</v>
      </c>
      <c r="D1087" s="38" t="s">
        <v>1818</v>
      </c>
      <c r="E1087" s="40" t="s">
        <v>2963</v>
      </c>
      <c r="F1087" s="40" t="s">
        <v>4234</v>
      </c>
      <c r="G1087" s="50" t="s">
        <v>5604</v>
      </c>
      <c r="H1087" s="150" t="s">
        <v>5606</v>
      </c>
      <c r="I1087" s="50" t="s">
        <v>5609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575</v>
      </c>
      <c r="U1087" s="2" t="s">
        <v>8</v>
      </c>
      <c r="V1087" s="38" t="s">
        <v>3039</v>
      </c>
      <c r="W1087" s="39">
        <v>109</v>
      </c>
      <c r="X1087" s="40"/>
      <c r="Y1087" s="40"/>
      <c r="Z1087" s="40"/>
      <c r="AA1087" s="40" t="s">
        <v>2939</v>
      </c>
      <c r="AB1087" s="40"/>
      <c r="AC1087" s="40"/>
      <c r="AD1087" s="40"/>
      <c r="AE1087" s="40"/>
      <c r="AF1087" s="40" t="s">
        <v>2939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1823</v>
      </c>
      <c r="C1088" s="40">
        <v>551</v>
      </c>
      <c r="D1088" s="38" t="s">
        <v>1818</v>
      </c>
      <c r="E1088" s="40" t="s">
        <v>2963</v>
      </c>
      <c r="F1088" s="40" t="s">
        <v>4235</v>
      </c>
      <c r="G1088" s="50"/>
      <c r="H1088" s="150" t="s">
        <v>5607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3039</v>
      </c>
      <c r="W1088" s="39">
        <v>108</v>
      </c>
      <c r="X1088" s="40"/>
      <c r="Y1088" s="40"/>
      <c r="Z1088" s="40"/>
      <c r="AA1088" s="40" t="s">
        <v>2939</v>
      </c>
      <c r="AB1088" s="40"/>
      <c r="AC1088" s="40"/>
      <c r="AD1088" s="40"/>
      <c r="AE1088" s="40" t="s">
        <v>2898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1824</v>
      </c>
      <c r="C1089" s="40">
        <v>552</v>
      </c>
      <c r="D1089" s="38" t="s">
        <v>1818</v>
      </c>
      <c r="E1089" s="40" t="s">
        <v>2963</v>
      </c>
      <c r="F1089" s="40" t="s">
        <v>4236</v>
      </c>
      <c r="G1089" s="50"/>
      <c r="H1089" s="150" t="s">
        <v>5607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3039</v>
      </c>
      <c r="W1089" s="39">
        <v>108</v>
      </c>
      <c r="X1089" s="40"/>
      <c r="Y1089" s="40"/>
      <c r="Z1089" s="40"/>
      <c r="AA1089" s="40" t="s">
        <v>2939</v>
      </c>
      <c r="AB1089" s="40"/>
      <c r="AC1089" s="40"/>
      <c r="AD1089" s="40"/>
      <c r="AE1089" s="40" t="s">
        <v>2939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1825</v>
      </c>
      <c r="C1090" s="40">
        <v>559</v>
      </c>
      <c r="D1090" s="38" t="s">
        <v>1818</v>
      </c>
      <c r="E1090" s="40" t="s">
        <v>2963</v>
      </c>
      <c r="F1090" s="40" t="s">
        <v>4237</v>
      </c>
      <c r="G1090" s="50"/>
      <c r="H1090" s="150" t="s">
        <v>5606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3039</v>
      </c>
      <c r="W1090" s="39">
        <v>108</v>
      </c>
      <c r="X1090" s="40"/>
      <c r="Y1090" s="40"/>
      <c r="Z1090" s="40"/>
      <c r="AA1090" s="40" t="s">
        <v>2939</v>
      </c>
      <c r="AB1090" s="40"/>
      <c r="AC1090" s="40"/>
      <c r="AD1090" s="40"/>
      <c r="AE1090" s="40" t="s">
        <v>2898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2552</v>
      </c>
      <c r="C1091" s="58">
        <v>451</v>
      </c>
      <c r="D1091" s="56" t="s">
        <v>3047</v>
      </c>
      <c r="E1091" s="58" t="s">
        <v>2963</v>
      </c>
      <c r="F1091" s="58" t="s">
        <v>4238</v>
      </c>
      <c r="G1091" s="127"/>
      <c r="H1091" s="226" t="s">
        <v>5608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138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3048</v>
      </c>
      <c r="W1091" s="57">
        <v>108</v>
      </c>
      <c r="X1091" s="58"/>
      <c r="Y1091" s="58"/>
      <c r="Z1091" s="58"/>
      <c r="AA1091" s="58" t="s">
        <v>2939</v>
      </c>
      <c r="AB1091" s="58"/>
      <c r="AC1091" s="58"/>
      <c r="AD1091" s="58"/>
      <c r="AE1091" s="58" t="s">
        <v>2898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1838</v>
      </c>
      <c r="C1092" s="75">
        <v>310</v>
      </c>
      <c r="D1092" s="67" t="s">
        <v>1837</v>
      </c>
      <c r="E1092" s="75" t="s">
        <v>2963</v>
      </c>
      <c r="F1092" s="75" t="s">
        <v>4239</v>
      </c>
      <c r="G1092" s="178"/>
      <c r="H1092" s="414" t="s">
        <v>5608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3039</v>
      </c>
      <c r="W1092" s="70">
        <v>108</v>
      </c>
      <c r="X1092" s="75"/>
      <c r="Y1092" s="75"/>
      <c r="Z1092" s="75"/>
      <c r="AA1092" s="75" t="s">
        <v>2939</v>
      </c>
      <c r="AB1092" s="75"/>
      <c r="AC1092" s="75"/>
      <c r="AD1092" s="75"/>
      <c r="AE1092" s="75" t="s">
        <v>2939</v>
      </c>
      <c r="AF1092" s="75"/>
      <c r="AG1092" s="75"/>
      <c r="AH1092" s="75"/>
      <c r="AI1092" s="318" t="s">
        <v>3045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1839</v>
      </c>
      <c r="C1093" s="40">
        <v>311</v>
      </c>
      <c r="D1093" s="38" t="s">
        <v>1837</v>
      </c>
      <c r="E1093" s="40" t="s">
        <v>2963</v>
      </c>
      <c r="F1093" s="40" t="s">
        <v>4240</v>
      </c>
      <c r="G1093" s="50"/>
      <c r="H1093" s="150" t="s">
        <v>5607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3039</v>
      </c>
      <c r="W1093" s="39">
        <v>108</v>
      </c>
      <c r="X1093" s="40"/>
      <c r="Y1093" s="40"/>
      <c r="Z1093" s="40"/>
      <c r="AA1093" s="40" t="s">
        <v>2939</v>
      </c>
      <c r="AB1093" s="40"/>
      <c r="AC1093" s="40"/>
      <c r="AD1093" s="40"/>
      <c r="AE1093" s="40" t="s">
        <v>2939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1840</v>
      </c>
      <c r="C1094" s="40">
        <v>312</v>
      </c>
      <c r="D1094" s="38" t="s">
        <v>1837</v>
      </c>
      <c r="E1094" s="40" t="s">
        <v>2963</v>
      </c>
      <c r="F1094" s="40" t="s">
        <v>4241</v>
      </c>
      <c r="G1094" s="50" t="s">
        <v>5604</v>
      </c>
      <c r="H1094" s="150" t="s">
        <v>5606</v>
      </c>
      <c r="I1094" s="50" t="s">
        <v>5609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3039</v>
      </c>
      <c r="W1094" s="39">
        <v>108</v>
      </c>
      <c r="X1094" s="40"/>
      <c r="Y1094" s="40"/>
      <c r="Z1094" s="40"/>
      <c r="AA1094" s="40" t="s">
        <v>2939</v>
      </c>
      <c r="AB1094" s="40"/>
      <c r="AC1094" s="40"/>
      <c r="AD1094" s="40"/>
      <c r="AE1094" s="40" t="s">
        <v>2939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1841</v>
      </c>
      <c r="C1095" s="40">
        <v>314</v>
      </c>
      <c r="D1095" s="38" t="s">
        <v>1837</v>
      </c>
      <c r="E1095" s="40" t="s">
        <v>2963</v>
      </c>
      <c r="F1095" s="40" t="s">
        <v>4242</v>
      </c>
      <c r="G1095" s="50"/>
      <c r="H1095" s="150" t="s">
        <v>5608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130</v>
      </c>
      <c r="U1095" s="2" t="s">
        <v>2916</v>
      </c>
      <c r="V1095" s="38" t="s">
        <v>3039</v>
      </c>
      <c r="W1095" s="39">
        <v>104</v>
      </c>
      <c r="X1095" s="40"/>
      <c r="Y1095" s="40"/>
      <c r="Z1095" s="40"/>
      <c r="AA1095" s="40" t="s">
        <v>2939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1842</v>
      </c>
      <c r="C1096" s="40">
        <v>317</v>
      </c>
      <c r="D1096" s="38" t="s">
        <v>1837</v>
      </c>
      <c r="E1096" s="40" t="s">
        <v>2963</v>
      </c>
      <c r="F1096" s="40" t="s">
        <v>4243</v>
      </c>
      <c r="G1096" s="50"/>
      <c r="H1096" s="150" t="s">
        <v>5607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3039</v>
      </c>
      <c r="W1096" s="39">
        <v>108</v>
      </c>
      <c r="X1096" s="40"/>
      <c r="Y1096" s="40"/>
      <c r="Z1096" s="40"/>
      <c r="AA1096" s="40" t="s">
        <v>2939</v>
      </c>
      <c r="AB1096" s="40"/>
      <c r="AC1096" s="40"/>
      <c r="AD1096" s="40"/>
      <c r="AE1096" s="40" t="s">
        <v>2939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1843</v>
      </c>
      <c r="C1097" s="40">
        <v>319</v>
      </c>
      <c r="D1097" s="38" t="s">
        <v>1837</v>
      </c>
      <c r="E1097" s="40" t="s">
        <v>2963</v>
      </c>
      <c r="F1097" s="40" t="s">
        <v>4244</v>
      </c>
      <c r="G1097" s="50" t="s">
        <v>5604</v>
      </c>
      <c r="H1097" s="150" t="s">
        <v>5606</v>
      </c>
      <c r="I1097" s="50" t="s">
        <v>5609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575</v>
      </c>
      <c r="U1097" s="2" t="s">
        <v>8</v>
      </c>
      <c r="V1097" s="38" t="s">
        <v>3039</v>
      </c>
      <c r="W1097" s="39">
        <v>112</v>
      </c>
      <c r="X1097" s="40"/>
      <c r="Y1097" s="40"/>
      <c r="Z1097" s="40"/>
      <c r="AA1097" s="40" t="s">
        <v>2939</v>
      </c>
      <c r="AB1097" s="40"/>
      <c r="AC1097" s="40"/>
      <c r="AD1097" s="40"/>
      <c r="AE1097" s="40" t="s">
        <v>2939</v>
      </c>
      <c r="AF1097" s="40"/>
      <c r="AG1097" s="40"/>
      <c r="AH1097" s="40"/>
      <c r="AI1097" s="40" t="s">
        <v>2939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1844</v>
      </c>
      <c r="C1098" s="83">
        <v>306</v>
      </c>
      <c r="D1098" s="113" t="s">
        <v>1837</v>
      </c>
      <c r="E1098" s="83" t="s">
        <v>2963</v>
      </c>
      <c r="F1098" s="83" t="s">
        <v>4245</v>
      </c>
      <c r="G1098" s="138"/>
      <c r="H1098" s="340" t="s">
        <v>5606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3039</v>
      </c>
      <c r="W1098" s="86">
        <v>112</v>
      </c>
      <c r="X1098" s="83"/>
      <c r="Y1098" s="83"/>
      <c r="Z1098" s="83"/>
      <c r="AA1098" s="83" t="s">
        <v>2939</v>
      </c>
      <c r="AB1098" s="83"/>
      <c r="AC1098" s="83"/>
      <c r="AD1098" s="83" t="s">
        <v>2898</v>
      </c>
      <c r="AE1098" s="83"/>
      <c r="AF1098" s="83"/>
      <c r="AG1098" s="83"/>
      <c r="AH1098" s="83"/>
      <c r="AI1098" s="83" t="s">
        <v>2898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1898</v>
      </c>
      <c r="C1099" s="29">
        <v>2208</v>
      </c>
      <c r="D1099" s="27" t="s">
        <v>1897</v>
      </c>
      <c r="E1099" s="29" t="s">
        <v>2915</v>
      </c>
      <c r="F1099" s="29" t="s">
        <v>4246</v>
      </c>
      <c r="G1099" s="192"/>
      <c r="H1099" s="145" t="s">
        <v>5606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3039</v>
      </c>
      <c r="W1099" s="28">
        <v>104</v>
      </c>
      <c r="X1099" s="29"/>
      <c r="Y1099" s="102"/>
      <c r="Z1099" s="29"/>
      <c r="AA1099" s="29" t="s">
        <v>2939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1899</v>
      </c>
      <c r="C1100" s="40">
        <v>2212</v>
      </c>
      <c r="D1100" s="38" t="s">
        <v>1897</v>
      </c>
      <c r="E1100" s="40" t="s">
        <v>2915</v>
      </c>
      <c r="F1100" s="40" t="s">
        <v>4247</v>
      </c>
      <c r="G1100" s="50"/>
      <c r="H1100" s="150" t="s">
        <v>5606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3039</v>
      </c>
      <c r="W1100" s="39">
        <v>105</v>
      </c>
      <c r="X1100" s="40"/>
      <c r="Y1100" s="106"/>
      <c r="Z1100" s="40"/>
      <c r="AA1100" s="40"/>
      <c r="AB1100" s="40" t="s">
        <v>2898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1900</v>
      </c>
      <c r="C1101" s="83">
        <v>2213</v>
      </c>
      <c r="D1101" s="113" t="s">
        <v>1897</v>
      </c>
      <c r="E1101" s="83" t="s">
        <v>2915</v>
      </c>
      <c r="F1101" s="83" t="s">
        <v>4248</v>
      </c>
      <c r="G1101" s="138" t="s">
        <v>5604</v>
      </c>
      <c r="H1101" s="340" t="s">
        <v>5606</v>
      </c>
      <c r="I1101" s="138" t="s">
        <v>5609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575</v>
      </c>
      <c r="U1101" s="85" t="s">
        <v>8</v>
      </c>
      <c r="V1101" s="113" t="s">
        <v>3039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2939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1904</v>
      </c>
      <c r="C1102" s="29">
        <v>1790</v>
      </c>
      <c r="D1102" s="27" t="s">
        <v>1903</v>
      </c>
      <c r="E1102" s="217" t="s">
        <v>2929</v>
      </c>
      <c r="F1102" s="217" t="s">
        <v>4249</v>
      </c>
      <c r="G1102" s="192" t="s">
        <v>5604</v>
      </c>
      <c r="H1102" s="145" t="s">
        <v>5608</v>
      </c>
      <c r="I1102" s="192" t="s">
        <v>5609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708</v>
      </c>
      <c r="U1102" s="30" t="s">
        <v>56</v>
      </c>
      <c r="V1102" s="27" t="s">
        <v>3039</v>
      </c>
      <c r="W1102" s="28">
        <v>110</v>
      </c>
      <c r="X1102" s="29"/>
      <c r="Y1102" s="29"/>
      <c r="Z1102" s="29"/>
      <c r="AA1102" s="29"/>
      <c r="AB1102" s="29" t="s">
        <v>2939</v>
      </c>
      <c r="AC1102" s="29"/>
      <c r="AD1102" s="29"/>
      <c r="AE1102" s="29" t="s">
        <v>2939</v>
      </c>
      <c r="AF1102" s="29"/>
      <c r="AG1102" s="29" t="s">
        <v>2943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1905</v>
      </c>
      <c r="C1103" s="40">
        <v>1793</v>
      </c>
      <c r="D1103" s="38" t="s">
        <v>1903</v>
      </c>
      <c r="E1103" s="221" t="s">
        <v>2929</v>
      </c>
      <c r="F1103" s="221" t="s">
        <v>4250</v>
      </c>
      <c r="G1103" s="50"/>
      <c r="H1103" s="150" t="s">
        <v>5606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3039</v>
      </c>
      <c r="W1103" s="39">
        <v>108</v>
      </c>
      <c r="X1103" s="40"/>
      <c r="Y1103" s="40"/>
      <c r="Z1103" s="40"/>
      <c r="AA1103" s="40"/>
      <c r="AB1103" s="40" t="s">
        <v>2939</v>
      </c>
      <c r="AC1103" s="40"/>
      <c r="AD1103" s="40"/>
      <c r="AE1103" s="40" t="s">
        <v>2898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1906</v>
      </c>
      <c r="C1104" s="83">
        <v>1794</v>
      </c>
      <c r="D1104" s="113" t="s">
        <v>1903</v>
      </c>
      <c r="E1104" s="218" t="s">
        <v>2929</v>
      </c>
      <c r="F1104" s="218" t="s">
        <v>4251</v>
      </c>
      <c r="G1104" s="138" t="s">
        <v>5604</v>
      </c>
      <c r="H1104" s="340" t="s">
        <v>5606</v>
      </c>
      <c r="I1104" s="138" t="s">
        <v>5609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575</v>
      </c>
      <c r="U1104" s="85" t="s">
        <v>8</v>
      </c>
      <c r="V1104" s="113" t="s">
        <v>3039</v>
      </c>
      <c r="W1104" s="86">
        <v>110</v>
      </c>
      <c r="X1104" s="83"/>
      <c r="Y1104" s="83"/>
      <c r="Z1104" s="83"/>
      <c r="AA1104" s="83"/>
      <c r="AB1104" s="83" t="s">
        <v>2939</v>
      </c>
      <c r="AC1104" s="83"/>
      <c r="AD1104" s="83"/>
      <c r="AE1104" s="83" t="s">
        <v>2939</v>
      </c>
      <c r="AF1104" s="83"/>
      <c r="AG1104" s="83" t="s">
        <v>2939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1939</v>
      </c>
      <c r="C1105" s="29">
        <v>1735</v>
      </c>
      <c r="D1105" s="27" t="s">
        <v>1938</v>
      </c>
      <c r="E1105" s="29" t="s">
        <v>2929</v>
      </c>
      <c r="F1105" s="29" t="s">
        <v>4252</v>
      </c>
      <c r="G1105" s="192" t="s">
        <v>5604</v>
      </c>
      <c r="H1105" s="145" t="s">
        <v>5606</v>
      </c>
      <c r="I1105" s="192" t="s">
        <v>5609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306</v>
      </c>
      <c r="U1105" s="30" t="s">
        <v>3</v>
      </c>
      <c r="V1105" s="27" t="s">
        <v>3039</v>
      </c>
      <c r="W1105" s="28">
        <v>111</v>
      </c>
      <c r="X1105" s="29"/>
      <c r="Y1105" s="29"/>
      <c r="Z1105" s="29" t="s">
        <v>2939</v>
      </c>
      <c r="AA1105" s="29"/>
      <c r="AB1105" s="29"/>
      <c r="AC1105" s="29" t="s">
        <v>2939</v>
      </c>
      <c r="AD1105" s="29"/>
      <c r="AE1105" s="29"/>
      <c r="AF1105" s="29" t="s">
        <v>2939</v>
      </c>
      <c r="AG1105" s="29"/>
      <c r="AH1105" s="29" t="s">
        <v>2898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1941</v>
      </c>
      <c r="C1106" s="40">
        <v>1742</v>
      </c>
      <c r="D1106" s="38" t="s">
        <v>1938</v>
      </c>
      <c r="E1106" s="40" t="s">
        <v>2929</v>
      </c>
      <c r="F1106" s="40" t="s">
        <v>4253</v>
      </c>
      <c r="G1106" s="50" t="s">
        <v>5604</v>
      </c>
      <c r="H1106" s="150" t="s">
        <v>5606</v>
      </c>
      <c r="I1106" s="50" t="s">
        <v>5609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575</v>
      </c>
      <c r="U1106" s="2" t="s">
        <v>8</v>
      </c>
      <c r="V1106" s="38" t="s">
        <v>3039</v>
      </c>
      <c r="W1106" s="39">
        <v>110</v>
      </c>
      <c r="X1106" s="40"/>
      <c r="Y1106" s="40"/>
      <c r="Z1106" s="40" t="s">
        <v>2939</v>
      </c>
      <c r="AA1106" s="40"/>
      <c r="AB1106" s="40"/>
      <c r="AC1106" s="40" t="s">
        <v>2939</v>
      </c>
      <c r="AD1106" s="40"/>
      <c r="AE1106" s="40"/>
      <c r="AF1106" s="40" t="s">
        <v>2939</v>
      </c>
      <c r="AG1106" s="40" t="s">
        <v>2939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1942</v>
      </c>
      <c r="C1107" s="40">
        <v>1743</v>
      </c>
      <c r="D1107" s="38" t="s">
        <v>1938</v>
      </c>
      <c r="E1107" s="40" t="s">
        <v>2929</v>
      </c>
      <c r="F1107" s="40" t="s">
        <v>4254</v>
      </c>
      <c r="G1107" s="50" t="s">
        <v>5604</v>
      </c>
      <c r="H1107" s="150" t="s">
        <v>5608</v>
      </c>
      <c r="I1107" s="50" t="s">
        <v>5609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575</v>
      </c>
      <c r="U1107" s="2" t="s">
        <v>8</v>
      </c>
      <c r="V1107" s="38" t="s">
        <v>3039</v>
      </c>
      <c r="W1107" s="39">
        <v>110</v>
      </c>
      <c r="X1107" s="40"/>
      <c r="Y1107" s="40"/>
      <c r="Z1107" s="40" t="s">
        <v>2939</v>
      </c>
      <c r="AA1107" s="40"/>
      <c r="AB1107" s="40"/>
      <c r="AC1107" s="40" t="s">
        <v>2939</v>
      </c>
      <c r="AD1107" s="40"/>
      <c r="AE1107" s="40"/>
      <c r="AF1107" s="40" t="s">
        <v>2939</v>
      </c>
      <c r="AG1107" s="40" t="s">
        <v>2939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1945</v>
      </c>
      <c r="C1108" s="40">
        <v>1780</v>
      </c>
      <c r="D1108" s="38" t="s">
        <v>1938</v>
      </c>
      <c r="E1108" s="40" t="s">
        <v>2929</v>
      </c>
      <c r="F1108" s="40" t="s">
        <v>4255</v>
      </c>
      <c r="G1108" s="50"/>
      <c r="H1108" s="150" t="s">
        <v>5606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3039</v>
      </c>
      <c r="W1108" s="39">
        <v>107</v>
      </c>
      <c r="X1108" s="40"/>
      <c r="Y1108" s="40"/>
      <c r="Z1108" s="40" t="s">
        <v>2939</v>
      </c>
      <c r="AA1108" s="40"/>
      <c r="AB1108" s="40"/>
      <c r="AC1108" s="40"/>
      <c r="AD1108" s="40" t="s">
        <v>2898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1946</v>
      </c>
      <c r="C1109" s="83">
        <v>1813</v>
      </c>
      <c r="D1109" s="113" t="s">
        <v>1938</v>
      </c>
      <c r="E1109" s="83" t="s">
        <v>2929</v>
      </c>
      <c r="F1109" s="83" t="s">
        <v>4256</v>
      </c>
      <c r="G1109" s="138" t="s">
        <v>5604</v>
      </c>
      <c r="H1109" s="340" t="s">
        <v>5608</v>
      </c>
      <c r="I1109" s="138" t="s">
        <v>5609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886</v>
      </c>
      <c r="Q1109" s="88">
        <v>22.9</v>
      </c>
      <c r="R1109" s="88">
        <v>104</v>
      </c>
      <c r="S1109" s="88">
        <v>48.3</v>
      </c>
      <c r="T1109" s="85" t="s">
        <v>306</v>
      </c>
      <c r="U1109" s="85" t="s">
        <v>3</v>
      </c>
      <c r="V1109" s="113" t="s">
        <v>3039</v>
      </c>
      <c r="W1109" s="86">
        <v>111</v>
      </c>
      <c r="X1109" s="83"/>
      <c r="Y1109" s="83"/>
      <c r="Z1109" s="83"/>
      <c r="AA1109" s="83"/>
      <c r="AB1109" s="83"/>
      <c r="AC1109" s="83" t="s">
        <v>2939</v>
      </c>
      <c r="AD1109" s="83"/>
      <c r="AE1109" s="83"/>
      <c r="AF1109" s="83" t="s">
        <v>2939</v>
      </c>
      <c r="AG1109" s="83"/>
      <c r="AH1109" s="83" t="s">
        <v>2898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1974</v>
      </c>
      <c r="C1110" s="19">
        <v>1476</v>
      </c>
      <c r="D1110" s="17" t="s">
        <v>1973</v>
      </c>
      <c r="E1110" s="19" t="s">
        <v>2929</v>
      </c>
      <c r="F1110" s="19" t="s">
        <v>4257</v>
      </c>
      <c r="G1110" s="255" t="s">
        <v>5604</v>
      </c>
      <c r="H1110" s="434" t="s">
        <v>5606</v>
      </c>
      <c r="I1110" s="255" t="s">
        <v>5609</v>
      </c>
      <c r="J1110" s="23">
        <v>198099</v>
      </c>
      <c r="K1110" s="23">
        <v>2665206</v>
      </c>
      <c r="L1110" s="23" t="s">
        <v>412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575</v>
      </c>
      <c r="U1110" s="20" t="s">
        <v>8</v>
      </c>
      <c r="V1110" s="17" t="s">
        <v>3039</v>
      </c>
      <c r="W1110" s="222">
        <v>111</v>
      </c>
      <c r="X1110" s="19"/>
      <c r="Y1110" s="19"/>
      <c r="Z1110" s="19" t="s">
        <v>2939</v>
      </c>
      <c r="AA1110" s="19"/>
      <c r="AB1110" s="19"/>
      <c r="AC1110" s="19"/>
      <c r="AD1110" s="19"/>
      <c r="AE1110" s="19" t="s">
        <v>2939</v>
      </c>
      <c r="AF1110" s="19"/>
      <c r="AG1110" s="19"/>
      <c r="AH1110" s="19" t="s">
        <v>2939</v>
      </c>
      <c r="AI1110" s="19"/>
      <c r="AJ1110" s="222"/>
      <c r="AK1110" s="314"/>
      <c r="AL1110" s="257" t="s">
        <v>2908</v>
      </c>
      <c r="AM1110" s="289"/>
    </row>
    <row r="1111" spans="1:39" x14ac:dyDescent="0.3">
      <c r="A1111" s="15">
        <v>1110</v>
      </c>
      <c r="B1111" s="29" t="s">
        <v>1977</v>
      </c>
      <c r="C1111" s="29">
        <v>521</v>
      </c>
      <c r="D1111" s="27" t="s">
        <v>1976</v>
      </c>
      <c r="E1111" s="29" t="s">
        <v>2963</v>
      </c>
      <c r="F1111" s="29" t="s">
        <v>4258</v>
      </c>
      <c r="G1111" s="192" t="s">
        <v>5604</v>
      </c>
      <c r="H1111" s="145" t="s">
        <v>5606</v>
      </c>
      <c r="I1111" s="192" t="s">
        <v>5609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575</v>
      </c>
      <c r="U1111" s="30" t="s">
        <v>8</v>
      </c>
      <c r="V1111" s="27" t="s">
        <v>3039</v>
      </c>
      <c r="W1111" s="28">
        <v>109</v>
      </c>
      <c r="X1111" s="29"/>
      <c r="Y1111" s="29"/>
      <c r="Z1111" s="29"/>
      <c r="AA1111" s="29" t="s">
        <v>2939</v>
      </c>
      <c r="AB1111" s="29"/>
      <c r="AC1111" s="29"/>
      <c r="AD1111" s="29"/>
      <c r="AE1111" s="29"/>
      <c r="AF1111" s="29" t="s">
        <v>2939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1978</v>
      </c>
      <c r="C1112" s="40">
        <v>522</v>
      </c>
      <c r="D1112" s="38" t="s">
        <v>1976</v>
      </c>
      <c r="E1112" s="40" t="s">
        <v>2963</v>
      </c>
      <c r="F1112" s="40" t="s">
        <v>4259</v>
      </c>
      <c r="G1112" s="50" t="s">
        <v>5604</v>
      </c>
      <c r="H1112" s="150" t="s">
        <v>5607</v>
      </c>
      <c r="I1112" s="50" t="s">
        <v>5609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66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3039</v>
      </c>
      <c r="W1112" s="39">
        <v>109</v>
      </c>
      <c r="X1112" s="40"/>
      <c r="Y1112" s="40"/>
      <c r="Z1112" s="40"/>
      <c r="AA1112" s="40" t="s">
        <v>2939</v>
      </c>
      <c r="AB1112" s="40"/>
      <c r="AC1112" s="40"/>
      <c r="AD1112" s="40"/>
      <c r="AE1112" s="40" t="s">
        <v>2898</v>
      </c>
      <c r="AF1112" s="40" t="s">
        <v>2898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1979</v>
      </c>
      <c r="C1113" s="40">
        <v>524</v>
      </c>
      <c r="D1113" s="38" t="s">
        <v>1976</v>
      </c>
      <c r="E1113" s="40" t="s">
        <v>2963</v>
      </c>
      <c r="F1113" s="40" t="s">
        <v>4260</v>
      </c>
      <c r="G1113" s="50"/>
      <c r="H1113" s="150" t="s">
        <v>5606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3039</v>
      </c>
      <c r="W1113" s="39">
        <v>109</v>
      </c>
      <c r="X1113" s="40"/>
      <c r="Y1113" s="40"/>
      <c r="Z1113" s="40"/>
      <c r="AA1113" s="40" t="s">
        <v>2939</v>
      </c>
      <c r="AB1113" s="40"/>
      <c r="AC1113" s="40"/>
      <c r="AD1113" s="40"/>
      <c r="AE1113" s="40"/>
      <c r="AF1113" s="40" t="s">
        <v>2898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1980</v>
      </c>
      <c r="C1114" s="40">
        <v>557</v>
      </c>
      <c r="D1114" s="38" t="s">
        <v>1976</v>
      </c>
      <c r="E1114" s="40" t="s">
        <v>2963</v>
      </c>
      <c r="F1114" s="40" t="s">
        <v>4261</v>
      </c>
      <c r="G1114" s="50" t="s">
        <v>5604</v>
      </c>
      <c r="H1114" s="150" t="s">
        <v>5606</v>
      </c>
      <c r="I1114" s="50" t="s">
        <v>5609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575</v>
      </c>
      <c r="U1114" s="2" t="s">
        <v>8</v>
      </c>
      <c r="V1114" s="38" t="s">
        <v>3039</v>
      </c>
      <c r="W1114" s="39">
        <v>109</v>
      </c>
      <c r="X1114" s="40"/>
      <c r="Y1114" s="40"/>
      <c r="Z1114" s="40"/>
      <c r="AA1114" s="40" t="s">
        <v>2939</v>
      </c>
      <c r="AB1114" s="40"/>
      <c r="AC1114" s="40"/>
      <c r="AD1114" s="40"/>
      <c r="AE1114" s="40"/>
      <c r="AF1114" s="40" t="s">
        <v>2939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1981</v>
      </c>
      <c r="C1115" s="83">
        <v>523</v>
      </c>
      <c r="D1115" s="113" t="s">
        <v>1976</v>
      </c>
      <c r="E1115" s="83" t="s">
        <v>2963</v>
      </c>
      <c r="F1115" s="83" t="s">
        <v>4262</v>
      </c>
      <c r="G1115" s="138" t="s">
        <v>5604</v>
      </c>
      <c r="H1115" s="340" t="s">
        <v>5608</v>
      </c>
      <c r="I1115" s="138" t="s">
        <v>5609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306</v>
      </c>
      <c r="U1115" s="85" t="s">
        <v>3</v>
      </c>
      <c r="V1115" s="113" t="s">
        <v>3039</v>
      </c>
      <c r="W1115" s="86">
        <v>109</v>
      </c>
      <c r="X1115" s="83"/>
      <c r="Y1115" s="83"/>
      <c r="Z1115" s="83"/>
      <c r="AA1115" s="83" t="s">
        <v>2939</v>
      </c>
      <c r="AB1115" s="83"/>
      <c r="AC1115" s="83"/>
      <c r="AD1115" s="83"/>
      <c r="AE1115" s="83"/>
      <c r="AF1115" s="83" t="s">
        <v>2898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1996</v>
      </c>
      <c r="C1116" s="29">
        <v>437</v>
      </c>
      <c r="D1116" s="27" t="s">
        <v>1995</v>
      </c>
      <c r="E1116" s="29" t="s">
        <v>2963</v>
      </c>
      <c r="F1116" s="29" t="s">
        <v>4263</v>
      </c>
      <c r="G1116" s="192"/>
      <c r="H1116" s="145" t="s">
        <v>5607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3039</v>
      </c>
      <c r="W1116" s="28">
        <v>108</v>
      </c>
      <c r="X1116" s="29"/>
      <c r="Y1116" s="29"/>
      <c r="Z1116" s="29"/>
      <c r="AA1116" s="29" t="s">
        <v>2939</v>
      </c>
      <c r="AB1116" s="29"/>
      <c r="AC1116" s="29"/>
      <c r="AD1116" s="29"/>
      <c r="AE1116" s="29" t="s">
        <v>2898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1997</v>
      </c>
      <c r="C1117" s="40">
        <v>442</v>
      </c>
      <c r="D1117" s="38" t="s">
        <v>1995</v>
      </c>
      <c r="E1117" s="40" t="s">
        <v>2963</v>
      </c>
      <c r="F1117" s="40" t="s">
        <v>4264</v>
      </c>
      <c r="G1117" s="50" t="s">
        <v>5604</v>
      </c>
      <c r="H1117" s="150" t="s">
        <v>5606</v>
      </c>
      <c r="I1117" s="50" t="s">
        <v>5609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575</v>
      </c>
      <c r="U1117" s="2" t="s">
        <v>8</v>
      </c>
      <c r="V1117" s="38" t="s">
        <v>3039</v>
      </c>
      <c r="W1117" s="39">
        <v>111</v>
      </c>
      <c r="X1117" s="40"/>
      <c r="Y1117" s="40"/>
      <c r="Z1117" s="40"/>
      <c r="AA1117" s="40" t="s">
        <v>2939</v>
      </c>
      <c r="AB1117" s="40"/>
      <c r="AC1117" s="40"/>
      <c r="AD1117" s="40"/>
      <c r="AE1117" s="40" t="s">
        <v>2939</v>
      </c>
      <c r="AF1117" s="40"/>
      <c r="AG1117" s="40"/>
      <c r="AH1117" s="40" t="s">
        <v>2939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1998</v>
      </c>
      <c r="C1118" s="40">
        <v>444</v>
      </c>
      <c r="D1118" s="38" t="s">
        <v>1995</v>
      </c>
      <c r="E1118" s="40" t="s">
        <v>2963</v>
      </c>
      <c r="F1118" s="40" t="s">
        <v>4265</v>
      </c>
      <c r="G1118" s="50" t="s">
        <v>5604</v>
      </c>
      <c r="H1118" s="150" t="s">
        <v>5606</v>
      </c>
      <c r="I1118" s="50" t="s">
        <v>5609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754</v>
      </c>
      <c r="Q1118" s="43">
        <v>25.3</v>
      </c>
      <c r="R1118" s="43">
        <v>332</v>
      </c>
      <c r="S1118" s="43">
        <v>101</v>
      </c>
      <c r="T1118" s="2" t="s">
        <v>575</v>
      </c>
      <c r="U1118" s="2" t="s">
        <v>8</v>
      </c>
      <c r="V1118" s="38" t="s">
        <v>3039</v>
      </c>
      <c r="W1118" s="39">
        <v>111</v>
      </c>
      <c r="X1118" s="40"/>
      <c r="Y1118" s="40"/>
      <c r="Z1118" s="40"/>
      <c r="AA1118" s="40" t="s">
        <v>2939</v>
      </c>
      <c r="AB1118" s="40"/>
      <c r="AC1118" s="40"/>
      <c r="AD1118" s="40"/>
      <c r="AE1118" s="40" t="s">
        <v>2939</v>
      </c>
      <c r="AF1118" s="40"/>
      <c r="AG1118" s="40"/>
      <c r="AH1118" s="40" t="s">
        <v>2939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1999</v>
      </c>
      <c r="C1119" s="40">
        <v>447</v>
      </c>
      <c r="D1119" s="38" t="s">
        <v>1995</v>
      </c>
      <c r="E1119" s="40" t="s">
        <v>2963</v>
      </c>
      <c r="F1119" s="40" t="s">
        <v>4266</v>
      </c>
      <c r="G1119" s="50"/>
      <c r="H1119" s="150" t="s">
        <v>5606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3039</v>
      </c>
      <c r="W1119" s="39">
        <v>108</v>
      </c>
      <c r="X1119" s="40"/>
      <c r="Y1119" s="40"/>
      <c r="Z1119" s="40"/>
      <c r="AA1119" s="40" t="s">
        <v>2939</v>
      </c>
      <c r="AB1119" s="40"/>
      <c r="AC1119" s="40"/>
      <c r="AD1119" s="40"/>
      <c r="AE1119" s="40" t="s">
        <v>2898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2002</v>
      </c>
      <c r="C1120" s="40">
        <v>443</v>
      </c>
      <c r="D1120" s="38" t="s">
        <v>1995</v>
      </c>
      <c r="E1120" s="40" t="s">
        <v>2963</v>
      </c>
      <c r="F1120" s="40" t="s">
        <v>4267</v>
      </c>
      <c r="G1120" s="50"/>
      <c r="H1120" s="150" t="s">
        <v>5607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3039</v>
      </c>
      <c r="W1120" s="39">
        <v>107</v>
      </c>
      <c r="X1120" s="40"/>
      <c r="Y1120" s="40"/>
      <c r="Z1120" s="40"/>
      <c r="AA1120" s="40" t="s">
        <v>2939</v>
      </c>
      <c r="AB1120" s="40"/>
      <c r="AC1120" s="40"/>
      <c r="AD1120" s="40" t="s">
        <v>2898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2003</v>
      </c>
      <c r="C1121" s="40">
        <v>446</v>
      </c>
      <c r="D1121" s="38" t="s">
        <v>1995</v>
      </c>
      <c r="E1121" s="40" t="s">
        <v>2963</v>
      </c>
      <c r="F1121" s="40" t="s">
        <v>4268</v>
      </c>
      <c r="G1121" s="50"/>
      <c r="H1121" s="150" t="s">
        <v>5607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122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3039</v>
      </c>
      <c r="W1121" s="39">
        <v>108</v>
      </c>
      <c r="X1121" s="40"/>
      <c r="Y1121" s="40"/>
      <c r="Z1121" s="40"/>
      <c r="AA1121" s="40" t="s">
        <v>2939</v>
      </c>
      <c r="AB1121" s="40"/>
      <c r="AC1121" s="40"/>
      <c r="AD1121" s="40"/>
      <c r="AE1121" s="40" t="s">
        <v>2898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2004</v>
      </c>
      <c r="C1122" s="40">
        <v>2451</v>
      </c>
      <c r="D1122" s="38" t="s">
        <v>1995</v>
      </c>
      <c r="E1122" s="40" t="s">
        <v>2963</v>
      </c>
      <c r="F1122" s="40" t="s">
        <v>4269</v>
      </c>
      <c r="G1122" s="50"/>
      <c r="H1122" s="150" t="s">
        <v>5608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3039</v>
      </c>
      <c r="W1122" s="39">
        <v>108</v>
      </c>
      <c r="X1122" s="40"/>
      <c r="Y1122" s="40"/>
      <c r="Z1122" s="40"/>
      <c r="AA1122" s="40" t="s">
        <v>2939</v>
      </c>
      <c r="AB1122" s="40"/>
      <c r="AC1122" s="40"/>
      <c r="AD1122" s="40"/>
      <c r="AE1122" s="40" t="s">
        <v>2898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2005</v>
      </c>
      <c r="C1123" s="40">
        <v>2452</v>
      </c>
      <c r="D1123" s="38" t="s">
        <v>1995</v>
      </c>
      <c r="E1123" s="40" t="s">
        <v>2963</v>
      </c>
      <c r="F1123" s="40" t="s">
        <v>4270</v>
      </c>
      <c r="G1123" s="50"/>
      <c r="H1123" s="150" t="s">
        <v>5608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3039</v>
      </c>
      <c r="W1123" s="39">
        <v>108</v>
      </c>
      <c r="X1123" s="40"/>
      <c r="Y1123" s="40"/>
      <c r="Z1123" s="40"/>
      <c r="AA1123" s="40" t="s">
        <v>2939</v>
      </c>
      <c r="AB1123" s="40"/>
      <c r="AC1123" s="40"/>
      <c r="AD1123" s="40"/>
      <c r="AE1123" s="40" t="s">
        <v>2898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1724</v>
      </c>
      <c r="C1124" s="58">
        <v>448</v>
      </c>
      <c r="D1124" s="56" t="s">
        <v>1723</v>
      </c>
      <c r="E1124" s="58" t="s">
        <v>2963</v>
      </c>
      <c r="F1124" s="58" t="s">
        <v>4271</v>
      </c>
      <c r="G1124" s="127" t="s">
        <v>5604</v>
      </c>
      <c r="H1124" s="226" t="s">
        <v>5607</v>
      </c>
      <c r="I1124" s="127" t="s">
        <v>5609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233</v>
      </c>
      <c r="Q1124" s="62">
        <v>35.6</v>
      </c>
      <c r="R1124" s="62">
        <v>189</v>
      </c>
      <c r="S1124" s="62">
        <v>98.3</v>
      </c>
      <c r="T1124" s="59" t="s">
        <v>306</v>
      </c>
      <c r="U1124" s="59" t="s">
        <v>3</v>
      </c>
      <c r="V1124" s="56" t="s">
        <v>3039</v>
      </c>
      <c r="W1124" s="57">
        <v>109</v>
      </c>
      <c r="X1124" s="58"/>
      <c r="Y1124" s="58"/>
      <c r="Z1124" s="58"/>
      <c r="AA1124" s="58" t="s">
        <v>2939</v>
      </c>
      <c r="AB1124" s="58"/>
      <c r="AC1124" s="58"/>
      <c r="AD1124" s="58"/>
      <c r="AE1124" s="58" t="s">
        <v>2898</v>
      </c>
      <c r="AF1124" s="58" t="s">
        <v>2898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2007</v>
      </c>
      <c r="C1125" s="75">
        <v>301</v>
      </c>
      <c r="D1125" s="67" t="s">
        <v>2006</v>
      </c>
      <c r="E1125" s="75" t="s">
        <v>2963</v>
      </c>
      <c r="F1125" s="75" t="s">
        <v>4272</v>
      </c>
      <c r="G1125" s="178"/>
      <c r="H1125" s="414" t="s">
        <v>5607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3039</v>
      </c>
      <c r="W1125" s="70">
        <v>108</v>
      </c>
      <c r="X1125" s="75"/>
      <c r="Y1125" s="75"/>
      <c r="Z1125" s="75"/>
      <c r="AA1125" s="75" t="s">
        <v>2939</v>
      </c>
      <c r="AB1125" s="75"/>
      <c r="AC1125" s="75"/>
      <c r="AD1125" s="75"/>
      <c r="AE1125" s="75" t="s">
        <v>2898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2008</v>
      </c>
      <c r="C1126" s="40">
        <v>305</v>
      </c>
      <c r="D1126" s="38" t="s">
        <v>2006</v>
      </c>
      <c r="E1126" s="40" t="s">
        <v>2963</v>
      </c>
      <c r="F1126" s="40" t="s">
        <v>4273</v>
      </c>
      <c r="G1126" s="50"/>
      <c r="H1126" s="150" t="s">
        <v>5606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3039</v>
      </c>
      <c r="W1126" s="39">
        <v>108</v>
      </c>
      <c r="X1126" s="40"/>
      <c r="Y1126" s="40"/>
      <c r="Z1126" s="40"/>
      <c r="AA1126" s="40" t="s">
        <v>2939</v>
      </c>
      <c r="AB1126" s="40"/>
      <c r="AC1126" s="40"/>
      <c r="AD1126" s="40"/>
      <c r="AE1126" s="40" t="s">
        <v>2939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2009</v>
      </c>
      <c r="C1127" s="40">
        <v>308</v>
      </c>
      <c r="D1127" s="38" t="s">
        <v>2006</v>
      </c>
      <c r="E1127" s="40" t="s">
        <v>2963</v>
      </c>
      <c r="F1127" s="40" t="s">
        <v>4274</v>
      </c>
      <c r="G1127" s="50" t="s">
        <v>5604</v>
      </c>
      <c r="H1127" s="150" t="s">
        <v>5606</v>
      </c>
      <c r="I1127" s="50" t="s">
        <v>5609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575</v>
      </c>
      <c r="U1127" s="2" t="s">
        <v>8</v>
      </c>
      <c r="V1127" s="38" t="s">
        <v>3039</v>
      </c>
      <c r="W1127" s="39">
        <v>110</v>
      </c>
      <c r="X1127" s="40"/>
      <c r="Y1127" s="40"/>
      <c r="Z1127" s="40"/>
      <c r="AA1127" s="40" t="s">
        <v>2939</v>
      </c>
      <c r="AB1127" s="40"/>
      <c r="AC1127" s="40"/>
      <c r="AD1127" s="40" t="s">
        <v>2939</v>
      </c>
      <c r="AE1127" s="40"/>
      <c r="AF1127" s="40"/>
      <c r="AG1127" s="40" t="s">
        <v>2939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2010</v>
      </c>
      <c r="C1128" s="40">
        <v>433</v>
      </c>
      <c r="D1128" s="38" t="s">
        <v>2006</v>
      </c>
      <c r="E1128" s="40" t="s">
        <v>2963</v>
      </c>
      <c r="F1128" s="40" t="s">
        <v>4275</v>
      </c>
      <c r="G1128" s="50"/>
      <c r="H1128" s="150" t="s">
        <v>5607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3039</v>
      </c>
      <c r="W1128" s="39">
        <v>104</v>
      </c>
      <c r="X1128" s="40"/>
      <c r="Y1128" s="40"/>
      <c r="Z1128" s="40"/>
      <c r="AA1128" s="40" t="s">
        <v>2939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2011</v>
      </c>
      <c r="C1129" s="40">
        <v>434</v>
      </c>
      <c r="D1129" s="38" t="s">
        <v>2006</v>
      </c>
      <c r="E1129" s="40" t="s">
        <v>2963</v>
      </c>
      <c r="F1129" s="40" t="s">
        <v>4276</v>
      </c>
      <c r="G1129" s="50"/>
      <c r="H1129" s="150" t="s">
        <v>5607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3039</v>
      </c>
      <c r="W1129" s="39">
        <v>104</v>
      </c>
      <c r="X1129" s="40"/>
      <c r="Y1129" s="40"/>
      <c r="Z1129" s="40"/>
      <c r="AA1129" s="40" t="s">
        <v>2939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2013</v>
      </c>
      <c r="C1130" s="40">
        <v>302</v>
      </c>
      <c r="D1130" s="38" t="s">
        <v>2006</v>
      </c>
      <c r="E1130" s="40" t="s">
        <v>2963</v>
      </c>
      <c r="F1130" s="40" t="s">
        <v>4277</v>
      </c>
      <c r="G1130" s="50"/>
      <c r="H1130" s="150" t="s">
        <v>5606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3039</v>
      </c>
      <c r="W1130" s="39">
        <v>108</v>
      </c>
      <c r="X1130" s="40"/>
      <c r="Y1130" s="40"/>
      <c r="Z1130" s="40"/>
      <c r="AA1130" s="40" t="s">
        <v>2939</v>
      </c>
      <c r="AB1130" s="40"/>
      <c r="AC1130" s="40"/>
      <c r="AD1130" s="40"/>
      <c r="AE1130" s="40" t="s">
        <v>2898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2014</v>
      </c>
      <c r="C1131" s="83">
        <v>307</v>
      </c>
      <c r="D1131" s="113" t="s">
        <v>2006</v>
      </c>
      <c r="E1131" s="83" t="s">
        <v>2963</v>
      </c>
      <c r="F1131" s="83" t="s">
        <v>4278</v>
      </c>
      <c r="G1131" s="138"/>
      <c r="H1131" s="340" t="s">
        <v>5607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3039</v>
      </c>
      <c r="W1131" s="86">
        <v>107</v>
      </c>
      <c r="X1131" s="83"/>
      <c r="Y1131" s="83"/>
      <c r="Z1131" s="83"/>
      <c r="AA1131" s="83" t="s">
        <v>2939</v>
      </c>
      <c r="AB1131" s="83"/>
      <c r="AC1131" s="83"/>
      <c r="AD1131" s="83" t="s">
        <v>2898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2045</v>
      </c>
      <c r="C1132" s="29">
        <v>2101</v>
      </c>
      <c r="D1132" s="27" t="s">
        <v>2044</v>
      </c>
      <c r="E1132" s="29" t="s">
        <v>2963</v>
      </c>
      <c r="F1132" s="29" t="s">
        <v>4279</v>
      </c>
      <c r="G1132" s="192" t="s">
        <v>5604</v>
      </c>
      <c r="H1132" s="145" t="s">
        <v>5606</v>
      </c>
      <c r="I1132" s="192" t="s">
        <v>5609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575</v>
      </c>
      <c r="U1132" s="30" t="s">
        <v>8</v>
      </c>
      <c r="V1132" s="27" t="s">
        <v>3039</v>
      </c>
      <c r="W1132" s="28">
        <v>110</v>
      </c>
      <c r="X1132" s="29"/>
      <c r="Y1132" s="29"/>
      <c r="Z1132" s="29"/>
      <c r="AA1132" s="29" t="s">
        <v>2939</v>
      </c>
      <c r="AB1132" s="29"/>
      <c r="AC1132" s="29"/>
      <c r="AD1132" s="29"/>
      <c r="AE1132" s="29"/>
      <c r="AF1132" s="29"/>
      <c r="AG1132" s="29" t="s">
        <v>2939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2047</v>
      </c>
      <c r="C1133" s="40">
        <v>2105</v>
      </c>
      <c r="D1133" s="38" t="s">
        <v>2044</v>
      </c>
      <c r="E1133" s="40" t="s">
        <v>2963</v>
      </c>
      <c r="F1133" s="40" t="s">
        <v>4280</v>
      </c>
      <c r="G1133" s="50" t="s">
        <v>5604</v>
      </c>
      <c r="H1133" s="150" t="s">
        <v>5606</v>
      </c>
      <c r="I1133" s="50" t="s">
        <v>5609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3039</v>
      </c>
      <c r="W1133" s="39">
        <v>104</v>
      </c>
      <c r="X1133" s="40"/>
      <c r="Y1133" s="40"/>
      <c r="Z1133" s="40"/>
      <c r="AA1133" s="40" t="s">
        <v>2939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2048</v>
      </c>
      <c r="C1134" s="83">
        <v>2079</v>
      </c>
      <c r="D1134" s="113" t="s">
        <v>2044</v>
      </c>
      <c r="E1134" s="83" t="s">
        <v>2963</v>
      </c>
      <c r="F1134" s="83" t="s">
        <v>4281</v>
      </c>
      <c r="G1134" s="138" t="s">
        <v>5604</v>
      </c>
      <c r="H1134" s="340" t="s">
        <v>5606</v>
      </c>
      <c r="I1134" s="138" t="s">
        <v>5609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306</v>
      </c>
      <c r="U1134" s="85" t="s">
        <v>3</v>
      </c>
      <c r="V1134" s="113" t="s">
        <v>3039</v>
      </c>
      <c r="W1134" s="86">
        <v>109</v>
      </c>
      <c r="X1134" s="83"/>
      <c r="Y1134" s="137"/>
      <c r="Z1134" s="83"/>
      <c r="AA1134" s="83"/>
      <c r="AB1134" s="83"/>
      <c r="AC1134" s="83" t="s">
        <v>2898</v>
      </c>
      <c r="AD1134" s="83"/>
      <c r="AE1134" s="83"/>
      <c r="AF1134" s="319" t="s">
        <v>2978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1767</v>
      </c>
      <c r="C1135" s="29">
        <v>2099</v>
      </c>
      <c r="D1135" s="27" t="s">
        <v>1766</v>
      </c>
      <c r="E1135" s="29" t="s">
        <v>2963</v>
      </c>
      <c r="F1135" s="29" t="s">
        <v>4282</v>
      </c>
      <c r="G1135" s="192"/>
      <c r="H1135" s="145" t="s">
        <v>5606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1768</v>
      </c>
      <c r="Q1135" s="33">
        <v>31</v>
      </c>
      <c r="R1135" s="33">
        <v>144</v>
      </c>
      <c r="S1135" s="33">
        <v>62.3</v>
      </c>
      <c r="T1135" s="30" t="s">
        <v>575</v>
      </c>
      <c r="U1135" s="30" t="s">
        <v>8</v>
      </c>
      <c r="V1135" s="27" t="s">
        <v>3039</v>
      </c>
      <c r="W1135" s="28">
        <v>112</v>
      </c>
      <c r="X1135" s="29"/>
      <c r="Y1135" s="29"/>
      <c r="Z1135" s="29"/>
      <c r="AA1135" s="29" t="s">
        <v>2939</v>
      </c>
      <c r="AB1135" s="29"/>
      <c r="AC1135" s="29" t="s">
        <v>2943</v>
      </c>
      <c r="AD1135" s="29"/>
      <c r="AE1135" s="29" t="s">
        <v>2898</v>
      </c>
      <c r="AF1135" s="29"/>
      <c r="AG1135" s="29"/>
      <c r="AH1135" s="29"/>
      <c r="AI1135" s="29" t="s">
        <v>2961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1769</v>
      </c>
      <c r="C1136" s="58">
        <v>2100</v>
      </c>
      <c r="D1136" s="56" t="s">
        <v>1766</v>
      </c>
      <c r="E1136" s="58" t="s">
        <v>2963</v>
      </c>
      <c r="F1136" s="58" t="s">
        <v>4283</v>
      </c>
      <c r="G1136" s="127"/>
      <c r="H1136" s="226" t="s">
        <v>5608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1768</v>
      </c>
      <c r="Q1136" s="62">
        <v>34</v>
      </c>
      <c r="R1136" s="62">
        <v>182</v>
      </c>
      <c r="S1136" s="62">
        <v>73.900000000000006</v>
      </c>
      <c r="T1136" s="59" t="s">
        <v>575</v>
      </c>
      <c r="U1136" s="59" t="str">
        <f>U1135</f>
        <v>監測</v>
      </c>
      <c r="V1136" s="56" t="s">
        <v>3039</v>
      </c>
      <c r="W1136" s="57">
        <v>112</v>
      </c>
      <c r="X1136" s="58"/>
      <c r="Y1136" s="58"/>
      <c r="Z1136" s="58"/>
      <c r="AA1136" s="58" t="s">
        <v>2939</v>
      </c>
      <c r="AB1136" s="58"/>
      <c r="AC1136" s="58"/>
      <c r="AD1136" s="58"/>
      <c r="AE1136" s="58" t="s">
        <v>2898</v>
      </c>
      <c r="AF1136" s="58"/>
      <c r="AG1136" s="58"/>
      <c r="AH1136" s="58"/>
      <c r="AI1136" s="58" t="s">
        <v>2961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2065</v>
      </c>
      <c r="C1137" s="29">
        <v>2242</v>
      </c>
      <c r="D1137" s="27" t="s">
        <v>2064</v>
      </c>
      <c r="E1137" s="29" t="s">
        <v>2915</v>
      </c>
      <c r="F1137" s="29" t="s">
        <v>4284</v>
      </c>
      <c r="G1137" s="192" t="s">
        <v>5604</v>
      </c>
      <c r="H1137" s="145" t="s">
        <v>5607</v>
      </c>
      <c r="I1137" s="192" t="s">
        <v>5609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331</v>
      </c>
      <c r="Q1137" s="33">
        <v>39.1</v>
      </c>
      <c r="R1137" s="33">
        <v>399</v>
      </c>
      <c r="S1137" s="33">
        <v>131</v>
      </c>
      <c r="T1137" s="30" t="s">
        <v>306</v>
      </c>
      <c r="U1137" s="30" t="s">
        <v>3</v>
      </c>
      <c r="V1137" s="27" t="s">
        <v>3039</v>
      </c>
      <c r="W1137" s="28">
        <v>109</v>
      </c>
      <c r="X1137" s="29"/>
      <c r="Y1137" s="102"/>
      <c r="Z1137" s="29"/>
      <c r="AA1137" s="29"/>
      <c r="AB1137" s="29" t="s">
        <v>2939</v>
      </c>
      <c r="AC1137" s="29"/>
      <c r="AD1137" s="29"/>
      <c r="AE1137" s="29"/>
      <c r="AF1137" s="29" t="s">
        <v>2898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2067</v>
      </c>
      <c r="C1138" s="40">
        <v>2039</v>
      </c>
      <c r="D1138" s="38" t="s">
        <v>2064</v>
      </c>
      <c r="E1138" s="40" t="s">
        <v>2963</v>
      </c>
      <c r="F1138" s="40" t="s">
        <v>4285</v>
      </c>
      <c r="G1138" s="50"/>
      <c r="H1138" s="150" t="s">
        <v>5606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575</v>
      </c>
      <c r="U1138" s="2" t="s">
        <v>8</v>
      </c>
      <c r="V1138" s="38" t="s">
        <v>3039</v>
      </c>
      <c r="W1138" s="39">
        <v>112</v>
      </c>
      <c r="X1138" s="40"/>
      <c r="Y1138" s="106"/>
      <c r="Z1138" s="40"/>
      <c r="AA1138" s="40"/>
      <c r="AB1138" s="40"/>
      <c r="AC1138" s="40" t="s">
        <v>2898</v>
      </c>
      <c r="AD1138" s="40"/>
      <c r="AE1138" s="40"/>
      <c r="AF1138" s="40"/>
      <c r="AG1138" s="40"/>
      <c r="AH1138" s="40"/>
      <c r="AI1138" s="40" t="s">
        <v>2961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2068</v>
      </c>
      <c r="C1139" s="40">
        <v>2040</v>
      </c>
      <c r="D1139" s="38" t="s">
        <v>2064</v>
      </c>
      <c r="E1139" s="40" t="s">
        <v>2963</v>
      </c>
      <c r="F1139" s="40" t="s">
        <v>4286</v>
      </c>
      <c r="G1139" s="50"/>
      <c r="H1139" s="150" t="s">
        <v>5606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575</v>
      </c>
      <c r="U1139" s="2" t="s">
        <v>8</v>
      </c>
      <c r="V1139" s="38" t="s">
        <v>3039</v>
      </c>
      <c r="W1139" s="39">
        <v>112</v>
      </c>
      <c r="X1139" s="40"/>
      <c r="Y1139" s="106"/>
      <c r="Z1139" s="40"/>
      <c r="AA1139" s="40"/>
      <c r="AB1139" s="40"/>
      <c r="AC1139" s="40" t="s">
        <v>2898</v>
      </c>
      <c r="AD1139" s="40"/>
      <c r="AE1139" s="40"/>
      <c r="AF1139" s="40"/>
      <c r="AG1139" s="40"/>
      <c r="AH1139" s="40"/>
      <c r="AI1139" s="40" t="s">
        <v>2961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2072</v>
      </c>
      <c r="C1140" s="83">
        <v>2266</v>
      </c>
      <c r="D1140" s="113" t="s">
        <v>3049</v>
      </c>
      <c r="E1140" s="83" t="s">
        <v>2915</v>
      </c>
      <c r="F1140" s="83" t="s">
        <v>4287</v>
      </c>
      <c r="G1140" s="138"/>
      <c r="H1140" s="340" t="s">
        <v>5606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575</v>
      </c>
      <c r="U1140" s="85" t="s">
        <v>8</v>
      </c>
      <c r="V1140" s="113" t="s">
        <v>3039</v>
      </c>
      <c r="W1140" s="86">
        <v>112</v>
      </c>
      <c r="X1140" s="83"/>
      <c r="Y1140" s="137"/>
      <c r="Z1140" s="83" t="s">
        <v>2939</v>
      </c>
      <c r="AA1140" s="83"/>
      <c r="AB1140" s="83"/>
      <c r="AC1140" s="83"/>
      <c r="AD1140" s="83"/>
      <c r="AE1140" s="83" t="s">
        <v>2898</v>
      </c>
      <c r="AF1140" s="83"/>
      <c r="AG1140" s="83"/>
      <c r="AH1140" s="83"/>
      <c r="AI1140" s="83" t="s">
        <v>2961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2085</v>
      </c>
      <c r="C1141" s="29">
        <v>1566</v>
      </c>
      <c r="D1141" s="27" t="s">
        <v>2084</v>
      </c>
      <c r="E1141" s="217" t="s">
        <v>2929</v>
      </c>
      <c r="F1141" s="217" t="s">
        <v>4288</v>
      </c>
      <c r="G1141" s="192" t="s">
        <v>5604</v>
      </c>
      <c r="H1141" s="145" t="s">
        <v>5608</v>
      </c>
      <c r="I1141" s="192" t="s">
        <v>5609</v>
      </c>
      <c r="J1141" s="33">
        <v>195087.182</v>
      </c>
      <c r="K1141" s="33">
        <v>2665344.21</v>
      </c>
      <c r="L1141" s="33" t="s">
        <v>391</v>
      </c>
      <c r="M1141" s="33">
        <v>9.83</v>
      </c>
      <c r="N1141" s="33">
        <v>91</v>
      </c>
      <c r="O1141" s="33">
        <v>57.1</v>
      </c>
      <c r="P1141" s="33" t="s">
        <v>102</v>
      </c>
      <c r="Q1141" s="33">
        <v>27.6</v>
      </c>
      <c r="R1141" s="33">
        <v>200</v>
      </c>
      <c r="S1141" s="33">
        <v>70.3</v>
      </c>
      <c r="T1141" s="30" t="s">
        <v>575</v>
      </c>
      <c r="U1141" s="30" t="str">
        <f>U1142</f>
        <v>監測</v>
      </c>
      <c r="V1141" s="27" t="s">
        <v>3039</v>
      </c>
      <c r="W1141" s="28">
        <v>110</v>
      </c>
      <c r="X1141" s="29"/>
      <c r="Y1141" s="29"/>
      <c r="Z1141" s="29"/>
      <c r="AA1141" s="29"/>
      <c r="AB1141" s="29" t="s">
        <v>2939</v>
      </c>
      <c r="AC1141" s="29"/>
      <c r="AD1141" s="29" t="s">
        <v>2898</v>
      </c>
      <c r="AE1141" s="29"/>
      <c r="AF1141" s="29"/>
      <c r="AG1141" s="29" t="s">
        <v>2939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2090</v>
      </c>
      <c r="C1142" s="83">
        <v>1565</v>
      </c>
      <c r="D1142" s="113" t="s">
        <v>2089</v>
      </c>
      <c r="E1142" s="218" t="s">
        <v>2929</v>
      </c>
      <c r="F1142" s="218" t="s">
        <v>4289</v>
      </c>
      <c r="G1142" s="138" t="s">
        <v>5604</v>
      </c>
      <c r="H1142" s="340" t="s">
        <v>5606</v>
      </c>
      <c r="I1142" s="138" t="s">
        <v>5609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575</v>
      </c>
      <c r="U1142" s="85" t="s">
        <v>8</v>
      </c>
      <c r="V1142" s="113" t="s">
        <v>3039</v>
      </c>
      <c r="W1142" s="86">
        <v>110</v>
      </c>
      <c r="X1142" s="83"/>
      <c r="Y1142" s="83"/>
      <c r="Z1142" s="83"/>
      <c r="AA1142" s="83"/>
      <c r="AB1142" s="83" t="s">
        <v>2939</v>
      </c>
      <c r="AC1142" s="83"/>
      <c r="AD1142" s="83" t="s">
        <v>2898</v>
      </c>
      <c r="AE1142" s="83"/>
      <c r="AF1142" s="83"/>
      <c r="AG1142" s="83" t="s">
        <v>2939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2094</v>
      </c>
      <c r="C1143" s="19">
        <v>1795</v>
      </c>
      <c r="D1143" s="17" t="s">
        <v>2093</v>
      </c>
      <c r="E1143" s="315" t="s">
        <v>2929</v>
      </c>
      <c r="F1143" s="315" t="s">
        <v>4290</v>
      </c>
      <c r="G1143" s="255" t="s">
        <v>5604</v>
      </c>
      <c r="H1143" s="434" t="s">
        <v>5606</v>
      </c>
      <c r="I1143" s="255" t="s">
        <v>5609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575</v>
      </c>
      <c r="U1143" s="20" t="s">
        <v>8</v>
      </c>
      <c r="V1143" s="17" t="s">
        <v>3039</v>
      </c>
      <c r="W1143" s="222">
        <v>110</v>
      </c>
      <c r="X1143" s="19"/>
      <c r="Y1143" s="19"/>
      <c r="Z1143" s="19"/>
      <c r="AA1143" s="19"/>
      <c r="AB1143" s="19" t="s">
        <v>2939</v>
      </c>
      <c r="AC1143" s="19"/>
      <c r="AD1143" s="19"/>
      <c r="AE1143" s="19" t="s">
        <v>2939</v>
      </c>
      <c r="AF1143" s="19"/>
      <c r="AG1143" s="19" t="s">
        <v>2939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2099</v>
      </c>
      <c r="C1144" s="29">
        <v>1789</v>
      </c>
      <c r="D1144" s="27" t="s">
        <v>2098</v>
      </c>
      <c r="E1144" s="217" t="s">
        <v>2929</v>
      </c>
      <c r="F1144" s="217" t="s">
        <v>4291</v>
      </c>
      <c r="G1144" s="192" t="s">
        <v>5604</v>
      </c>
      <c r="H1144" s="145" t="s">
        <v>5606</v>
      </c>
      <c r="I1144" s="192" t="s">
        <v>5609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575</v>
      </c>
      <c r="U1144" s="30" t="s">
        <v>8</v>
      </c>
      <c r="V1144" s="27" t="s">
        <v>3039</v>
      </c>
      <c r="W1144" s="28">
        <v>110</v>
      </c>
      <c r="X1144" s="29"/>
      <c r="Y1144" s="29"/>
      <c r="Z1144" s="29"/>
      <c r="AA1144" s="29"/>
      <c r="AB1144" s="29" t="s">
        <v>2939</v>
      </c>
      <c r="AC1144" s="29"/>
      <c r="AD1144" s="29"/>
      <c r="AE1144" s="29" t="s">
        <v>2898</v>
      </c>
      <c r="AF1144" s="29"/>
      <c r="AG1144" s="29" t="s">
        <v>2939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2119</v>
      </c>
      <c r="C1145" s="83">
        <v>2412</v>
      </c>
      <c r="D1145" s="113" t="s">
        <v>2118</v>
      </c>
      <c r="E1145" s="83" t="s">
        <v>2929</v>
      </c>
      <c r="F1145" s="83" t="s">
        <v>4292</v>
      </c>
      <c r="G1145" s="138" t="s">
        <v>5604</v>
      </c>
      <c r="H1145" s="340" t="s">
        <v>5606</v>
      </c>
      <c r="I1145" s="138" t="s">
        <v>5609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575</v>
      </c>
      <c r="U1145" s="85" t="s">
        <v>8</v>
      </c>
      <c r="V1145" s="113" t="s">
        <v>3039</v>
      </c>
      <c r="W1145" s="86">
        <v>110</v>
      </c>
      <c r="X1145" s="83"/>
      <c r="Y1145" s="113"/>
      <c r="Z1145" s="83"/>
      <c r="AA1145" s="83"/>
      <c r="AB1145" s="113" t="s">
        <v>2939</v>
      </c>
      <c r="AC1145" s="113"/>
      <c r="AD1145" s="113"/>
      <c r="AE1145" s="113"/>
      <c r="AF1145" s="83"/>
      <c r="AG1145" s="83" t="s">
        <v>2939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2126</v>
      </c>
      <c r="C1146" s="29">
        <v>1751</v>
      </c>
      <c r="D1146" s="27" t="s">
        <v>2124</v>
      </c>
      <c r="E1146" s="29" t="s">
        <v>2929</v>
      </c>
      <c r="F1146" s="29" t="s">
        <v>4293</v>
      </c>
      <c r="G1146" s="192"/>
      <c r="H1146" s="145" t="s">
        <v>5606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3039</v>
      </c>
      <c r="W1146" s="28">
        <v>106</v>
      </c>
      <c r="X1146" s="29"/>
      <c r="Y1146" s="29"/>
      <c r="Z1146" s="29" t="s">
        <v>2939</v>
      </c>
      <c r="AA1146" s="29"/>
      <c r="AB1146" s="29"/>
      <c r="AC1146" s="29" t="s">
        <v>2939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2127</v>
      </c>
      <c r="C1147" s="40">
        <v>1753</v>
      </c>
      <c r="D1147" s="38" t="s">
        <v>2124</v>
      </c>
      <c r="E1147" s="40" t="s">
        <v>2929</v>
      </c>
      <c r="F1147" s="40" t="s">
        <v>4294</v>
      </c>
      <c r="G1147" s="50" t="s">
        <v>5604</v>
      </c>
      <c r="H1147" s="150" t="s">
        <v>5606</v>
      </c>
      <c r="I1147" s="50" t="s">
        <v>5609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575</v>
      </c>
      <c r="U1147" s="2" t="s">
        <v>8</v>
      </c>
      <c r="V1147" s="38" t="s">
        <v>3039</v>
      </c>
      <c r="W1147" s="39">
        <v>110</v>
      </c>
      <c r="X1147" s="40"/>
      <c r="Y1147" s="40"/>
      <c r="Z1147" s="40" t="s">
        <v>2939</v>
      </c>
      <c r="AA1147" s="40"/>
      <c r="AB1147" s="40"/>
      <c r="AC1147" s="40" t="s">
        <v>2939</v>
      </c>
      <c r="AD1147" s="40"/>
      <c r="AE1147" s="40"/>
      <c r="AF1147" s="40" t="s">
        <v>2939</v>
      </c>
      <c r="AG1147" s="40" t="s">
        <v>2939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2128</v>
      </c>
      <c r="C1148" s="58">
        <v>1752</v>
      </c>
      <c r="D1148" s="56" t="s">
        <v>2124</v>
      </c>
      <c r="E1148" s="58" t="s">
        <v>2929</v>
      </c>
      <c r="F1148" s="58" t="s">
        <v>4295</v>
      </c>
      <c r="G1148" s="127"/>
      <c r="H1148" s="226" t="s">
        <v>5606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3039</v>
      </c>
      <c r="W1148" s="57">
        <v>106</v>
      </c>
      <c r="X1148" s="58"/>
      <c r="Y1148" s="58"/>
      <c r="Z1148" s="58" t="s">
        <v>2939</v>
      </c>
      <c r="AA1148" s="58"/>
      <c r="AB1148" s="58"/>
      <c r="AC1148" s="58" t="s">
        <v>2898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2130</v>
      </c>
      <c r="C1149" s="29">
        <v>1617</v>
      </c>
      <c r="D1149" s="27" t="s">
        <v>2129</v>
      </c>
      <c r="E1149" s="29" t="s">
        <v>2929</v>
      </c>
      <c r="F1149" s="29" t="s">
        <v>4296</v>
      </c>
      <c r="G1149" s="192" t="s">
        <v>5604</v>
      </c>
      <c r="H1149" s="145" t="s">
        <v>5606</v>
      </c>
      <c r="I1149" s="192" t="s">
        <v>5609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575</v>
      </c>
      <c r="U1149" s="30" t="s">
        <v>8</v>
      </c>
      <c r="V1149" s="27" t="s">
        <v>3039</v>
      </c>
      <c r="W1149" s="28">
        <v>110</v>
      </c>
      <c r="X1149" s="29"/>
      <c r="Y1149" s="29"/>
      <c r="Z1149" s="29" t="s">
        <v>2939</v>
      </c>
      <c r="AA1149" s="29"/>
      <c r="AB1149" s="29"/>
      <c r="AC1149" s="29"/>
      <c r="AD1149" s="29" t="s">
        <v>2939</v>
      </c>
      <c r="AE1149" s="29"/>
      <c r="AF1149" s="29"/>
      <c r="AG1149" s="29" t="s">
        <v>2939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2131</v>
      </c>
      <c r="C1150" s="40">
        <v>1618</v>
      </c>
      <c r="D1150" s="38" t="s">
        <v>2129</v>
      </c>
      <c r="E1150" s="40" t="s">
        <v>2929</v>
      </c>
      <c r="F1150" s="40" t="s">
        <v>4297</v>
      </c>
      <c r="G1150" s="50" t="s">
        <v>5604</v>
      </c>
      <c r="H1150" s="150" t="s">
        <v>5606</v>
      </c>
      <c r="I1150" s="50" t="s">
        <v>5609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575</v>
      </c>
      <c r="U1150" s="2" t="s">
        <v>8</v>
      </c>
      <c r="V1150" s="38" t="s">
        <v>3039</v>
      </c>
      <c r="W1150" s="39">
        <v>110</v>
      </c>
      <c r="X1150" s="40"/>
      <c r="Y1150" s="40"/>
      <c r="Z1150" s="40" t="s">
        <v>2939</v>
      </c>
      <c r="AA1150" s="40"/>
      <c r="AB1150" s="40"/>
      <c r="AC1150" s="40"/>
      <c r="AD1150" s="40" t="s">
        <v>2939</v>
      </c>
      <c r="AE1150" s="40"/>
      <c r="AF1150" s="40"/>
      <c r="AG1150" s="40" t="s">
        <v>2939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2132</v>
      </c>
      <c r="C1151" s="83">
        <v>1620</v>
      </c>
      <c r="D1151" s="113" t="s">
        <v>2129</v>
      </c>
      <c r="E1151" s="83" t="s">
        <v>2929</v>
      </c>
      <c r="F1151" s="83" t="s">
        <v>4298</v>
      </c>
      <c r="G1151" s="138" t="s">
        <v>5604</v>
      </c>
      <c r="H1151" s="340" t="s">
        <v>5606</v>
      </c>
      <c r="I1151" s="138" t="s">
        <v>5609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575</v>
      </c>
      <c r="U1151" s="85" t="s">
        <v>8</v>
      </c>
      <c r="V1151" s="113" t="s">
        <v>3039</v>
      </c>
      <c r="W1151" s="86">
        <v>110</v>
      </c>
      <c r="X1151" s="83"/>
      <c r="Y1151" s="83"/>
      <c r="Z1151" s="83" t="s">
        <v>2939</v>
      </c>
      <c r="AA1151" s="83"/>
      <c r="AB1151" s="83"/>
      <c r="AC1151" s="83"/>
      <c r="AD1151" s="83" t="s">
        <v>2939</v>
      </c>
      <c r="AE1151" s="83"/>
      <c r="AF1151" s="83"/>
      <c r="AG1151" s="83" t="s">
        <v>2939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1628</v>
      </c>
      <c r="C1152" s="19">
        <v>1525</v>
      </c>
      <c r="D1152" s="17" t="s">
        <v>1627</v>
      </c>
      <c r="E1152" s="315" t="s">
        <v>2929</v>
      </c>
      <c r="F1152" s="315" t="s">
        <v>4299</v>
      </c>
      <c r="G1152" s="321" t="s">
        <v>5604</v>
      </c>
      <c r="H1152" s="434" t="s">
        <v>5606</v>
      </c>
      <c r="I1152" s="321" t="s">
        <v>5609</v>
      </c>
      <c r="J1152" s="23">
        <v>196626</v>
      </c>
      <c r="K1152" s="23">
        <v>2664681</v>
      </c>
      <c r="L1152" s="23" t="s">
        <v>1629</v>
      </c>
      <c r="M1152" s="24">
        <v>7.25</v>
      </c>
      <c r="N1152" s="23">
        <v>198</v>
      </c>
      <c r="O1152" s="23">
        <v>135</v>
      </c>
      <c r="P1152" s="23" t="s">
        <v>52</v>
      </c>
      <c r="Q1152" s="23">
        <v>35.1</v>
      </c>
      <c r="R1152" s="23">
        <v>328</v>
      </c>
      <c r="S1152" s="23">
        <v>143</v>
      </c>
      <c r="T1152" s="320" t="s">
        <v>575</v>
      </c>
      <c r="U1152" s="20" t="s">
        <v>8</v>
      </c>
      <c r="V1152" s="115" t="s">
        <v>575</v>
      </c>
      <c r="W1152" s="222">
        <v>113</v>
      </c>
      <c r="X1152" s="19"/>
      <c r="Y1152" s="19"/>
      <c r="Z1152" s="19"/>
      <c r="AA1152" s="19"/>
      <c r="AB1152" s="19" t="s">
        <v>2939</v>
      </c>
      <c r="AC1152" s="19"/>
      <c r="AD1152" s="19"/>
      <c r="AE1152" s="19" t="s">
        <v>2939</v>
      </c>
      <c r="AF1152" s="19"/>
      <c r="AG1152" s="19"/>
      <c r="AH1152" s="19"/>
      <c r="AI1152" s="19"/>
      <c r="AJ1152" s="18" t="s">
        <v>303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1988</v>
      </c>
      <c r="C1153" s="40">
        <v>458</v>
      </c>
      <c r="D1153" s="38" t="s">
        <v>1987</v>
      </c>
      <c r="E1153" s="40" t="s">
        <v>2963</v>
      </c>
      <c r="F1153" s="4" t="s">
        <v>4300</v>
      </c>
      <c r="G1153" s="50"/>
      <c r="H1153" s="150" t="s">
        <v>5606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3039</v>
      </c>
      <c r="W1153" s="39">
        <v>108</v>
      </c>
      <c r="X1153" s="40"/>
      <c r="Y1153" s="40"/>
      <c r="Z1153" s="40"/>
      <c r="AA1153" s="40" t="s">
        <v>2939</v>
      </c>
      <c r="AB1153" s="40"/>
      <c r="AC1153" s="40"/>
      <c r="AD1153" s="40"/>
      <c r="AE1153" s="40" t="s">
        <v>2898</v>
      </c>
      <c r="AF1153" s="40"/>
      <c r="AG1153" s="40"/>
      <c r="AH1153" s="40"/>
      <c r="AI1153" s="40"/>
      <c r="AJ1153" s="39"/>
      <c r="AK1153" s="39"/>
      <c r="AL1153" s="168" t="s">
        <v>3050</v>
      </c>
      <c r="AM1153" s="53"/>
    </row>
    <row r="1154" spans="1:39" ht="14.4" thickBot="1" x14ac:dyDescent="0.35">
      <c r="A1154" s="15">
        <v>1153</v>
      </c>
      <c r="B1154" s="83" t="s">
        <v>2162</v>
      </c>
      <c r="C1154" s="83">
        <v>460</v>
      </c>
      <c r="D1154" s="113" t="s">
        <v>2160</v>
      </c>
      <c r="E1154" s="83" t="s">
        <v>2963</v>
      </c>
      <c r="F1154" s="83" t="s">
        <v>4301</v>
      </c>
      <c r="G1154" s="138"/>
      <c r="H1154" s="340" t="s">
        <v>5606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3039</v>
      </c>
      <c r="W1154" s="86">
        <v>108</v>
      </c>
      <c r="X1154" s="83"/>
      <c r="Y1154" s="83"/>
      <c r="Z1154" s="83"/>
      <c r="AA1154" s="83" t="s">
        <v>2939</v>
      </c>
      <c r="AB1154" s="83"/>
      <c r="AC1154" s="83"/>
      <c r="AD1154" s="83"/>
      <c r="AE1154" s="83" t="s">
        <v>2898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2167</v>
      </c>
      <c r="C1155" s="29">
        <v>421</v>
      </c>
      <c r="D1155" s="27" t="s">
        <v>2166</v>
      </c>
      <c r="E1155" s="29" t="s">
        <v>2963</v>
      </c>
      <c r="F1155" s="29" t="s">
        <v>4302</v>
      </c>
      <c r="G1155" s="192"/>
      <c r="H1155" s="145" t="s">
        <v>5607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3048</v>
      </c>
      <c r="W1155" s="28">
        <v>108</v>
      </c>
      <c r="X1155" s="29"/>
      <c r="Y1155" s="29"/>
      <c r="Z1155" s="29"/>
      <c r="AA1155" s="29" t="s">
        <v>2939</v>
      </c>
      <c r="AB1155" s="29"/>
      <c r="AC1155" s="29"/>
      <c r="AD1155" s="29"/>
      <c r="AE1155" s="29" t="s">
        <v>2898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2168</v>
      </c>
      <c r="C1156" s="40">
        <v>423</v>
      </c>
      <c r="D1156" s="38" t="s">
        <v>2166</v>
      </c>
      <c r="E1156" s="40" t="s">
        <v>2963</v>
      </c>
      <c r="F1156" s="40" t="s">
        <v>4303</v>
      </c>
      <c r="G1156" s="50"/>
      <c r="H1156" s="150" t="s">
        <v>5606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575</v>
      </c>
      <c r="U1156" s="2" t="s">
        <v>8</v>
      </c>
      <c r="V1156" s="39" t="s">
        <v>3048</v>
      </c>
      <c r="W1156" s="39">
        <v>109</v>
      </c>
      <c r="X1156" s="40"/>
      <c r="Y1156" s="40"/>
      <c r="Z1156" s="40"/>
      <c r="AA1156" s="40" t="s">
        <v>2939</v>
      </c>
      <c r="AB1156" s="40"/>
      <c r="AC1156" s="40"/>
      <c r="AD1156" s="40"/>
      <c r="AE1156" s="40" t="s">
        <v>2898</v>
      </c>
      <c r="AF1156" s="40" t="s">
        <v>2939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2169</v>
      </c>
      <c r="C1157" s="40">
        <v>424</v>
      </c>
      <c r="D1157" s="38" t="s">
        <v>2166</v>
      </c>
      <c r="E1157" s="40" t="s">
        <v>2963</v>
      </c>
      <c r="F1157" s="40" t="s">
        <v>4304</v>
      </c>
      <c r="G1157" s="50"/>
      <c r="H1157" s="150" t="s">
        <v>5606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3048</v>
      </c>
      <c r="W1157" s="39">
        <v>108</v>
      </c>
      <c r="X1157" s="40"/>
      <c r="Y1157" s="40"/>
      <c r="Z1157" s="40"/>
      <c r="AA1157" s="40" t="s">
        <v>2939</v>
      </c>
      <c r="AB1157" s="40"/>
      <c r="AC1157" s="40"/>
      <c r="AD1157" s="40"/>
      <c r="AE1157" s="40" t="s">
        <v>2939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2170</v>
      </c>
      <c r="C1158" s="40">
        <v>435</v>
      </c>
      <c r="D1158" s="38" t="s">
        <v>2166</v>
      </c>
      <c r="E1158" s="40" t="s">
        <v>2963</v>
      </c>
      <c r="F1158" s="40" t="s">
        <v>4305</v>
      </c>
      <c r="G1158" s="50"/>
      <c r="H1158" s="150" t="s">
        <v>5607</v>
      </c>
      <c r="I1158" s="50"/>
      <c r="J1158" s="43">
        <v>199556</v>
      </c>
      <c r="K1158" s="43">
        <v>2665347</v>
      </c>
      <c r="L1158" s="43" t="s">
        <v>2171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3048</v>
      </c>
      <c r="W1158" s="39">
        <v>108</v>
      </c>
      <c r="X1158" s="40"/>
      <c r="Y1158" s="40"/>
      <c r="Z1158" s="40"/>
      <c r="AA1158" s="40" t="s">
        <v>2939</v>
      </c>
      <c r="AB1158" s="40"/>
      <c r="AC1158" s="40"/>
      <c r="AD1158" s="40"/>
      <c r="AE1158" s="40" t="s">
        <v>2939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2172</v>
      </c>
      <c r="C1159" s="40">
        <v>438</v>
      </c>
      <c r="D1159" s="38" t="s">
        <v>2166</v>
      </c>
      <c r="E1159" s="40" t="s">
        <v>2963</v>
      </c>
      <c r="F1159" s="40" t="s">
        <v>4306</v>
      </c>
      <c r="G1159" s="50"/>
      <c r="H1159" s="150" t="s">
        <v>5606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3048</v>
      </c>
      <c r="W1159" s="39">
        <v>108</v>
      </c>
      <c r="X1159" s="40"/>
      <c r="Y1159" s="40"/>
      <c r="Z1159" s="40"/>
      <c r="AA1159" s="40" t="s">
        <v>2939</v>
      </c>
      <c r="AB1159" s="40"/>
      <c r="AC1159" s="40"/>
      <c r="AD1159" s="40"/>
      <c r="AE1159" s="40" t="s">
        <v>2898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2173</v>
      </c>
      <c r="C1160" s="40">
        <v>440</v>
      </c>
      <c r="D1160" s="38" t="s">
        <v>2166</v>
      </c>
      <c r="E1160" s="40" t="s">
        <v>2963</v>
      </c>
      <c r="F1160" s="40" t="s">
        <v>4307</v>
      </c>
      <c r="G1160" s="50" t="s">
        <v>5604</v>
      </c>
      <c r="H1160" s="150" t="s">
        <v>5607</v>
      </c>
      <c r="I1160" s="50" t="s">
        <v>5609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306</v>
      </c>
      <c r="U1160" s="2" t="s">
        <v>3</v>
      </c>
      <c r="V1160" s="39" t="s">
        <v>3048</v>
      </c>
      <c r="W1160" s="39">
        <v>109</v>
      </c>
      <c r="X1160" s="40"/>
      <c r="Y1160" s="40"/>
      <c r="Z1160" s="40"/>
      <c r="AA1160" s="40" t="s">
        <v>2939</v>
      </c>
      <c r="AB1160" s="40"/>
      <c r="AC1160" s="40"/>
      <c r="AD1160" s="40"/>
      <c r="AE1160" s="40"/>
      <c r="AF1160" s="40" t="s">
        <v>2898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2174</v>
      </c>
      <c r="C1161" s="40">
        <v>441</v>
      </c>
      <c r="D1161" s="38" t="s">
        <v>2166</v>
      </c>
      <c r="E1161" s="40" t="s">
        <v>2963</v>
      </c>
      <c r="F1161" s="40" t="s">
        <v>4308</v>
      </c>
      <c r="G1161" s="50"/>
      <c r="H1161" s="150" t="s">
        <v>5607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3048</v>
      </c>
      <c r="W1161" s="39">
        <v>108</v>
      </c>
      <c r="X1161" s="40"/>
      <c r="Y1161" s="40"/>
      <c r="Z1161" s="40"/>
      <c r="AA1161" s="40" t="s">
        <v>2939</v>
      </c>
      <c r="AB1161" s="40"/>
      <c r="AC1161" s="40"/>
      <c r="AD1161" s="40"/>
      <c r="AE1161" s="40" t="s">
        <v>2939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2175</v>
      </c>
      <c r="C1162" s="40">
        <v>456</v>
      </c>
      <c r="D1162" s="38" t="s">
        <v>2166</v>
      </c>
      <c r="E1162" s="40" t="s">
        <v>2963</v>
      </c>
      <c r="F1162" s="40" t="s">
        <v>4309</v>
      </c>
      <c r="G1162" s="50"/>
      <c r="H1162" s="150" t="s">
        <v>5607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3048</v>
      </c>
      <c r="W1162" s="39"/>
      <c r="X1162" s="40"/>
      <c r="Y1162" s="40"/>
      <c r="Z1162" s="40"/>
      <c r="AA1162" s="40" t="s">
        <v>2939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2176</v>
      </c>
      <c r="C1163" s="40">
        <v>422</v>
      </c>
      <c r="D1163" s="38" t="s">
        <v>2166</v>
      </c>
      <c r="E1163" s="40" t="s">
        <v>2963</v>
      </c>
      <c r="F1163" s="40" t="s">
        <v>4310</v>
      </c>
      <c r="G1163" s="50" t="s">
        <v>5604</v>
      </c>
      <c r="H1163" s="150" t="s">
        <v>5608</v>
      </c>
      <c r="I1163" s="50" t="s">
        <v>5609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55</v>
      </c>
      <c r="Q1163" s="43">
        <v>42.1</v>
      </c>
      <c r="R1163" s="43">
        <v>159</v>
      </c>
      <c r="S1163" s="43">
        <v>71</v>
      </c>
      <c r="T1163" s="2" t="s">
        <v>575</v>
      </c>
      <c r="U1163" s="2" t="str">
        <f>U1156</f>
        <v>監測</v>
      </c>
      <c r="V1163" s="39" t="s">
        <v>3048</v>
      </c>
      <c r="W1163" s="39">
        <v>109</v>
      </c>
      <c r="X1163" s="40"/>
      <c r="Y1163" s="40"/>
      <c r="Z1163" s="40"/>
      <c r="AA1163" s="40" t="s">
        <v>2939</v>
      </c>
      <c r="AB1163" s="40"/>
      <c r="AC1163" s="40"/>
      <c r="AD1163" s="40"/>
      <c r="AE1163" s="40"/>
      <c r="AF1163" s="40" t="s">
        <v>2939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2177</v>
      </c>
      <c r="C1164" s="40">
        <v>439</v>
      </c>
      <c r="D1164" s="38" t="s">
        <v>2166</v>
      </c>
      <c r="E1164" s="40" t="s">
        <v>2963</v>
      </c>
      <c r="F1164" s="40" t="s">
        <v>4311</v>
      </c>
      <c r="G1164" s="50"/>
      <c r="H1164" s="150" t="s">
        <v>5607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3048</v>
      </c>
      <c r="W1164" s="39">
        <v>108</v>
      </c>
      <c r="X1164" s="40"/>
      <c r="Y1164" s="40"/>
      <c r="Z1164" s="40"/>
      <c r="AA1164" s="40" t="s">
        <v>2939</v>
      </c>
      <c r="AB1164" s="40"/>
      <c r="AC1164" s="40"/>
      <c r="AD1164" s="40"/>
      <c r="AE1164" s="40" t="s">
        <v>2939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2409</v>
      </c>
      <c r="C1165" s="58">
        <v>436</v>
      </c>
      <c r="D1165" s="56" t="s">
        <v>3051</v>
      </c>
      <c r="E1165" s="58" t="s">
        <v>2963</v>
      </c>
      <c r="F1165" s="58" t="s">
        <v>4312</v>
      </c>
      <c r="G1165" s="127"/>
      <c r="H1165" s="226" t="s">
        <v>5607</v>
      </c>
      <c r="I1165" s="127"/>
      <c r="J1165" s="62" t="s">
        <v>3052</v>
      </c>
      <c r="K1165" s="62">
        <v>2665359.5159999998</v>
      </c>
      <c r="L1165" s="62" t="s">
        <v>655</v>
      </c>
      <c r="M1165" s="63">
        <v>9.67</v>
      </c>
      <c r="N1165" s="62">
        <v>137</v>
      </c>
      <c r="O1165" s="62">
        <v>129</v>
      </c>
      <c r="P1165" s="62" t="s">
        <v>278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3048</v>
      </c>
      <c r="W1165" s="57">
        <v>108</v>
      </c>
      <c r="X1165" s="58"/>
      <c r="Y1165" s="58"/>
      <c r="Z1165" s="58"/>
      <c r="AA1165" s="58" t="s">
        <v>2939</v>
      </c>
      <c r="AB1165" s="58"/>
      <c r="AC1165" s="58"/>
      <c r="AD1165" s="58"/>
      <c r="AE1165" s="58" t="s">
        <v>2898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2179</v>
      </c>
      <c r="C1166" s="75">
        <v>425</v>
      </c>
      <c r="D1166" s="67" t="s">
        <v>2178</v>
      </c>
      <c r="E1166" s="75" t="s">
        <v>2963</v>
      </c>
      <c r="F1166" s="75" t="s">
        <v>4313</v>
      </c>
      <c r="G1166" s="178"/>
      <c r="H1166" s="414" t="s">
        <v>5606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575</v>
      </c>
      <c r="U1166" s="69" t="s">
        <v>8</v>
      </c>
      <c r="V1166" s="70" t="s">
        <v>3048</v>
      </c>
      <c r="W1166" s="70">
        <v>112</v>
      </c>
      <c r="X1166" s="75"/>
      <c r="Y1166" s="75"/>
      <c r="Z1166" s="75"/>
      <c r="AA1166" s="75" t="s">
        <v>2939</v>
      </c>
      <c r="AB1166" s="75"/>
      <c r="AC1166" s="75"/>
      <c r="AD1166" s="75"/>
      <c r="AE1166" s="75" t="s">
        <v>2898</v>
      </c>
      <c r="AF1166" s="75"/>
      <c r="AG1166" s="75"/>
      <c r="AH1166" s="75"/>
      <c r="AI1166" s="75" t="s">
        <v>2961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2180</v>
      </c>
      <c r="C1167" s="40">
        <v>427</v>
      </c>
      <c r="D1167" s="38" t="s">
        <v>2178</v>
      </c>
      <c r="E1167" s="40" t="s">
        <v>2963</v>
      </c>
      <c r="F1167" s="40" t="s">
        <v>4314</v>
      </c>
      <c r="G1167" s="50"/>
      <c r="H1167" s="150" t="s">
        <v>5606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306</v>
      </c>
      <c r="U1167" s="2" t="s">
        <v>3</v>
      </c>
      <c r="V1167" s="39" t="s">
        <v>3048</v>
      </c>
      <c r="W1167" s="39">
        <v>112</v>
      </c>
      <c r="X1167" s="40"/>
      <c r="Y1167" s="40"/>
      <c r="Z1167" s="40"/>
      <c r="AA1167" s="40" t="s">
        <v>2939</v>
      </c>
      <c r="AB1167" s="40"/>
      <c r="AC1167" s="40"/>
      <c r="AD1167" s="40"/>
      <c r="AE1167" s="40" t="s">
        <v>2898</v>
      </c>
      <c r="AF1167" s="40"/>
      <c r="AG1167" s="40"/>
      <c r="AH1167" s="40"/>
      <c r="AI1167" s="40" t="s">
        <v>2959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2181</v>
      </c>
      <c r="C1168" s="40">
        <v>428</v>
      </c>
      <c r="D1168" s="38" t="s">
        <v>2178</v>
      </c>
      <c r="E1168" s="40" t="s">
        <v>2963</v>
      </c>
      <c r="F1168" s="40" t="s">
        <v>4315</v>
      </c>
      <c r="G1168" s="50"/>
      <c r="H1168" s="150" t="s">
        <v>5606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306</v>
      </c>
      <c r="U1168" s="2" t="s">
        <v>3</v>
      </c>
      <c r="V1168" s="39" t="s">
        <v>3048</v>
      </c>
      <c r="W1168" s="39">
        <v>109</v>
      </c>
      <c r="X1168" s="40"/>
      <c r="Y1168" s="40"/>
      <c r="Z1168" s="40" t="s">
        <v>2939</v>
      </c>
      <c r="AA1168" s="40" t="s">
        <v>2939</v>
      </c>
      <c r="AB1168" s="40"/>
      <c r="AC1168" s="40"/>
      <c r="AD1168" s="40"/>
      <c r="AE1168" s="40" t="s">
        <v>2898</v>
      </c>
      <c r="AF1168" s="40" t="s">
        <v>2898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2184</v>
      </c>
      <c r="C1169" s="40">
        <v>426</v>
      </c>
      <c r="D1169" s="38" t="s">
        <v>2178</v>
      </c>
      <c r="E1169" s="40" t="s">
        <v>2963</v>
      </c>
      <c r="F1169" s="40" t="s">
        <v>4316</v>
      </c>
      <c r="G1169" s="50"/>
      <c r="H1169" s="150" t="s">
        <v>5608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575</v>
      </c>
      <c r="U1169" s="2" t="str">
        <f>U1166</f>
        <v>監測</v>
      </c>
      <c r="V1169" s="39" t="s">
        <v>3048</v>
      </c>
      <c r="W1169" s="39">
        <v>112</v>
      </c>
      <c r="X1169" s="40"/>
      <c r="Y1169" s="40"/>
      <c r="Z1169" s="40"/>
      <c r="AA1169" s="40" t="s">
        <v>2939</v>
      </c>
      <c r="AB1169" s="40"/>
      <c r="AC1169" s="40"/>
      <c r="AD1169" s="40"/>
      <c r="AE1169" s="40" t="s">
        <v>2898</v>
      </c>
      <c r="AF1169" s="40"/>
      <c r="AG1169" s="40"/>
      <c r="AH1169" s="40"/>
      <c r="AI1169" s="40" t="s">
        <v>2961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2185</v>
      </c>
      <c r="C1170" s="40">
        <v>429</v>
      </c>
      <c r="D1170" s="38" t="s">
        <v>2178</v>
      </c>
      <c r="E1170" s="40" t="s">
        <v>2963</v>
      </c>
      <c r="F1170" s="40" t="s">
        <v>4317</v>
      </c>
      <c r="G1170" s="50"/>
      <c r="H1170" s="150" t="s">
        <v>5608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306</v>
      </c>
      <c r="U1170" s="2" t="str">
        <f>U1168</f>
        <v>正常</v>
      </c>
      <c r="V1170" s="39" t="s">
        <v>3048</v>
      </c>
      <c r="W1170" s="39">
        <v>109</v>
      </c>
      <c r="X1170" s="40"/>
      <c r="Y1170" s="40"/>
      <c r="Z1170" s="40"/>
      <c r="AA1170" s="40" t="s">
        <v>2939</v>
      </c>
      <c r="AB1170" s="40"/>
      <c r="AC1170" s="40"/>
      <c r="AD1170" s="40"/>
      <c r="AE1170" s="40" t="s">
        <v>2898</v>
      </c>
      <c r="AF1170" s="40" t="s">
        <v>2898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2186</v>
      </c>
      <c r="C1171" s="83">
        <v>430</v>
      </c>
      <c r="D1171" s="113" t="s">
        <v>2178</v>
      </c>
      <c r="E1171" s="83" t="s">
        <v>2963</v>
      </c>
      <c r="F1171" s="83" t="s">
        <v>4318</v>
      </c>
      <c r="G1171" s="138" t="s">
        <v>5604</v>
      </c>
      <c r="H1171" s="340" t="s">
        <v>5608</v>
      </c>
      <c r="I1171" s="138" t="s">
        <v>5609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306</v>
      </c>
      <c r="U1171" s="85" t="str">
        <f>U1168</f>
        <v>正常</v>
      </c>
      <c r="V1171" s="86" t="s">
        <v>3048</v>
      </c>
      <c r="W1171" s="86">
        <v>109</v>
      </c>
      <c r="X1171" s="83"/>
      <c r="Y1171" s="83"/>
      <c r="Z1171" s="83"/>
      <c r="AA1171" s="83" t="s">
        <v>2939</v>
      </c>
      <c r="AB1171" s="83"/>
      <c r="AC1171" s="83"/>
      <c r="AD1171" s="83"/>
      <c r="AE1171" s="83"/>
      <c r="AF1171" s="83" t="s">
        <v>2898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2189</v>
      </c>
      <c r="C1172" s="29">
        <v>277</v>
      </c>
      <c r="D1172" s="27" t="s">
        <v>2187</v>
      </c>
      <c r="E1172" s="29" t="s">
        <v>2963</v>
      </c>
      <c r="F1172" s="29" t="s">
        <v>4319</v>
      </c>
      <c r="G1172" s="192" t="s">
        <v>5604</v>
      </c>
      <c r="H1172" s="145" t="s">
        <v>5608</v>
      </c>
      <c r="I1172" s="192" t="s">
        <v>5609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708</v>
      </c>
      <c r="U1172" s="30" t="s">
        <v>56</v>
      </c>
      <c r="V1172" s="28" t="s">
        <v>3048</v>
      </c>
      <c r="W1172" s="28">
        <v>109</v>
      </c>
      <c r="X1172" s="29"/>
      <c r="Y1172" s="29" t="s">
        <v>2939</v>
      </c>
      <c r="Z1172" s="29"/>
      <c r="AA1172" s="29"/>
      <c r="AB1172" s="29" t="s">
        <v>2939</v>
      </c>
      <c r="AC1172" s="29"/>
      <c r="AD1172" s="29"/>
      <c r="AE1172" s="29"/>
      <c r="AF1172" s="29" t="s">
        <v>2943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2190</v>
      </c>
      <c r="C1173" s="40">
        <v>296</v>
      </c>
      <c r="D1173" s="38" t="s">
        <v>2187</v>
      </c>
      <c r="E1173" s="40" t="s">
        <v>2963</v>
      </c>
      <c r="F1173" s="40" t="s">
        <v>4320</v>
      </c>
      <c r="G1173" s="50"/>
      <c r="H1173" s="150" t="s">
        <v>5606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575</v>
      </c>
      <c r="U1173" s="2" t="s">
        <v>8</v>
      </c>
      <c r="V1173" s="39" t="s">
        <v>3048</v>
      </c>
      <c r="W1173" s="39">
        <v>112</v>
      </c>
      <c r="X1173" s="40"/>
      <c r="Y1173" s="106"/>
      <c r="Z1173" s="40"/>
      <c r="AA1173" s="40" t="s">
        <v>2939</v>
      </c>
      <c r="AB1173" s="40"/>
      <c r="AC1173" s="40"/>
      <c r="AD1173" s="40" t="s">
        <v>2898</v>
      </c>
      <c r="AE1173" s="40"/>
      <c r="AF1173" s="40"/>
      <c r="AG1173" s="40"/>
      <c r="AH1173" s="40"/>
      <c r="AI1173" s="40" t="s">
        <v>2961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2165</v>
      </c>
      <c r="C1174" s="83">
        <v>275</v>
      </c>
      <c r="D1174" s="113" t="s">
        <v>2164</v>
      </c>
      <c r="E1174" s="83" t="s">
        <v>2963</v>
      </c>
      <c r="F1174" s="83" t="s">
        <v>4321</v>
      </c>
      <c r="G1174" s="138" t="s">
        <v>5604</v>
      </c>
      <c r="H1174" s="340" t="s">
        <v>5606</v>
      </c>
      <c r="I1174" s="138" t="s">
        <v>5609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575</v>
      </c>
      <c r="U1174" s="85" t="s">
        <v>8</v>
      </c>
      <c r="V1174" s="86" t="s">
        <v>3048</v>
      </c>
      <c r="W1174" s="86">
        <v>109</v>
      </c>
      <c r="X1174" s="83"/>
      <c r="Y1174" s="137"/>
      <c r="Z1174" s="83"/>
      <c r="AA1174" s="83"/>
      <c r="AB1174" s="83" t="s">
        <v>2939</v>
      </c>
      <c r="AC1174" s="83"/>
      <c r="AD1174" s="83"/>
      <c r="AE1174" s="83"/>
      <c r="AF1174" s="83" t="s">
        <v>2939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2242</v>
      </c>
      <c r="C1175" s="29">
        <v>1791</v>
      </c>
      <c r="D1175" s="27" t="s">
        <v>2241</v>
      </c>
      <c r="E1175" s="217" t="s">
        <v>2929</v>
      </c>
      <c r="F1175" s="217" t="s">
        <v>4322</v>
      </c>
      <c r="G1175" s="192"/>
      <c r="H1175" s="145" t="s">
        <v>5606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59</v>
      </c>
      <c r="Q1175" s="33">
        <v>38.299999999999997</v>
      </c>
      <c r="R1175" s="33">
        <v>375</v>
      </c>
      <c r="S1175" s="33">
        <v>169</v>
      </c>
      <c r="T1175" s="30" t="s">
        <v>575</v>
      </c>
      <c r="U1175" s="30" t="s">
        <v>8</v>
      </c>
      <c r="V1175" s="28" t="s">
        <v>3048</v>
      </c>
      <c r="W1175" s="28">
        <v>110</v>
      </c>
      <c r="X1175" s="29"/>
      <c r="Y1175" s="29"/>
      <c r="Z1175" s="29"/>
      <c r="AA1175" s="29"/>
      <c r="AB1175" s="29" t="s">
        <v>2939</v>
      </c>
      <c r="AC1175" s="29"/>
      <c r="AD1175" s="29"/>
      <c r="AE1175" s="29" t="s">
        <v>2939</v>
      </c>
      <c r="AF1175" s="29"/>
      <c r="AG1175" s="29" t="s">
        <v>2939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2243</v>
      </c>
      <c r="C1176" s="83">
        <v>1792</v>
      </c>
      <c r="D1176" s="113" t="s">
        <v>2241</v>
      </c>
      <c r="E1176" s="218" t="s">
        <v>2929</v>
      </c>
      <c r="F1176" s="218" t="s">
        <v>4323</v>
      </c>
      <c r="G1176" s="138" t="s">
        <v>5604</v>
      </c>
      <c r="H1176" s="340" t="s">
        <v>5608</v>
      </c>
      <c r="I1176" s="138" t="s">
        <v>5609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102</v>
      </c>
      <c r="Q1176" s="88">
        <v>29.3</v>
      </c>
      <c r="R1176" s="88">
        <v>328</v>
      </c>
      <c r="S1176" s="88">
        <v>118</v>
      </c>
      <c r="T1176" s="85" t="s">
        <v>575</v>
      </c>
      <c r="U1176" s="85" t="str">
        <f>U1175</f>
        <v>監測</v>
      </c>
      <c r="V1176" s="86" t="s">
        <v>3048</v>
      </c>
      <c r="W1176" s="86">
        <v>110</v>
      </c>
      <c r="X1176" s="83"/>
      <c r="Y1176" s="83"/>
      <c r="Z1176" s="83"/>
      <c r="AA1176" s="83"/>
      <c r="AB1176" s="83" t="s">
        <v>2939</v>
      </c>
      <c r="AC1176" s="83"/>
      <c r="AD1176" s="83"/>
      <c r="AE1176" s="83" t="s">
        <v>2939</v>
      </c>
      <c r="AF1176" s="83"/>
      <c r="AG1176" s="83" t="s">
        <v>2939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2272</v>
      </c>
      <c r="C1177" s="29">
        <v>1599</v>
      </c>
      <c r="D1177" s="27" t="s">
        <v>2271</v>
      </c>
      <c r="E1177" s="29" t="s">
        <v>2929</v>
      </c>
      <c r="F1177" s="29" t="s">
        <v>4324</v>
      </c>
      <c r="G1177" s="192"/>
      <c r="H1177" s="145" t="s">
        <v>5607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886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3048</v>
      </c>
      <c r="W1177" s="28">
        <v>106</v>
      </c>
      <c r="X1177" s="29"/>
      <c r="Y1177" s="29"/>
      <c r="Z1177" s="29" t="s">
        <v>2939</v>
      </c>
      <c r="AA1177" s="29"/>
      <c r="AB1177" s="29"/>
      <c r="AC1177" s="29" t="s">
        <v>2898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2273</v>
      </c>
      <c r="C1178" s="40">
        <v>1610</v>
      </c>
      <c r="D1178" s="38" t="s">
        <v>2271</v>
      </c>
      <c r="E1178" s="40" t="s">
        <v>2929</v>
      </c>
      <c r="F1178" s="40" t="s">
        <v>4325</v>
      </c>
      <c r="G1178" s="50" t="s">
        <v>5604</v>
      </c>
      <c r="H1178" s="150" t="s">
        <v>5608</v>
      </c>
      <c r="I1178" s="50" t="s">
        <v>5609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708</v>
      </c>
      <c r="U1178" s="2" t="s">
        <v>56</v>
      </c>
      <c r="V1178" s="39" t="s">
        <v>3048</v>
      </c>
      <c r="W1178" s="39">
        <v>109</v>
      </c>
      <c r="X1178" s="40"/>
      <c r="Y1178" s="40"/>
      <c r="Z1178" s="40" t="s">
        <v>2939</v>
      </c>
      <c r="AA1178" s="40"/>
      <c r="AB1178" s="40"/>
      <c r="AC1178" s="40" t="s">
        <v>2939</v>
      </c>
      <c r="AD1178" s="40"/>
      <c r="AE1178" s="40"/>
      <c r="AF1178" s="40" t="s">
        <v>2943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2272</v>
      </c>
      <c r="C1179" s="40">
        <v>827</v>
      </c>
      <c r="D1179" s="38" t="s">
        <v>2271</v>
      </c>
      <c r="E1179" s="40" t="s">
        <v>2929</v>
      </c>
      <c r="F1179" s="40" t="s">
        <v>4326</v>
      </c>
      <c r="G1179" s="50" t="s">
        <v>5604</v>
      </c>
      <c r="H1179" s="150" t="s">
        <v>5607</v>
      </c>
      <c r="I1179" s="50" t="s">
        <v>5609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3048</v>
      </c>
      <c r="W1179" s="39">
        <v>106</v>
      </c>
      <c r="X1179" s="199"/>
      <c r="Y1179" s="199"/>
      <c r="Z1179" s="199"/>
      <c r="AA1179" s="199"/>
      <c r="AB1179" s="199"/>
      <c r="AC1179" s="199" t="s">
        <v>2939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2274</v>
      </c>
      <c r="C1180" s="40">
        <v>1574</v>
      </c>
      <c r="D1180" s="38" t="s">
        <v>2271</v>
      </c>
      <c r="E1180" s="40" t="s">
        <v>2929</v>
      </c>
      <c r="F1180" s="40" t="s">
        <v>4327</v>
      </c>
      <c r="G1180" s="50" t="s">
        <v>5604</v>
      </c>
      <c r="H1180" s="150" t="s">
        <v>5606</v>
      </c>
      <c r="I1180" s="50" t="s">
        <v>5609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575</v>
      </c>
      <c r="U1180" s="2" t="s">
        <v>8</v>
      </c>
      <c r="V1180" s="39" t="s">
        <v>3048</v>
      </c>
      <c r="W1180" s="39">
        <v>109</v>
      </c>
      <c r="X1180" s="40"/>
      <c r="Y1180" s="40"/>
      <c r="Z1180" s="40" t="s">
        <v>2939</v>
      </c>
      <c r="AA1180" s="40"/>
      <c r="AB1180" s="40" t="s">
        <v>2898</v>
      </c>
      <c r="AC1180" s="40"/>
      <c r="AD1180" s="40"/>
      <c r="AE1180" s="40"/>
      <c r="AF1180" s="40" t="s">
        <v>2939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2275</v>
      </c>
      <c r="C1181" s="40">
        <v>1575</v>
      </c>
      <c r="D1181" s="38" t="s">
        <v>2271</v>
      </c>
      <c r="E1181" s="40" t="s">
        <v>2929</v>
      </c>
      <c r="F1181" s="40" t="s">
        <v>4328</v>
      </c>
      <c r="G1181" s="50" t="s">
        <v>5604</v>
      </c>
      <c r="H1181" s="150" t="s">
        <v>5607</v>
      </c>
      <c r="I1181" s="50" t="s">
        <v>5609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306</v>
      </c>
      <c r="U1181" s="2" t="s">
        <v>3</v>
      </c>
      <c r="V1181" s="39" t="s">
        <v>3048</v>
      </c>
      <c r="W1181" s="39">
        <v>109</v>
      </c>
      <c r="X1181" s="40"/>
      <c r="Y1181" s="40"/>
      <c r="Z1181" s="40" t="s">
        <v>2939</v>
      </c>
      <c r="AA1181" s="40"/>
      <c r="AB1181" s="40" t="s">
        <v>2898</v>
      </c>
      <c r="AC1181" s="40"/>
      <c r="AD1181" s="40"/>
      <c r="AE1181" s="40"/>
      <c r="AF1181" s="40" t="s">
        <v>2898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2276</v>
      </c>
      <c r="C1182" s="40">
        <v>1576</v>
      </c>
      <c r="D1182" s="38" t="s">
        <v>2271</v>
      </c>
      <c r="E1182" s="40" t="s">
        <v>2929</v>
      </c>
      <c r="F1182" s="40" t="s">
        <v>4329</v>
      </c>
      <c r="G1182" s="50" t="s">
        <v>5604</v>
      </c>
      <c r="H1182" s="150" t="s">
        <v>5607</v>
      </c>
      <c r="I1182" s="50" t="s">
        <v>5609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306</v>
      </c>
      <c r="U1182" s="2" t="s">
        <v>3</v>
      </c>
      <c r="V1182" s="39" t="s">
        <v>3048</v>
      </c>
      <c r="W1182" s="39">
        <v>109</v>
      </c>
      <c r="X1182" s="40"/>
      <c r="Y1182" s="40"/>
      <c r="Z1182" s="40" t="s">
        <v>2939</v>
      </c>
      <c r="AA1182" s="40"/>
      <c r="AB1182" s="40" t="s">
        <v>2898</v>
      </c>
      <c r="AC1182" s="40"/>
      <c r="AD1182" s="40"/>
      <c r="AE1182" s="40"/>
      <c r="AF1182" s="40" t="s">
        <v>2898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2277</v>
      </c>
      <c r="C1183" s="40">
        <v>1598</v>
      </c>
      <c r="D1183" s="38" t="s">
        <v>2271</v>
      </c>
      <c r="E1183" s="40" t="s">
        <v>2929</v>
      </c>
      <c r="F1183" s="40" t="s">
        <v>4330</v>
      </c>
      <c r="G1183" s="50"/>
      <c r="H1183" s="150" t="s">
        <v>5608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130</v>
      </c>
      <c r="U1183" s="2" t="s">
        <v>2916</v>
      </c>
      <c r="V1183" s="39" t="s">
        <v>3048</v>
      </c>
      <c r="W1183" s="39">
        <v>103</v>
      </c>
      <c r="X1183" s="40"/>
      <c r="Y1183" s="40"/>
      <c r="Z1183" s="40" t="s">
        <v>2939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2278</v>
      </c>
      <c r="C1184" s="40">
        <v>1609</v>
      </c>
      <c r="D1184" s="38" t="s">
        <v>2271</v>
      </c>
      <c r="E1184" s="40" t="s">
        <v>2929</v>
      </c>
      <c r="F1184" s="40" t="s">
        <v>4331</v>
      </c>
      <c r="G1184" s="50" t="s">
        <v>5604</v>
      </c>
      <c r="H1184" s="150" t="s">
        <v>5607</v>
      </c>
      <c r="I1184" s="50" t="s">
        <v>5609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306</v>
      </c>
      <c r="U1184" s="2" t="s">
        <v>3</v>
      </c>
      <c r="V1184" s="39" t="s">
        <v>3048</v>
      </c>
      <c r="W1184" s="39">
        <v>109</v>
      </c>
      <c r="X1184" s="40"/>
      <c r="Y1184" s="40"/>
      <c r="Z1184" s="40" t="s">
        <v>2939</v>
      </c>
      <c r="AA1184" s="40"/>
      <c r="AB1184" s="40" t="s">
        <v>2898</v>
      </c>
      <c r="AC1184" s="40"/>
      <c r="AD1184" s="40"/>
      <c r="AE1184" s="40"/>
      <c r="AF1184" s="40" t="s">
        <v>2898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2279</v>
      </c>
      <c r="C1185" s="40">
        <v>1639</v>
      </c>
      <c r="D1185" s="38" t="s">
        <v>2271</v>
      </c>
      <c r="E1185" s="40" t="s">
        <v>2929</v>
      </c>
      <c r="F1185" s="40" t="s">
        <v>4332</v>
      </c>
      <c r="G1185" s="50" t="s">
        <v>5604</v>
      </c>
      <c r="H1185" s="150" t="s">
        <v>5607</v>
      </c>
      <c r="I1185" s="50" t="s">
        <v>5609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306</v>
      </c>
      <c r="U1185" s="2" t="s">
        <v>3</v>
      </c>
      <c r="V1185" s="39" t="s">
        <v>3048</v>
      </c>
      <c r="W1185" s="39">
        <v>109</v>
      </c>
      <c r="X1185" s="40"/>
      <c r="Y1185" s="40"/>
      <c r="Z1185" s="40" t="s">
        <v>2939</v>
      </c>
      <c r="AA1185" s="40"/>
      <c r="AB1185" s="40"/>
      <c r="AC1185" s="40"/>
      <c r="AD1185" s="40" t="s">
        <v>2898</v>
      </c>
      <c r="AE1185" s="40"/>
      <c r="AF1185" s="40" t="s">
        <v>2898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2271</v>
      </c>
      <c r="E1186" s="40" t="s">
        <v>2929</v>
      </c>
      <c r="F1186" s="40" t="s">
        <v>4333</v>
      </c>
      <c r="G1186" s="50" t="s">
        <v>5604</v>
      </c>
      <c r="H1186" s="150" t="s">
        <v>5608</v>
      </c>
      <c r="I1186" s="50" t="s">
        <v>5609</v>
      </c>
      <c r="J1186" s="43">
        <v>197180.906736</v>
      </c>
      <c r="K1186" s="43">
        <v>2665784.9873199998</v>
      </c>
      <c r="L1186" s="43" t="s">
        <v>40</v>
      </c>
      <c r="M1186" s="44">
        <v>11</v>
      </c>
      <c r="N1186" s="43">
        <v>191</v>
      </c>
      <c r="O1186" s="43">
        <v>64.2</v>
      </c>
      <c r="P1186" s="43" t="s">
        <v>102</v>
      </c>
      <c r="Q1186" s="43">
        <v>36.4</v>
      </c>
      <c r="R1186" s="43">
        <v>278</v>
      </c>
      <c r="S1186" s="43">
        <v>72.900000000000006</v>
      </c>
      <c r="T1186" s="2" t="s">
        <v>575</v>
      </c>
      <c r="U1186" s="2" t="s">
        <v>8</v>
      </c>
      <c r="V1186" s="39" t="s">
        <v>3048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2939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2280</v>
      </c>
      <c r="C1187" s="40">
        <v>1693</v>
      </c>
      <c r="D1187" s="38" t="s">
        <v>2271</v>
      </c>
      <c r="E1187" s="40" t="s">
        <v>2929</v>
      </c>
      <c r="F1187" s="40" t="s">
        <v>4334</v>
      </c>
      <c r="G1187" s="50" t="s">
        <v>5604</v>
      </c>
      <c r="H1187" s="150" t="s">
        <v>5606</v>
      </c>
      <c r="I1187" s="50" t="s">
        <v>5609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306</v>
      </c>
      <c r="U1187" s="2" t="s">
        <v>3</v>
      </c>
      <c r="V1187" s="39" t="s">
        <v>3048</v>
      </c>
      <c r="W1187" s="39">
        <v>111</v>
      </c>
      <c r="X1187" s="40"/>
      <c r="Y1187" s="40"/>
      <c r="Z1187" s="40" t="s">
        <v>2939</v>
      </c>
      <c r="AA1187" s="40"/>
      <c r="AB1187" s="40"/>
      <c r="AC1187" s="40" t="s">
        <v>2898</v>
      </c>
      <c r="AD1187" s="40"/>
      <c r="AE1187" s="40"/>
      <c r="AF1187" s="40" t="s">
        <v>2898</v>
      </c>
      <c r="AG1187" s="40"/>
      <c r="AH1187" s="40" t="s">
        <v>2898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2281</v>
      </c>
      <c r="C1188" s="40">
        <v>1712</v>
      </c>
      <c r="D1188" s="38" t="s">
        <v>2271</v>
      </c>
      <c r="E1188" s="40" t="s">
        <v>2929</v>
      </c>
      <c r="F1188" s="40" t="s">
        <v>4335</v>
      </c>
      <c r="G1188" s="50" t="s">
        <v>5604</v>
      </c>
      <c r="H1188" s="150" t="s">
        <v>5608</v>
      </c>
      <c r="I1188" s="50" t="s">
        <v>5609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306</v>
      </c>
      <c r="U1188" s="2" t="s">
        <v>3</v>
      </c>
      <c r="V1188" s="39" t="s">
        <v>3048</v>
      </c>
      <c r="W1188" s="39">
        <v>111</v>
      </c>
      <c r="X1188" s="40"/>
      <c r="Y1188" s="40"/>
      <c r="Z1188" s="40" t="s">
        <v>2939</v>
      </c>
      <c r="AA1188" s="40"/>
      <c r="AB1188" s="40"/>
      <c r="AC1188" s="40" t="s">
        <v>2898</v>
      </c>
      <c r="AD1188" s="40"/>
      <c r="AE1188" s="40"/>
      <c r="AF1188" s="40" t="s">
        <v>2898</v>
      </c>
      <c r="AG1188" s="40" t="s">
        <v>2898</v>
      </c>
      <c r="AH1188" s="40" t="s">
        <v>2898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2282</v>
      </c>
      <c r="C1189" s="83">
        <v>2500</v>
      </c>
      <c r="D1189" s="113" t="s">
        <v>2271</v>
      </c>
      <c r="E1189" s="83" t="s">
        <v>2929</v>
      </c>
      <c r="F1189" s="83" t="s">
        <v>4336</v>
      </c>
      <c r="G1189" s="138"/>
      <c r="H1189" s="340" t="s">
        <v>5608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306</v>
      </c>
      <c r="U1189" s="85" t="s">
        <v>3</v>
      </c>
      <c r="V1189" s="86" t="s">
        <v>3048</v>
      </c>
      <c r="W1189" s="86">
        <v>109</v>
      </c>
      <c r="X1189" s="83"/>
      <c r="Y1189" s="83"/>
      <c r="Z1189" s="83"/>
      <c r="AA1189" s="83"/>
      <c r="AB1189" s="83"/>
      <c r="AC1189" s="83" t="s">
        <v>2898</v>
      </c>
      <c r="AD1189" s="83"/>
      <c r="AE1189" s="83"/>
      <c r="AF1189" s="83" t="s">
        <v>2898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2284</v>
      </c>
      <c r="C1190" s="29">
        <v>1570</v>
      </c>
      <c r="D1190" s="27" t="s">
        <v>2283</v>
      </c>
      <c r="E1190" s="29" t="s">
        <v>2929</v>
      </c>
      <c r="F1190" s="29" t="s">
        <v>4337</v>
      </c>
      <c r="G1190" s="192" t="s">
        <v>5604</v>
      </c>
      <c r="H1190" s="145" t="s">
        <v>5606</v>
      </c>
      <c r="I1190" s="192" t="s">
        <v>5609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2907</v>
      </c>
      <c r="U1190" s="30" t="s">
        <v>8</v>
      </c>
      <c r="V1190" s="86" t="s">
        <v>3048</v>
      </c>
      <c r="W1190" s="28">
        <v>110</v>
      </c>
      <c r="X1190" s="29"/>
      <c r="Y1190" s="102"/>
      <c r="Z1190" s="29" t="s">
        <v>2898</v>
      </c>
      <c r="AA1190" s="29"/>
      <c r="AB1190" s="29"/>
      <c r="AC1190" s="29"/>
      <c r="AD1190" s="29"/>
      <c r="AE1190" s="29"/>
      <c r="AF1190" s="29" t="s">
        <v>2939</v>
      </c>
      <c r="AG1190" s="29" t="s">
        <v>2939</v>
      </c>
      <c r="AH1190" s="29"/>
      <c r="AI1190" s="29"/>
      <c r="AJ1190" s="28"/>
      <c r="AK1190" s="190"/>
      <c r="AL1190" s="36" t="s">
        <v>3053</v>
      </c>
      <c r="AM1190" s="26"/>
    </row>
    <row r="1191" spans="1:39" x14ac:dyDescent="0.3">
      <c r="A1191" s="15">
        <v>1190</v>
      </c>
      <c r="B1191" s="29" t="s">
        <v>2292</v>
      </c>
      <c r="C1191" s="29">
        <v>131</v>
      </c>
      <c r="D1191" s="27" t="s">
        <v>2291</v>
      </c>
      <c r="E1191" s="29" t="s">
        <v>2963</v>
      </c>
      <c r="F1191" s="29" t="s">
        <v>4338</v>
      </c>
      <c r="G1191" s="192" t="s">
        <v>5604</v>
      </c>
      <c r="H1191" s="145" t="s">
        <v>5606</v>
      </c>
      <c r="I1191" s="192" t="s">
        <v>5609</v>
      </c>
      <c r="J1191" s="33">
        <v>197885.199395</v>
      </c>
      <c r="K1191" s="33">
        <v>2665681.9464699998</v>
      </c>
      <c r="L1191" s="33" t="s">
        <v>1126</v>
      </c>
      <c r="M1191" s="34">
        <v>13</v>
      </c>
      <c r="N1191" s="33">
        <v>151</v>
      </c>
      <c r="O1191" s="33">
        <v>122</v>
      </c>
      <c r="P1191" s="33" t="s">
        <v>66</v>
      </c>
      <c r="Q1191" s="33">
        <v>29.1</v>
      </c>
      <c r="R1191" s="33">
        <v>451</v>
      </c>
      <c r="S1191" s="33">
        <v>178</v>
      </c>
      <c r="T1191" s="30" t="s">
        <v>575</v>
      </c>
      <c r="U1191" s="30" t="s">
        <v>8</v>
      </c>
      <c r="V1191" s="28" t="s">
        <v>3048</v>
      </c>
      <c r="W1191" s="28">
        <v>109</v>
      </c>
      <c r="X1191" s="29"/>
      <c r="Y1191" s="29"/>
      <c r="Z1191" s="29" t="s">
        <v>2939</v>
      </c>
      <c r="AA1191" s="29"/>
      <c r="AB1191" s="29"/>
      <c r="AC1191" s="29" t="s">
        <v>2939</v>
      </c>
      <c r="AD1191" s="29"/>
      <c r="AE1191" s="29"/>
      <c r="AF1191" s="29" t="s">
        <v>2939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2293</v>
      </c>
      <c r="C1192" s="83">
        <v>134</v>
      </c>
      <c r="D1192" s="113" t="s">
        <v>2291</v>
      </c>
      <c r="E1192" s="83" t="s">
        <v>2963</v>
      </c>
      <c r="F1192" s="83" t="s">
        <v>4339</v>
      </c>
      <c r="G1192" s="138"/>
      <c r="H1192" s="340" t="s">
        <v>5606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138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3048</v>
      </c>
      <c r="W1192" s="86">
        <v>107</v>
      </c>
      <c r="X1192" s="83"/>
      <c r="Y1192" s="83"/>
      <c r="Z1192" s="83" t="s">
        <v>2939</v>
      </c>
      <c r="AA1192" s="83"/>
      <c r="AB1192" s="83"/>
      <c r="AC1192" s="83"/>
      <c r="AD1192" s="83" t="s">
        <v>2939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2299</v>
      </c>
      <c r="C1193" s="29">
        <v>461</v>
      </c>
      <c r="D1193" s="27" t="s">
        <v>2298</v>
      </c>
      <c r="E1193" s="29" t="s">
        <v>2963</v>
      </c>
      <c r="F1193" s="29" t="s">
        <v>4340</v>
      </c>
      <c r="G1193" s="192" t="s">
        <v>5604</v>
      </c>
      <c r="H1193" s="145" t="s">
        <v>5606</v>
      </c>
      <c r="I1193" s="192" t="s">
        <v>5609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575</v>
      </c>
      <c r="U1193" s="30" t="s">
        <v>8</v>
      </c>
      <c r="V1193" s="28" t="s">
        <v>3048</v>
      </c>
      <c r="W1193" s="28">
        <v>111</v>
      </c>
      <c r="X1193" s="29"/>
      <c r="Y1193" s="29"/>
      <c r="Z1193" s="29"/>
      <c r="AA1193" s="29" t="s">
        <v>2939</v>
      </c>
      <c r="AB1193" s="29"/>
      <c r="AC1193" s="29"/>
      <c r="AD1193" s="29"/>
      <c r="AE1193" s="29" t="s">
        <v>2939</v>
      </c>
      <c r="AF1193" s="29"/>
      <c r="AG1193" s="29"/>
      <c r="AH1193" s="29" t="s">
        <v>2939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2300</v>
      </c>
      <c r="C1194" s="40">
        <v>467</v>
      </c>
      <c r="D1194" s="38" t="s">
        <v>2298</v>
      </c>
      <c r="E1194" s="40" t="s">
        <v>2963</v>
      </c>
      <c r="F1194" s="40" t="s">
        <v>4341</v>
      </c>
      <c r="G1194" s="50" t="s">
        <v>5604</v>
      </c>
      <c r="H1194" s="150" t="s">
        <v>5606</v>
      </c>
      <c r="I1194" s="50" t="s">
        <v>5609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55</v>
      </c>
      <c r="Q1194" s="43">
        <v>26.7</v>
      </c>
      <c r="R1194" s="43">
        <v>271</v>
      </c>
      <c r="S1194" s="43">
        <v>99.5</v>
      </c>
      <c r="T1194" s="2" t="s">
        <v>575</v>
      </c>
      <c r="U1194" s="2" t="s">
        <v>8</v>
      </c>
      <c r="V1194" s="39" t="s">
        <v>3048</v>
      </c>
      <c r="W1194" s="39">
        <v>111</v>
      </c>
      <c r="X1194" s="40"/>
      <c r="Y1194" s="40"/>
      <c r="Z1194" s="40"/>
      <c r="AA1194" s="40" t="s">
        <v>2939</v>
      </c>
      <c r="AB1194" s="40"/>
      <c r="AC1194" s="40"/>
      <c r="AD1194" s="40"/>
      <c r="AE1194" s="40" t="s">
        <v>2898</v>
      </c>
      <c r="AF1194" s="40"/>
      <c r="AG1194" s="40"/>
      <c r="AH1194" s="40" t="s">
        <v>2939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2302</v>
      </c>
      <c r="C1195" s="40">
        <v>468</v>
      </c>
      <c r="D1195" s="38" t="s">
        <v>2298</v>
      </c>
      <c r="E1195" s="40" t="s">
        <v>2963</v>
      </c>
      <c r="F1195" s="40" t="s">
        <v>4342</v>
      </c>
      <c r="G1195" s="50"/>
      <c r="H1195" s="150" t="s">
        <v>5606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3048</v>
      </c>
      <c r="W1195" s="39">
        <v>108</v>
      </c>
      <c r="X1195" s="40"/>
      <c r="Y1195" s="40"/>
      <c r="Z1195" s="40"/>
      <c r="AA1195" s="40" t="s">
        <v>2939</v>
      </c>
      <c r="AB1195" s="40"/>
      <c r="AC1195" s="40"/>
      <c r="AD1195" s="40"/>
      <c r="AE1195" s="40" t="s">
        <v>2898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1536</v>
      </c>
      <c r="C1196" s="83">
        <v>469</v>
      </c>
      <c r="D1196" s="113" t="s">
        <v>1535</v>
      </c>
      <c r="E1196" s="83" t="s">
        <v>2963</v>
      </c>
      <c r="F1196" s="83" t="s">
        <v>4343</v>
      </c>
      <c r="G1196" s="138"/>
      <c r="H1196" s="340" t="s">
        <v>5607</v>
      </c>
      <c r="I1196" s="138"/>
      <c r="J1196" s="88" t="s">
        <v>3054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219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3048</v>
      </c>
      <c r="W1196" s="86">
        <v>108</v>
      </c>
      <c r="X1196" s="83"/>
      <c r="Y1196" s="83"/>
      <c r="Z1196" s="83"/>
      <c r="AA1196" s="83" t="s">
        <v>2939</v>
      </c>
      <c r="AB1196" s="83"/>
      <c r="AC1196" s="83"/>
      <c r="AD1196" s="83"/>
      <c r="AE1196" s="83" t="s">
        <v>2898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2319</v>
      </c>
      <c r="C1197" s="29">
        <v>412</v>
      </c>
      <c r="D1197" s="27" t="s">
        <v>2318</v>
      </c>
      <c r="E1197" s="29" t="s">
        <v>2963</v>
      </c>
      <c r="F1197" s="29" t="s">
        <v>4344</v>
      </c>
      <c r="G1197" s="192"/>
      <c r="H1197" s="145" t="s">
        <v>5606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3048</v>
      </c>
      <c r="W1197" s="28">
        <v>108</v>
      </c>
      <c r="X1197" s="29"/>
      <c r="Y1197" s="29"/>
      <c r="Z1197" s="29"/>
      <c r="AA1197" s="29" t="s">
        <v>2939</v>
      </c>
      <c r="AB1197" s="29"/>
      <c r="AC1197" s="29"/>
      <c r="AD1197" s="29"/>
      <c r="AE1197" s="29" t="s">
        <v>2898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2320</v>
      </c>
      <c r="C1198" s="40">
        <v>413</v>
      </c>
      <c r="D1198" s="38" t="s">
        <v>2318</v>
      </c>
      <c r="E1198" s="40" t="s">
        <v>2963</v>
      </c>
      <c r="F1198" s="40" t="s">
        <v>4345</v>
      </c>
      <c r="G1198" s="50" t="s">
        <v>5604</v>
      </c>
      <c r="H1198" s="150" t="s">
        <v>5606</v>
      </c>
      <c r="I1198" s="50" t="s">
        <v>5609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575</v>
      </c>
      <c r="U1198" s="2" t="s">
        <v>8</v>
      </c>
      <c r="V1198" s="39" t="s">
        <v>3048</v>
      </c>
      <c r="W1198" s="39">
        <v>111</v>
      </c>
      <c r="X1198" s="40"/>
      <c r="Y1198" s="40"/>
      <c r="Z1198" s="40"/>
      <c r="AA1198" s="40" t="s">
        <v>2939</v>
      </c>
      <c r="AB1198" s="40"/>
      <c r="AC1198" s="40"/>
      <c r="AD1198" s="40"/>
      <c r="AE1198" s="40" t="s">
        <v>2898</v>
      </c>
      <c r="AF1198" s="40"/>
      <c r="AG1198" s="40"/>
      <c r="AH1198" s="40" t="s">
        <v>2939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2321</v>
      </c>
      <c r="C1199" s="40">
        <v>414</v>
      </c>
      <c r="D1199" s="38" t="s">
        <v>2318</v>
      </c>
      <c r="E1199" s="40" t="s">
        <v>2963</v>
      </c>
      <c r="F1199" s="40" t="s">
        <v>4346</v>
      </c>
      <c r="G1199" s="50"/>
      <c r="H1199" s="150" t="s">
        <v>5607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3048</v>
      </c>
      <c r="W1199" s="39">
        <v>108</v>
      </c>
      <c r="X1199" s="40"/>
      <c r="Y1199" s="40"/>
      <c r="Z1199" s="40"/>
      <c r="AA1199" s="40" t="s">
        <v>2939</v>
      </c>
      <c r="AB1199" s="40"/>
      <c r="AC1199" s="40"/>
      <c r="AD1199" s="40"/>
      <c r="AE1199" s="40" t="s">
        <v>2898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2322</v>
      </c>
      <c r="C1200" s="83">
        <v>418</v>
      </c>
      <c r="D1200" s="113" t="s">
        <v>2318</v>
      </c>
      <c r="E1200" s="83" t="s">
        <v>2963</v>
      </c>
      <c r="F1200" s="83" t="s">
        <v>4347</v>
      </c>
      <c r="G1200" s="138" t="s">
        <v>5604</v>
      </c>
      <c r="H1200" s="340" t="s">
        <v>5606</v>
      </c>
      <c r="I1200" s="138" t="s">
        <v>5609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575</v>
      </c>
      <c r="U1200" s="85" t="s">
        <v>8</v>
      </c>
      <c r="V1200" s="86" t="s">
        <v>3048</v>
      </c>
      <c r="W1200" s="86">
        <v>109</v>
      </c>
      <c r="X1200" s="83"/>
      <c r="Y1200" s="83"/>
      <c r="Z1200" s="83"/>
      <c r="AA1200" s="83" t="s">
        <v>2939</v>
      </c>
      <c r="AB1200" s="83"/>
      <c r="AC1200" s="83"/>
      <c r="AD1200" s="83"/>
      <c r="AE1200" s="83"/>
      <c r="AF1200" s="83" t="s">
        <v>2939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2355</v>
      </c>
      <c r="C1201" s="29">
        <v>1796</v>
      </c>
      <c r="D1201" s="27" t="s">
        <v>2354</v>
      </c>
      <c r="E1201" s="217" t="s">
        <v>2929</v>
      </c>
      <c r="F1201" s="217" t="s">
        <v>4348</v>
      </c>
      <c r="G1201" s="192" t="s">
        <v>5604</v>
      </c>
      <c r="H1201" s="145" t="s">
        <v>5606</v>
      </c>
      <c r="I1201" s="192" t="s">
        <v>5609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575</v>
      </c>
      <c r="U1201" s="30" t="s">
        <v>3</v>
      </c>
      <c r="V1201" s="28" t="s">
        <v>3048</v>
      </c>
      <c r="W1201" s="28">
        <v>110</v>
      </c>
      <c r="X1201" s="29"/>
      <c r="Y1201" s="29"/>
      <c r="Z1201" s="29"/>
      <c r="AA1201" s="29"/>
      <c r="AB1201" s="29" t="s">
        <v>2939</v>
      </c>
      <c r="AC1201" s="29"/>
      <c r="AD1201" s="29"/>
      <c r="AE1201" s="29" t="s">
        <v>2898</v>
      </c>
      <c r="AF1201" s="29"/>
      <c r="AG1201" s="29" t="s">
        <v>2939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2356</v>
      </c>
      <c r="C1202" s="40">
        <v>1798</v>
      </c>
      <c r="D1202" s="38" t="s">
        <v>2354</v>
      </c>
      <c r="E1202" s="221" t="s">
        <v>2929</v>
      </c>
      <c r="F1202" s="221" t="s">
        <v>4349</v>
      </c>
      <c r="G1202" s="50" t="s">
        <v>5604</v>
      </c>
      <c r="H1202" s="150" t="s">
        <v>5606</v>
      </c>
      <c r="I1202" s="50" t="s">
        <v>5609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306</v>
      </c>
      <c r="U1202" s="2" t="s">
        <v>3</v>
      </c>
      <c r="V1202" s="39" t="s">
        <v>3048</v>
      </c>
      <c r="W1202" s="39">
        <v>110</v>
      </c>
      <c r="X1202" s="40"/>
      <c r="Y1202" s="40"/>
      <c r="Z1202" s="40"/>
      <c r="AA1202" s="40"/>
      <c r="AB1202" s="40" t="s">
        <v>2939</v>
      </c>
      <c r="AC1202" s="40"/>
      <c r="AD1202" s="40"/>
      <c r="AE1202" s="40" t="s">
        <v>2898</v>
      </c>
      <c r="AF1202" s="40"/>
      <c r="AG1202" s="40" t="s">
        <v>2898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2357</v>
      </c>
      <c r="C1203" s="40">
        <v>1799</v>
      </c>
      <c r="D1203" s="38" t="s">
        <v>2354</v>
      </c>
      <c r="E1203" s="221" t="s">
        <v>2929</v>
      </c>
      <c r="F1203" s="221" t="s">
        <v>4350</v>
      </c>
      <c r="G1203" s="50" t="s">
        <v>5604</v>
      </c>
      <c r="H1203" s="150" t="s">
        <v>5606</v>
      </c>
      <c r="I1203" s="50" t="s">
        <v>5609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306</v>
      </c>
      <c r="U1203" s="2" t="s">
        <v>3</v>
      </c>
      <c r="V1203" s="39" t="s">
        <v>3048</v>
      </c>
      <c r="W1203" s="39">
        <v>110</v>
      </c>
      <c r="X1203" s="40"/>
      <c r="Y1203" s="40"/>
      <c r="Z1203" s="40"/>
      <c r="AA1203" s="40"/>
      <c r="AB1203" s="40" t="s">
        <v>2939</v>
      </c>
      <c r="AC1203" s="40"/>
      <c r="AD1203" s="40"/>
      <c r="AE1203" s="40" t="s">
        <v>2898</v>
      </c>
      <c r="AF1203" s="40"/>
      <c r="AG1203" s="40" t="s">
        <v>2898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2358</v>
      </c>
      <c r="C1204" s="83">
        <v>1797</v>
      </c>
      <c r="D1204" s="113" t="s">
        <v>2354</v>
      </c>
      <c r="E1204" s="218" t="s">
        <v>2929</v>
      </c>
      <c r="F1204" s="218" t="s">
        <v>4351</v>
      </c>
      <c r="G1204" s="138" t="s">
        <v>5604</v>
      </c>
      <c r="H1204" s="340" t="s">
        <v>5608</v>
      </c>
      <c r="I1204" s="138" t="s">
        <v>5609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102</v>
      </c>
      <c r="Q1204" s="88">
        <v>28.6</v>
      </c>
      <c r="R1204" s="88">
        <v>226</v>
      </c>
      <c r="S1204" s="88">
        <v>98.6</v>
      </c>
      <c r="T1204" s="85" t="s">
        <v>306</v>
      </c>
      <c r="U1204" s="85" t="str">
        <f>U1202</f>
        <v>正常</v>
      </c>
      <c r="V1204" s="86" t="s">
        <v>3048</v>
      </c>
      <c r="W1204" s="86">
        <v>110</v>
      </c>
      <c r="X1204" s="83"/>
      <c r="Y1204" s="83"/>
      <c r="Z1204" s="83"/>
      <c r="AA1204" s="83"/>
      <c r="AB1204" s="83" t="s">
        <v>2939</v>
      </c>
      <c r="AC1204" s="83"/>
      <c r="AD1204" s="83"/>
      <c r="AE1204" s="83" t="s">
        <v>2898</v>
      </c>
      <c r="AF1204" s="83"/>
      <c r="AG1204" s="83" t="s">
        <v>2898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1935</v>
      </c>
      <c r="C1205" s="19">
        <v>1464</v>
      </c>
      <c r="D1205" s="17" t="s">
        <v>2359</v>
      </c>
      <c r="E1205" s="19" t="s">
        <v>2929</v>
      </c>
      <c r="F1205" s="19" t="s">
        <v>4352</v>
      </c>
      <c r="G1205" s="255" t="s">
        <v>5604</v>
      </c>
      <c r="H1205" s="434" t="s">
        <v>5606</v>
      </c>
      <c r="I1205" s="255" t="s">
        <v>5609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575</v>
      </c>
      <c r="U1205" s="20" t="s">
        <v>8</v>
      </c>
      <c r="V1205" s="222" t="s">
        <v>3048</v>
      </c>
      <c r="W1205" s="222">
        <v>111</v>
      </c>
      <c r="X1205" s="19"/>
      <c r="Y1205" s="19"/>
      <c r="Z1205" s="19"/>
      <c r="AA1205" s="19" t="s">
        <v>2939</v>
      </c>
      <c r="AB1205" s="19"/>
      <c r="AC1205" s="19" t="s">
        <v>2939</v>
      </c>
      <c r="AD1205" s="19"/>
      <c r="AE1205" s="19"/>
      <c r="AF1205" s="19"/>
      <c r="AG1205" s="19" t="s">
        <v>2898</v>
      </c>
      <c r="AH1205" s="19" t="s">
        <v>2939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2422</v>
      </c>
      <c r="C1206" s="29">
        <v>470</v>
      </c>
      <c r="D1206" s="27" t="s">
        <v>2421</v>
      </c>
      <c r="E1206" s="29" t="s">
        <v>2963</v>
      </c>
      <c r="F1206" s="29" t="s">
        <v>4353</v>
      </c>
      <c r="G1206" s="192"/>
      <c r="H1206" s="145" t="s">
        <v>5607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52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3048</v>
      </c>
      <c r="W1206" s="28">
        <v>108</v>
      </c>
      <c r="X1206" s="29"/>
      <c r="Y1206" s="29"/>
      <c r="Z1206" s="29"/>
      <c r="AA1206" s="29" t="s">
        <v>2939</v>
      </c>
      <c r="AB1206" s="29"/>
      <c r="AC1206" s="29"/>
      <c r="AD1206" s="29"/>
      <c r="AE1206" s="29" t="s">
        <v>2939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2423</v>
      </c>
      <c r="C1207" s="40">
        <v>472</v>
      </c>
      <c r="D1207" s="38" t="s">
        <v>2421</v>
      </c>
      <c r="E1207" s="40" t="s">
        <v>2963</v>
      </c>
      <c r="F1207" s="40" t="s">
        <v>4354</v>
      </c>
      <c r="G1207" s="50" t="s">
        <v>5604</v>
      </c>
      <c r="H1207" s="150" t="s">
        <v>5606</v>
      </c>
      <c r="I1207" s="50" t="s">
        <v>5609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52</v>
      </c>
      <c r="Q1207" s="43">
        <v>29.4</v>
      </c>
      <c r="R1207" s="43">
        <v>324</v>
      </c>
      <c r="S1207" s="43">
        <v>136</v>
      </c>
      <c r="T1207" s="2" t="s">
        <v>575</v>
      </c>
      <c r="U1207" s="2" t="s">
        <v>8</v>
      </c>
      <c r="V1207" s="39" t="s">
        <v>3048</v>
      </c>
      <c r="W1207" s="39">
        <v>110</v>
      </c>
      <c r="X1207" s="40"/>
      <c r="Y1207" s="40"/>
      <c r="Z1207" s="40"/>
      <c r="AA1207" s="40" t="s">
        <v>2939</v>
      </c>
      <c r="AB1207" s="40"/>
      <c r="AC1207" s="40"/>
      <c r="AD1207" s="40"/>
      <c r="AE1207" s="40" t="s">
        <v>2939</v>
      </c>
      <c r="AF1207" s="40"/>
      <c r="AG1207" s="40" t="s">
        <v>2939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2424</v>
      </c>
      <c r="C1208" s="40">
        <v>492</v>
      </c>
      <c r="D1208" s="38" t="s">
        <v>2421</v>
      </c>
      <c r="E1208" s="40" t="s">
        <v>2963</v>
      </c>
      <c r="F1208" s="40" t="s">
        <v>4355</v>
      </c>
      <c r="G1208" s="50"/>
      <c r="H1208" s="150" t="s">
        <v>5606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3048</v>
      </c>
      <c r="W1208" s="39">
        <v>108</v>
      </c>
      <c r="X1208" s="40"/>
      <c r="Y1208" s="40"/>
      <c r="Z1208" s="40"/>
      <c r="AA1208" s="40" t="s">
        <v>2939</v>
      </c>
      <c r="AB1208" s="40"/>
      <c r="AC1208" s="40"/>
      <c r="AD1208" s="40"/>
      <c r="AE1208" s="40" t="s">
        <v>2939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2425</v>
      </c>
      <c r="C1209" s="40">
        <v>493</v>
      </c>
      <c r="D1209" s="38" t="s">
        <v>2421</v>
      </c>
      <c r="E1209" s="40" t="s">
        <v>2963</v>
      </c>
      <c r="F1209" s="40" t="s">
        <v>4356</v>
      </c>
      <c r="G1209" s="50"/>
      <c r="H1209" s="150" t="s">
        <v>5607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3048</v>
      </c>
      <c r="W1209" s="39">
        <v>108</v>
      </c>
      <c r="X1209" s="40"/>
      <c r="Y1209" s="40"/>
      <c r="Z1209" s="40"/>
      <c r="AA1209" s="40" t="s">
        <v>2939</v>
      </c>
      <c r="AB1209" s="40"/>
      <c r="AC1209" s="40"/>
      <c r="AD1209" s="40"/>
      <c r="AE1209" s="40" t="s">
        <v>2898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2426</v>
      </c>
      <c r="C1210" s="40">
        <v>494</v>
      </c>
      <c r="D1210" s="38" t="s">
        <v>2421</v>
      </c>
      <c r="E1210" s="40" t="s">
        <v>2963</v>
      </c>
      <c r="F1210" s="40" t="s">
        <v>4357</v>
      </c>
      <c r="G1210" s="50"/>
      <c r="H1210" s="150" t="s">
        <v>5606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3048</v>
      </c>
      <c r="W1210" s="39">
        <v>108</v>
      </c>
      <c r="X1210" s="40"/>
      <c r="Y1210" s="40"/>
      <c r="Z1210" s="40"/>
      <c r="AA1210" s="40" t="s">
        <v>2939</v>
      </c>
      <c r="AB1210" s="40"/>
      <c r="AC1210" s="40"/>
      <c r="AD1210" s="40"/>
      <c r="AE1210" s="40" t="s">
        <v>2898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2431</v>
      </c>
      <c r="C1211" s="83">
        <v>471</v>
      </c>
      <c r="D1211" s="113" t="s">
        <v>2421</v>
      </c>
      <c r="E1211" s="83" t="s">
        <v>2963</v>
      </c>
      <c r="F1211" s="83" t="s">
        <v>4358</v>
      </c>
      <c r="G1211" s="138" t="s">
        <v>5604</v>
      </c>
      <c r="H1211" s="340" t="s">
        <v>5608</v>
      </c>
      <c r="I1211" s="138" t="s">
        <v>5609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575</v>
      </c>
      <c r="U1211" s="85" t="str">
        <f>U1207</f>
        <v>監測</v>
      </c>
      <c r="V1211" s="86" t="s">
        <v>3048</v>
      </c>
      <c r="W1211" s="86">
        <v>110</v>
      </c>
      <c r="X1211" s="83"/>
      <c r="Y1211" s="83"/>
      <c r="Z1211" s="83"/>
      <c r="AA1211" s="83" t="s">
        <v>2939</v>
      </c>
      <c r="AB1211" s="83"/>
      <c r="AC1211" s="83"/>
      <c r="AD1211" s="83"/>
      <c r="AE1211" s="83" t="s">
        <v>2898</v>
      </c>
      <c r="AF1211" s="83"/>
      <c r="AG1211" s="83" t="s">
        <v>2939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2433</v>
      </c>
      <c r="C1212" s="29">
        <v>401</v>
      </c>
      <c r="D1212" s="27" t="s">
        <v>2432</v>
      </c>
      <c r="E1212" s="29" t="s">
        <v>2963</v>
      </c>
      <c r="F1212" s="29" t="s">
        <v>4359</v>
      </c>
      <c r="G1212" s="192"/>
      <c r="H1212" s="145" t="s">
        <v>5607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3048</v>
      </c>
      <c r="W1212" s="28">
        <v>108</v>
      </c>
      <c r="X1212" s="29"/>
      <c r="Y1212" s="29"/>
      <c r="Z1212" s="29"/>
      <c r="AA1212" s="29" t="s">
        <v>2943</v>
      </c>
      <c r="AB1212" s="29"/>
      <c r="AC1212" s="29"/>
      <c r="AD1212" s="29"/>
      <c r="AE1212" s="29" t="s">
        <v>2898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2434</v>
      </c>
      <c r="C1213" s="40">
        <v>403</v>
      </c>
      <c r="D1213" s="38" t="s">
        <v>2432</v>
      </c>
      <c r="E1213" s="40" t="s">
        <v>2963</v>
      </c>
      <c r="F1213" s="40" t="s">
        <v>4360</v>
      </c>
      <c r="G1213" s="50"/>
      <c r="H1213" s="150" t="s">
        <v>5607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3048</v>
      </c>
      <c r="W1213" s="39">
        <v>108</v>
      </c>
      <c r="X1213" s="40"/>
      <c r="Y1213" s="40"/>
      <c r="Z1213" s="40"/>
      <c r="AA1213" s="40" t="s">
        <v>2939</v>
      </c>
      <c r="AB1213" s="40"/>
      <c r="AC1213" s="40"/>
      <c r="AD1213" s="40"/>
      <c r="AE1213" s="40" t="s">
        <v>2939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2435</v>
      </c>
      <c r="C1214" s="40">
        <v>404</v>
      </c>
      <c r="D1214" s="38" t="s">
        <v>2432</v>
      </c>
      <c r="E1214" s="40" t="s">
        <v>2963</v>
      </c>
      <c r="F1214" s="40" t="s">
        <v>4361</v>
      </c>
      <c r="G1214" s="50"/>
      <c r="H1214" s="150" t="s">
        <v>5606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3048</v>
      </c>
      <c r="W1214" s="39">
        <v>108</v>
      </c>
      <c r="X1214" s="40"/>
      <c r="Y1214" s="40"/>
      <c r="Z1214" s="40"/>
      <c r="AA1214" s="40" t="s">
        <v>2939</v>
      </c>
      <c r="AB1214" s="40"/>
      <c r="AC1214" s="40"/>
      <c r="AD1214" s="40"/>
      <c r="AE1214" s="40" t="s">
        <v>2898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2436</v>
      </c>
      <c r="C1215" s="40">
        <v>478</v>
      </c>
      <c r="D1215" s="38" t="s">
        <v>2432</v>
      </c>
      <c r="E1215" s="40" t="s">
        <v>2963</v>
      </c>
      <c r="F1215" s="40" t="s">
        <v>4362</v>
      </c>
      <c r="G1215" s="50"/>
      <c r="H1215" s="150" t="s">
        <v>5607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3048</v>
      </c>
      <c r="W1215" s="39">
        <v>108</v>
      </c>
      <c r="X1215" s="40"/>
      <c r="Y1215" s="40"/>
      <c r="Z1215" s="40"/>
      <c r="AA1215" s="40" t="s">
        <v>2939</v>
      </c>
      <c r="AB1215" s="40"/>
      <c r="AC1215" s="40"/>
      <c r="AD1215" s="40"/>
      <c r="AE1215" s="40" t="s">
        <v>2939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2437</v>
      </c>
      <c r="C1216" s="40">
        <v>479</v>
      </c>
      <c r="D1216" s="38" t="s">
        <v>2432</v>
      </c>
      <c r="E1216" s="40" t="s">
        <v>2963</v>
      </c>
      <c r="F1216" s="40" t="s">
        <v>4363</v>
      </c>
      <c r="G1216" s="50"/>
      <c r="H1216" s="150" t="s">
        <v>5606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3048</v>
      </c>
      <c r="W1216" s="39">
        <v>108</v>
      </c>
      <c r="X1216" s="40"/>
      <c r="Y1216" s="40"/>
      <c r="Z1216" s="40"/>
      <c r="AA1216" s="40" t="s">
        <v>2939</v>
      </c>
      <c r="AB1216" s="40"/>
      <c r="AC1216" s="40"/>
      <c r="AD1216" s="40"/>
      <c r="AE1216" s="40" t="s">
        <v>2939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2438</v>
      </c>
      <c r="C1217" s="40">
        <v>480</v>
      </c>
      <c r="D1217" s="38" t="s">
        <v>2432</v>
      </c>
      <c r="E1217" s="40" t="s">
        <v>2963</v>
      </c>
      <c r="F1217" s="40" t="s">
        <v>4364</v>
      </c>
      <c r="G1217" s="50"/>
      <c r="H1217" s="150" t="s">
        <v>5607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3048</v>
      </c>
      <c r="W1217" s="39">
        <v>108</v>
      </c>
      <c r="X1217" s="40"/>
      <c r="Y1217" s="40"/>
      <c r="Z1217" s="40"/>
      <c r="AA1217" s="40" t="s">
        <v>2939</v>
      </c>
      <c r="AB1217" s="40"/>
      <c r="AC1217" s="40"/>
      <c r="AD1217" s="40"/>
      <c r="AE1217" s="40" t="s">
        <v>2898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2439</v>
      </c>
      <c r="C1218" s="40">
        <v>481</v>
      </c>
      <c r="D1218" s="38" t="s">
        <v>2432</v>
      </c>
      <c r="E1218" s="40" t="s">
        <v>2963</v>
      </c>
      <c r="F1218" s="40" t="s">
        <v>4365</v>
      </c>
      <c r="G1218" s="50"/>
      <c r="H1218" s="150" t="s">
        <v>5607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3048</v>
      </c>
      <c r="W1218" s="39">
        <v>108</v>
      </c>
      <c r="X1218" s="40"/>
      <c r="Y1218" s="40"/>
      <c r="Z1218" s="40"/>
      <c r="AA1218" s="40" t="s">
        <v>2939</v>
      </c>
      <c r="AB1218" s="40"/>
      <c r="AC1218" s="40"/>
      <c r="AD1218" s="40"/>
      <c r="AE1218" s="40" t="s">
        <v>2939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2440</v>
      </c>
      <c r="C1219" s="40">
        <v>482</v>
      </c>
      <c r="D1219" s="38" t="s">
        <v>2432</v>
      </c>
      <c r="E1219" s="40" t="s">
        <v>2963</v>
      </c>
      <c r="F1219" s="40" t="s">
        <v>4366</v>
      </c>
      <c r="G1219" s="50"/>
      <c r="H1219" s="150" t="s">
        <v>5607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3048</v>
      </c>
      <c r="W1219" s="39">
        <v>108</v>
      </c>
      <c r="X1219" s="40"/>
      <c r="Y1219" s="40"/>
      <c r="Z1219" s="40"/>
      <c r="AA1219" s="40" t="s">
        <v>2939</v>
      </c>
      <c r="AB1219" s="40"/>
      <c r="AC1219" s="40"/>
      <c r="AD1219" s="40"/>
      <c r="AE1219" s="40" t="s">
        <v>2898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2441</v>
      </c>
      <c r="C1220" s="40">
        <v>483</v>
      </c>
      <c r="D1220" s="38" t="s">
        <v>2432</v>
      </c>
      <c r="E1220" s="40" t="s">
        <v>2963</v>
      </c>
      <c r="F1220" s="40" t="s">
        <v>4367</v>
      </c>
      <c r="G1220" s="50"/>
      <c r="H1220" s="150" t="s">
        <v>5607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3048</v>
      </c>
      <c r="W1220" s="39">
        <v>108</v>
      </c>
      <c r="X1220" s="40"/>
      <c r="Y1220" s="40"/>
      <c r="Z1220" s="40"/>
      <c r="AA1220" s="40" t="s">
        <v>2939</v>
      </c>
      <c r="AB1220" s="40"/>
      <c r="AC1220" s="40"/>
      <c r="AD1220" s="40"/>
      <c r="AE1220" s="40" t="s">
        <v>2898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2442</v>
      </c>
      <c r="C1221" s="40">
        <v>484</v>
      </c>
      <c r="D1221" s="38" t="s">
        <v>2432</v>
      </c>
      <c r="E1221" s="40" t="s">
        <v>2963</v>
      </c>
      <c r="F1221" s="40" t="s">
        <v>4368</v>
      </c>
      <c r="G1221" s="50"/>
      <c r="H1221" s="150" t="s">
        <v>5607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3048</v>
      </c>
      <c r="W1221" s="39">
        <v>108</v>
      </c>
      <c r="X1221" s="40"/>
      <c r="Y1221" s="40"/>
      <c r="Z1221" s="40"/>
      <c r="AA1221" s="40" t="s">
        <v>2939</v>
      </c>
      <c r="AB1221" s="40"/>
      <c r="AC1221" s="40"/>
      <c r="AD1221" s="40"/>
      <c r="AE1221" s="40" t="s">
        <v>2898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2443</v>
      </c>
      <c r="C1222" s="40">
        <v>485</v>
      </c>
      <c r="D1222" s="38" t="s">
        <v>2432</v>
      </c>
      <c r="E1222" s="40" t="s">
        <v>2963</v>
      </c>
      <c r="F1222" s="40" t="s">
        <v>4369</v>
      </c>
      <c r="G1222" s="50"/>
      <c r="H1222" s="150" t="s">
        <v>5607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3048</v>
      </c>
      <c r="W1222" s="39">
        <v>108</v>
      </c>
      <c r="X1222" s="40"/>
      <c r="Y1222" s="40"/>
      <c r="Z1222" s="40"/>
      <c r="AA1222" s="40" t="s">
        <v>2939</v>
      </c>
      <c r="AB1222" s="40"/>
      <c r="AC1222" s="40"/>
      <c r="AD1222" s="40"/>
      <c r="AE1222" s="40" t="s">
        <v>2939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2444</v>
      </c>
      <c r="C1223" s="40">
        <v>486</v>
      </c>
      <c r="D1223" s="38" t="s">
        <v>2432</v>
      </c>
      <c r="E1223" s="40" t="s">
        <v>2963</v>
      </c>
      <c r="F1223" s="40" t="s">
        <v>4370</v>
      </c>
      <c r="G1223" s="50"/>
      <c r="H1223" s="150" t="s">
        <v>5607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3048</v>
      </c>
      <c r="W1223" s="39">
        <v>108</v>
      </c>
      <c r="X1223" s="40"/>
      <c r="Y1223" s="40"/>
      <c r="Z1223" s="40"/>
      <c r="AA1223" s="40" t="s">
        <v>2939</v>
      </c>
      <c r="AB1223" s="40"/>
      <c r="AC1223" s="40"/>
      <c r="AD1223" s="40"/>
      <c r="AE1223" s="40" t="s">
        <v>2939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2445</v>
      </c>
      <c r="C1224" s="40">
        <v>487</v>
      </c>
      <c r="D1224" s="38" t="s">
        <v>2432</v>
      </c>
      <c r="E1224" s="40" t="s">
        <v>2963</v>
      </c>
      <c r="F1224" s="40" t="s">
        <v>4371</v>
      </c>
      <c r="G1224" s="50"/>
      <c r="H1224" s="150" t="s">
        <v>5607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3048</v>
      </c>
      <c r="W1224" s="39">
        <v>108</v>
      </c>
      <c r="X1224" s="40"/>
      <c r="Y1224" s="40"/>
      <c r="Z1224" s="40"/>
      <c r="AA1224" s="40" t="s">
        <v>2939</v>
      </c>
      <c r="AB1224" s="40"/>
      <c r="AC1224" s="40"/>
      <c r="AD1224" s="40"/>
      <c r="AE1224" s="40" t="s">
        <v>2939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2446</v>
      </c>
      <c r="C1225" s="40">
        <v>488</v>
      </c>
      <c r="D1225" s="38" t="s">
        <v>2432</v>
      </c>
      <c r="E1225" s="40" t="s">
        <v>2963</v>
      </c>
      <c r="F1225" s="40" t="s">
        <v>4372</v>
      </c>
      <c r="G1225" s="50"/>
      <c r="H1225" s="150" t="s">
        <v>5607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3048</v>
      </c>
      <c r="W1225" s="39">
        <v>108</v>
      </c>
      <c r="X1225" s="40"/>
      <c r="Y1225" s="40"/>
      <c r="Z1225" s="40"/>
      <c r="AA1225" s="40" t="s">
        <v>2939</v>
      </c>
      <c r="AB1225" s="40"/>
      <c r="AC1225" s="40"/>
      <c r="AD1225" s="40"/>
      <c r="AE1225" s="40" t="s">
        <v>2898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2447</v>
      </c>
      <c r="C1226" s="40">
        <v>489</v>
      </c>
      <c r="D1226" s="38" t="s">
        <v>2432</v>
      </c>
      <c r="E1226" s="40" t="s">
        <v>2963</v>
      </c>
      <c r="F1226" s="40" t="s">
        <v>4373</v>
      </c>
      <c r="G1226" s="50" t="s">
        <v>5604</v>
      </c>
      <c r="H1226" s="150" t="s">
        <v>5606</v>
      </c>
      <c r="I1226" s="50" t="s">
        <v>5609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575</v>
      </c>
      <c r="U1226" s="2" t="str">
        <f>U1228</f>
        <v>監測</v>
      </c>
      <c r="V1226" s="39" t="s">
        <v>3048</v>
      </c>
      <c r="W1226" s="39">
        <v>109</v>
      </c>
      <c r="X1226" s="40"/>
      <c r="Y1226" s="40"/>
      <c r="Z1226" s="40"/>
      <c r="AA1226" s="40" t="s">
        <v>2939</v>
      </c>
      <c r="AB1226" s="40"/>
      <c r="AC1226" s="40"/>
      <c r="AD1226" s="40"/>
      <c r="AE1226" s="40" t="s">
        <v>2898</v>
      </c>
      <c r="AF1226" s="40" t="s">
        <v>2939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2448</v>
      </c>
      <c r="C1227" s="40">
        <v>491</v>
      </c>
      <c r="D1227" s="38" t="s">
        <v>2432</v>
      </c>
      <c r="E1227" s="40" t="s">
        <v>2963</v>
      </c>
      <c r="F1227" s="40" t="s">
        <v>4374</v>
      </c>
      <c r="G1227" s="50"/>
      <c r="H1227" s="150" t="s">
        <v>5607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3048</v>
      </c>
      <c r="W1227" s="39">
        <v>108</v>
      </c>
      <c r="X1227" s="40"/>
      <c r="Y1227" s="40"/>
      <c r="Z1227" s="40"/>
      <c r="AA1227" s="40" t="s">
        <v>2939</v>
      </c>
      <c r="AB1227" s="40"/>
      <c r="AC1227" s="40"/>
      <c r="AD1227" s="40"/>
      <c r="AE1227" s="40" t="s">
        <v>2898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2454</v>
      </c>
      <c r="C1228" s="40">
        <v>490</v>
      </c>
      <c r="D1228" s="38" t="s">
        <v>2432</v>
      </c>
      <c r="E1228" s="40" t="s">
        <v>2963</v>
      </c>
      <c r="F1228" s="40" t="s">
        <v>4375</v>
      </c>
      <c r="G1228" s="50" t="s">
        <v>5604</v>
      </c>
      <c r="H1228" s="150" t="s">
        <v>5608</v>
      </c>
      <c r="I1228" s="50" t="s">
        <v>5609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575</v>
      </c>
      <c r="U1228" s="2" t="s">
        <v>8</v>
      </c>
      <c r="V1228" s="39" t="s">
        <v>3048</v>
      </c>
      <c r="W1228" s="39">
        <v>109</v>
      </c>
      <c r="X1228" s="40"/>
      <c r="Y1228" s="40"/>
      <c r="Z1228" s="40"/>
      <c r="AA1228" s="40" t="s">
        <v>2939</v>
      </c>
      <c r="AB1228" s="40"/>
      <c r="AC1228" s="40"/>
      <c r="AD1228" s="40"/>
      <c r="AE1228" s="40"/>
      <c r="AF1228" s="40" t="s">
        <v>2939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2501</v>
      </c>
      <c r="C1229" s="83">
        <v>402</v>
      </c>
      <c r="D1229" s="113" t="s">
        <v>3055</v>
      </c>
      <c r="E1229" s="83" t="s">
        <v>2963</v>
      </c>
      <c r="F1229" s="83" t="s">
        <v>4376</v>
      </c>
      <c r="G1229" s="138"/>
      <c r="H1229" s="340" t="s">
        <v>5607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3048</v>
      </c>
      <c r="W1229" s="86">
        <v>108</v>
      </c>
      <c r="X1229" s="83"/>
      <c r="Y1229" s="83"/>
      <c r="Z1229" s="83"/>
      <c r="AA1229" s="83" t="s">
        <v>2939</v>
      </c>
      <c r="AB1229" s="83"/>
      <c r="AC1229" s="83"/>
      <c r="AD1229" s="83"/>
      <c r="AE1229" s="83" t="s">
        <v>2898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2456</v>
      </c>
      <c r="C1230" s="29">
        <v>389</v>
      </c>
      <c r="D1230" s="27" t="s">
        <v>2455</v>
      </c>
      <c r="E1230" s="29" t="s">
        <v>2963</v>
      </c>
      <c r="F1230" s="29" t="s">
        <v>4377</v>
      </c>
      <c r="G1230" s="192"/>
      <c r="H1230" s="145" t="s">
        <v>5607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3048</v>
      </c>
      <c r="W1230" s="28">
        <v>108</v>
      </c>
      <c r="X1230" s="29"/>
      <c r="Y1230" s="29"/>
      <c r="Z1230" s="29"/>
      <c r="AA1230" s="29" t="s">
        <v>2939</v>
      </c>
      <c r="AB1230" s="29"/>
      <c r="AC1230" s="29"/>
      <c r="AD1230" s="29"/>
      <c r="AE1230" s="29" t="s">
        <v>2939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2457</v>
      </c>
      <c r="C1231" s="40">
        <v>391</v>
      </c>
      <c r="D1231" s="38" t="s">
        <v>2455</v>
      </c>
      <c r="E1231" s="40" t="s">
        <v>2963</v>
      </c>
      <c r="F1231" s="40" t="s">
        <v>4378</v>
      </c>
      <c r="G1231" s="50"/>
      <c r="H1231" s="150" t="s">
        <v>5607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3048</v>
      </c>
      <c r="W1231" s="39">
        <v>108</v>
      </c>
      <c r="X1231" s="40"/>
      <c r="Y1231" s="40"/>
      <c r="Z1231" s="40"/>
      <c r="AA1231" s="40" t="s">
        <v>2939</v>
      </c>
      <c r="AB1231" s="40"/>
      <c r="AC1231" s="40"/>
      <c r="AD1231" s="40"/>
      <c r="AE1231" s="40" t="s">
        <v>2939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2458</v>
      </c>
      <c r="C1232" s="40">
        <v>392</v>
      </c>
      <c r="D1232" s="38" t="s">
        <v>2455</v>
      </c>
      <c r="E1232" s="40" t="s">
        <v>2963</v>
      </c>
      <c r="F1232" s="40" t="s">
        <v>4379</v>
      </c>
      <c r="G1232" s="50" t="s">
        <v>5604</v>
      </c>
      <c r="H1232" s="150" t="s">
        <v>5606</v>
      </c>
      <c r="I1232" s="50" t="s">
        <v>5609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575</v>
      </c>
      <c r="U1232" s="2" t="s">
        <v>8</v>
      </c>
      <c r="V1232" s="39" t="s">
        <v>3048</v>
      </c>
      <c r="W1232" s="39">
        <v>111</v>
      </c>
      <c r="X1232" s="40"/>
      <c r="Y1232" s="40"/>
      <c r="Z1232" s="40"/>
      <c r="AA1232" s="40" t="s">
        <v>2939</v>
      </c>
      <c r="AB1232" s="40"/>
      <c r="AC1232" s="40"/>
      <c r="AD1232" s="40"/>
      <c r="AE1232" s="40" t="s">
        <v>2939</v>
      </c>
      <c r="AF1232" s="40"/>
      <c r="AG1232" s="40"/>
      <c r="AH1232" s="40" t="s">
        <v>2939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2460</v>
      </c>
      <c r="C1233" s="40">
        <v>397</v>
      </c>
      <c r="D1233" s="38" t="s">
        <v>2455</v>
      </c>
      <c r="E1233" s="40" t="s">
        <v>2963</v>
      </c>
      <c r="F1233" s="40" t="s">
        <v>4380</v>
      </c>
      <c r="G1233" s="50"/>
      <c r="H1233" s="150" t="s">
        <v>5607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3048</v>
      </c>
      <c r="W1233" s="39">
        <v>108</v>
      </c>
      <c r="X1233" s="40"/>
      <c r="Y1233" s="40"/>
      <c r="Z1233" s="40"/>
      <c r="AA1233" s="40" t="s">
        <v>2939</v>
      </c>
      <c r="AB1233" s="40"/>
      <c r="AC1233" s="40"/>
      <c r="AD1233" s="40"/>
      <c r="AE1233" s="40" t="s">
        <v>2939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2461</v>
      </c>
      <c r="C1234" s="40">
        <v>398</v>
      </c>
      <c r="D1234" s="38" t="s">
        <v>2455</v>
      </c>
      <c r="E1234" s="40" t="s">
        <v>2963</v>
      </c>
      <c r="F1234" s="40" t="s">
        <v>4381</v>
      </c>
      <c r="G1234" s="50"/>
      <c r="H1234" s="150" t="s">
        <v>5606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3048</v>
      </c>
      <c r="W1234" s="39">
        <v>108</v>
      </c>
      <c r="X1234" s="40"/>
      <c r="Y1234" s="40"/>
      <c r="Z1234" s="40"/>
      <c r="AA1234" s="40" t="s">
        <v>2939</v>
      </c>
      <c r="AB1234" s="40"/>
      <c r="AC1234" s="40"/>
      <c r="AD1234" s="40"/>
      <c r="AE1234" s="40" t="s">
        <v>2898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2462</v>
      </c>
      <c r="C1235" s="40">
        <v>405</v>
      </c>
      <c r="D1235" s="38" t="s">
        <v>2455</v>
      </c>
      <c r="E1235" s="40" t="s">
        <v>2963</v>
      </c>
      <c r="F1235" s="40" t="s">
        <v>4382</v>
      </c>
      <c r="G1235" s="50"/>
      <c r="H1235" s="150" t="s">
        <v>5607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3048</v>
      </c>
      <c r="W1235" s="39">
        <v>108</v>
      </c>
      <c r="X1235" s="40"/>
      <c r="Y1235" s="40"/>
      <c r="Z1235" s="40"/>
      <c r="AA1235" s="40" t="s">
        <v>2939</v>
      </c>
      <c r="AB1235" s="40"/>
      <c r="AC1235" s="40"/>
      <c r="AD1235" s="40"/>
      <c r="AE1235" s="40" t="s">
        <v>2898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2463</v>
      </c>
      <c r="C1236" s="40">
        <v>406</v>
      </c>
      <c r="D1236" s="38" t="s">
        <v>2455</v>
      </c>
      <c r="E1236" s="40" t="s">
        <v>2963</v>
      </c>
      <c r="F1236" s="40" t="s">
        <v>4383</v>
      </c>
      <c r="G1236" s="50"/>
      <c r="H1236" s="150" t="s">
        <v>5607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3048</v>
      </c>
      <c r="W1236" s="39">
        <v>104</v>
      </c>
      <c r="X1236" s="40"/>
      <c r="Y1236" s="40"/>
      <c r="Z1236" s="40"/>
      <c r="AA1236" s="40" t="s">
        <v>2939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2464</v>
      </c>
      <c r="C1237" s="40">
        <v>407</v>
      </c>
      <c r="D1237" s="38" t="s">
        <v>2455</v>
      </c>
      <c r="E1237" s="40" t="s">
        <v>2963</v>
      </c>
      <c r="F1237" s="40" t="s">
        <v>4384</v>
      </c>
      <c r="G1237" s="50"/>
      <c r="H1237" s="150" t="s">
        <v>5607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3048</v>
      </c>
      <c r="W1237" s="39">
        <v>108</v>
      </c>
      <c r="X1237" s="40"/>
      <c r="Y1237" s="40"/>
      <c r="Z1237" s="40"/>
      <c r="AA1237" s="40" t="s">
        <v>2939</v>
      </c>
      <c r="AB1237" s="40"/>
      <c r="AC1237" s="40"/>
      <c r="AD1237" s="40"/>
      <c r="AE1237" s="40" t="s">
        <v>2898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2466</v>
      </c>
      <c r="C1238" s="40">
        <v>410</v>
      </c>
      <c r="D1238" s="38" t="s">
        <v>2455</v>
      </c>
      <c r="E1238" s="40" t="s">
        <v>2963</v>
      </c>
      <c r="F1238" s="40" t="s">
        <v>4385</v>
      </c>
      <c r="G1238" s="50"/>
      <c r="H1238" s="150" t="s">
        <v>5607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566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3048</v>
      </c>
      <c r="W1238" s="39">
        <v>108</v>
      </c>
      <c r="X1238" s="40"/>
      <c r="Y1238" s="40"/>
      <c r="Z1238" s="40"/>
      <c r="AA1238" s="40" t="s">
        <v>2939</v>
      </c>
      <c r="AB1238" s="40"/>
      <c r="AC1238" s="40"/>
      <c r="AD1238" s="40"/>
      <c r="AE1238" s="40" t="s">
        <v>2898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2467</v>
      </c>
      <c r="C1239" s="40">
        <v>411</v>
      </c>
      <c r="D1239" s="38" t="s">
        <v>2455</v>
      </c>
      <c r="E1239" s="40" t="s">
        <v>2963</v>
      </c>
      <c r="F1239" s="40" t="s">
        <v>4386</v>
      </c>
      <c r="G1239" s="50"/>
      <c r="H1239" s="150" t="s">
        <v>5606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3048</v>
      </c>
      <c r="W1239" s="39">
        <v>108</v>
      </c>
      <c r="X1239" s="40"/>
      <c r="Y1239" s="40"/>
      <c r="Z1239" s="40"/>
      <c r="AA1239" s="40" t="s">
        <v>2939</v>
      </c>
      <c r="AB1239" s="40"/>
      <c r="AC1239" s="40"/>
      <c r="AD1239" s="40"/>
      <c r="AE1239" s="40" t="s">
        <v>2898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2469</v>
      </c>
      <c r="C1240" s="40">
        <v>390</v>
      </c>
      <c r="D1240" s="38" t="s">
        <v>2455</v>
      </c>
      <c r="E1240" s="40" t="s">
        <v>2963</v>
      </c>
      <c r="F1240" s="40" t="s">
        <v>4387</v>
      </c>
      <c r="G1240" s="50"/>
      <c r="H1240" s="150" t="s">
        <v>5608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3048</v>
      </c>
      <c r="W1240" s="39">
        <v>108</v>
      </c>
      <c r="X1240" s="40"/>
      <c r="Y1240" s="40"/>
      <c r="Z1240" s="40"/>
      <c r="AA1240" s="40" t="s">
        <v>2939</v>
      </c>
      <c r="AB1240" s="40"/>
      <c r="AC1240" s="40"/>
      <c r="AD1240" s="40"/>
      <c r="AE1240" s="40" t="s">
        <v>2939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2470</v>
      </c>
      <c r="C1241" s="40">
        <v>399</v>
      </c>
      <c r="D1241" s="38" t="s">
        <v>2455</v>
      </c>
      <c r="E1241" s="40" t="s">
        <v>2963</v>
      </c>
      <c r="F1241" s="40" t="s">
        <v>4388</v>
      </c>
      <c r="G1241" s="50"/>
      <c r="H1241" s="150" t="s">
        <v>5608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3048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2898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2471</v>
      </c>
      <c r="C1242" s="40">
        <v>408</v>
      </c>
      <c r="D1242" s="38" t="s">
        <v>2455</v>
      </c>
      <c r="E1242" s="40" t="s">
        <v>2963</v>
      </c>
      <c r="F1242" s="40" t="s">
        <v>4389</v>
      </c>
      <c r="G1242" s="50"/>
      <c r="H1242" s="150" t="s">
        <v>5607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3048</v>
      </c>
      <c r="W1242" s="39">
        <v>104</v>
      </c>
      <c r="X1242" s="40"/>
      <c r="Y1242" s="40"/>
      <c r="Z1242" s="40"/>
      <c r="AA1242" s="40" t="s">
        <v>2939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2500</v>
      </c>
      <c r="C1243" s="58">
        <v>400</v>
      </c>
      <c r="D1243" s="56" t="s">
        <v>3056</v>
      </c>
      <c r="E1243" s="58" t="s">
        <v>2963</v>
      </c>
      <c r="F1243" s="58" t="s">
        <v>4390</v>
      </c>
      <c r="G1243" s="127"/>
      <c r="H1243" s="226" t="s">
        <v>5607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3048</v>
      </c>
      <c r="W1243" s="57">
        <v>108</v>
      </c>
      <c r="X1243" s="58"/>
      <c r="Y1243" s="58"/>
      <c r="Z1243" s="58"/>
      <c r="AA1243" s="58" t="s">
        <v>2939</v>
      </c>
      <c r="AB1243" s="58"/>
      <c r="AC1243" s="58"/>
      <c r="AD1243" s="58"/>
      <c r="AE1243" s="58" t="s">
        <v>2939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2473</v>
      </c>
      <c r="C1244" s="75">
        <v>395</v>
      </c>
      <c r="D1244" s="67" t="s">
        <v>2472</v>
      </c>
      <c r="E1244" s="75" t="s">
        <v>2963</v>
      </c>
      <c r="F1244" s="75" t="s">
        <v>4391</v>
      </c>
      <c r="G1244" s="178" t="s">
        <v>5604</v>
      </c>
      <c r="H1244" s="414" t="s">
        <v>5606</v>
      </c>
      <c r="I1244" s="178" t="s">
        <v>5609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575</v>
      </c>
      <c r="U1244" s="69" t="s">
        <v>8</v>
      </c>
      <c r="V1244" s="70" t="s">
        <v>3048</v>
      </c>
      <c r="W1244" s="70">
        <v>109</v>
      </c>
      <c r="X1244" s="75"/>
      <c r="Y1244" s="75"/>
      <c r="Z1244" s="75"/>
      <c r="AA1244" s="75" t="s">
        <v>2939</v>
      </c>
      <c r="AB1244" s="75"/>
      <c r="AC1244" s="75"/>
      <c r="AD1244" s="75"/>
      <c r="AE1244" s="75"/>
      <c r="AF1244" s="75" t="s">
        <v>2939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2474</v>
      </c>
      <c r="C1245" s="40">
        <v>396</v>
      </c>
      <c r="D1245" s="38" t="s">
        <v>2472</v>
      </c>
      <c r="E1245" s="40" t="s">
        <v>2963</v>
      </c>
      <c r="F1245" s="40" t="s">
        <v>4392</v>
      </c>
      <c r="G1245" s="50"/>
      <c r="H1245" s="150" t="s">
        <v>5606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3048</v>
      </c>
      <c r="W1245" s="39">
        <v>104</v>
      </c>
      <c r="X1245" s="40"/>
      <c r="Y1245" s="40"/>
      <c r="Z1245" s="40"/>
      <c r="AA1245" s="40" t="s">
        <v>2939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2480</v>
      </c>
      <c r="C1246" s="83">
        <v>394</v>
      </c>
      <c r="D1246" s="113" t="s">
        <v>2472</v>
      </c>
      <c r="E1246" s="83" t="s">
        <v>2963</v>
      </c>
      <c r="F1246" s="83" t="s">
        <v>4393</v>
      </c>
      <c r="G1246" s="138"/>
      <c r="H1246" s="340" t="s">
        <v>5608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3048</v>
      </c>
      <c r="W1246" s="86">
        <v>108</v>
      </c>
      <c r="X1246" s="83"/>
      <c r="Y1246" s="83"/>
      <c r="Z1246" s="83"/>
      <c r="AA1246" s="83" t="s">
        <v>2939</v>
      </c>
      <c r="AB1246" s="83"/>
      <c r="AC1246" s="83"/>
      <c r="AD1246" s="83"/>
      <c r="AE1246" s="83" t="s">
        <v>2939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2489</v>
      </c>
      <c r="C1247" s="29">
        <v>2056</v>
      </c>
      <c r="D1247" s="27" t="s">
        <v>2488</v>
      </c>
      <c r="E1247" s="29" t="s">
        <v>2963</v>
      </c>
      <c r="F1247" s="29" t="s">
        <v>4394</v>
      </c>
      <c r="G1247" s="192"/>
      <c r="H1247" s="145" t="s">
        <v>5606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575</v>
      </c>
      <c r="U1247" s="30" t="s">
        <v>8</v>
      </c>
      <c r="V1247" s="28" t="s">
        <v>3048</v>
      </c>
      <c r="W1247" s="28">
        <v>106</v>
      </c>
      <c r="X1247" s="29"/>
      <c r="Y1247" s="29" t="s">
        <v>2939</v>
      </c>
      <c r="Z1247" s="29"/>
      <c r="AA1247" s="29"/>
      <c r="AB1247" s="29" t="s">
        <v>2943</v>
      </c>
      <c r="AC1247" s="29" t="s">
        <v>2939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3057</v>
      </c>
      <c r="AM1247" s="219"/>
    </row>
    <row r="1248" spans="1:39" ht="14.4" thickBot="1" x14ac:dyDescent="0.35">
      <c r="A1248" s="15">
        <v>1247</v>
      </c>
      <c r="B1248" s="83" t="s">
        <v>2490</v>
      </c>
      <c r="C1248" s="83">
        <v>2489</v>
      </c>
      <c r="D1248" s="113" t="s">
        <v>2488</v>
      </c>
      <c r="E1248" s="83" t="s">
        <v>2963</v>
      </c>
      <c r="F1248" s="83" t="s">
        <v>4394</v>
      </c>
      <c r="G1248" s="138" t="s">
        <v>5604</v>
      </c>
      <c r="H1248" s="340" t="s">
        <v>5606</v>
      </c>
      <c r="I1248" s="138" t="s">
        <v>5609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575</v>
      </c>
      <c r="U1248" s="85" t="s">
        <v>8</v>
      </c>
      <c r="V1248" s="86" t="s">
        <v>3048</v>
      </c>
      <c r="W1248" s="86">
        <v>109</v>
      </c>
      <c r="X1248" s="83"/>
      <c r="Y1248" s="83" t="s">
        <v>2939</v>
      </c>
      <c r="Z1248" s="83"/>
      <c r="AA1248" s="83"/>
      <c r="AB1248" s="83" t="s">
        <v>2943</v>
      </c>
      <c r="AC1248" s="83" t="s">
        <v>2939</v>
      </c>
      <c r="AD1248" s="83"/>
      <c r="AE1248" s="83"/>
      <c r="AF1248" s="83" t="s">
        <v>2939</v>
      </c>
      <c r="AG1248" s="83"/>
      <c r="AH1248" s="83"/>
      <c r="AI1248" s="83"/>
      <c r="AJ1248" s="86"/>
      <c r="AK1248" s="191"/>
      <c r="AL1248" s="157" t="s">
        <v>3057</v>
      </c>
      <c r="AM1248" s="252"/>
    </row>
    <row r="1249" spans="1:39" x14ac:dyDescent="0.3">
      <c r="A1249" s="15">
        <v>1248</v>
      </c>
      <c r="B1249" s="29" t="s">
        <v>2495</v>
      </c>
      <c r="C1249" s="29">
        <v>2024</v>
      </c>
      <c r="D1249" s="27" t="s">
        <v>2493</v>
      </c>
      <c r="E1249" s="29" t="s">
        <v>2963</v>
      </c>
      <c r="F1249" s="29" t="s">
        <v>4395</v>
      </c>
      <c r="G1249" s="192" t="s">
        <v>5604</v>
      </c>
      <c r="H1249" s="145" t="s">
        <v>5606</v>
      </c>
      <c r="I1249" s="192" t="s">
        <v>5609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3048</v>
      </c>
      <c r="W1249" s="28"/>
      <c r="X1249" s="29"/>
      <c r="Y1249" s="29" t="s">
        <v>2939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2496</v>
      </c>
      <c r="C1250" s="83">
        <v>2028</v>
      </c>
      <c r="D1250" s="113" t="s">
        <v>2493</v>
      </c>
      <c r="E1250" s="83" t="s">
        <v>2963</v>
      </c>
      <c r="F1250" s="83" t="s">
        <v>4396</v>
      </c>
      <c r="G1250" s="138" t="s">
        <v>5604</v>
      </c>
      <c r="H1250" s="340" t="s">
        <v>5606</v>
      </c>
      <c r="I1250" s="138" t="s">
        <v>5609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575</v>
      </c>
      <c r="U1250" s="85" t="s">
        <v>8</v>
      </c>
      <c r="V1250" s="86" t="s">
        <v>3048</v>
      </c>
      <c r="W1250" s="86">
        <v>110</v>
      </c>
      <c r="X1250" s="83"/>
      <c r="Y1250" s="83" t="s">
        <v>2939</v>
      </c>
      <c r="Z1250" s="83"/>
      <c r="AA1250" s="83"/>
      <c r="AB1250" s="83"/>
      <c r="AC1250" s="83" t="s">
        <v>2939</v>
      </c>
      <c r="AD1250" s="83"/>
      <c r="AE1250" s="83"/>
      <c r="AF1250" s="83"/>
      <c r="AG1250" s="83" t="s">
        <v>2939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2503</v>
      </c>
      <c r="C1251" s="205">
        <v>1993</v>
      </c>
      <c r="D1251" s="203" t="s">
        <v>2502</v>
      </c>
      <c r="E1251" s="205" t="s">
        <v>2963</v>
      </c>
      <c r="F1251" s="205" t="s">
        <v>4397</v>
      </c>
      <c r="G1251" s="273" t="s">
        <v>5604</v>
      </c>
      <c r="H1251" s="453" t="s">
        <v>5606</v>
      </c>
      <c r="I1251" s="273" t="s">
        <v>5609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575</v>
      </c>
      <c r="U1251" s="206" t="s">
        <v>8</v>
      </c>
      <c r="V1251" s="208" t="s">
        <v>3048</v>
      </c>
      <c r="W1251" s="208">
        <v>109</v>
      </c>
      <c r="X1251" s="205"/>
      <c r="Y1251" s="205" t="s">
        <v>2939</v>
      </c>
      <c r="Z1251" s="205"/>
      <c r="AA1251" s="205"/>
      <c r="AB1251" s="205"/>
      <c r="AC1251" s="205" t="s">
        <v>2898</v>
      </c>
      <c r="AD1251" s="205"/>
      <c r="AE1251" s="205"/>
      <c r="AF1251" s="205" t="s">
        <v>2939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2505</v>
      </c>
      <c r="C1252" s="205">
        <v>1994</v>
      </c>
      <c r="D1252" s="203" t="s">
        <v>2504</v>
      </c>
      <c r="E1252" s="205" t="s">
        <v>2963</v>
      </c>
      <c r="F1252" s="205" t="s">
        <v>4398</v>
      </c>
      <c r="G1252" s="273" t="s">
        <v>5604</v>
      </c>
      <c r="H1252" s="453" t="s">
        <v>5606</v>
      </c>
      <c r="I1252" s="273" t="s">
        <v>5609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575</v>
      </c>
      <c r="U1252" s="206" t="s">
        <v>8</v>
      </c>
      <c r="V1252" s="208" t="s">
        <v>3048</v>
      </c>
      <c r="W1252" s="208">
        <v>111</v>
      </c>
      <c r="X1252" s="205"/>
      <c r="Y1252" s="205" t="s">
        <v>2939</v>
      </c>
      <c r="Z1252" s="205"/>
      <c r="AA1252" s="205"/>
      <c r="AB1252" s="205"/>
      <c r="AC1252" s="205" t="s">
        <v>2939</v>
      </c>
      <c r="AD1252" s="205"/>
      <c r="AE1252" s="205"/>
      <c r="AF1252" s="205"/>
      <c r="AG1252" s="205"/>
      <c r="AH1252" s="205" t="s">
        <v>2939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2507</v>
      </c>
      <c r="C1253" s="114">
        <v>1971</v>
      </c>
      <c r="D1253" s="27" t="s">
        <v>2506</v>
      </c>
      <c r="E1253" s="29" t="s">
        <v>2963</v>
      </c>
      <c r="F1253" s="29" t="s">
        <v>4399</v>
      </c>
      <c r="G1253" s="192"/>
      <c r="H1253" s="145" t="s">
        <v>5606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55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3048</v>
      </c>
      <c r="W1253" s="28">
        <v>106</v>
      </c>
      <c r="X1253" s="29"/>
      <c r="Y1253" s="29"/>
      <c r="Z1253" s="29" t="s">
        <v>2943</v>
      </c>
      <c r="AA1253" s="29"/>
      <c r="AB1253" s="29"/>
      <c r="AC1253" s="29" t="s">
        <v>2939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2508</v>
      </c>
      <c r="C1254" s="324">
        <v>1972</v>
      </c>
      <c r="D1254" s="56" t="s">
        <v>2506</v>
      </c>
      <c r="E1254" s="58" t="s">
        <v>2963</v>
      </c>
      <c r="F1254" s="58" t="s">
        <v>4400</v>
      </c>
      <c r="G1254" s="127" t="s">
        <v>5604</v>
      </c>
      <c r="H1254" s="226" t="s">
        <v>5606</v>
      </c>
      <c r="I1254" s="127" t="s">
        <v>5609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575</v>
      </c>
      <c r="U1254" s="59" t="s">
        <v>8</v>
      </c>
      <c r="V1254" s="57" t="s">
        <v>3048</v>
      </c>
      <c r="W1254" s="57">
        <v>110</v>
      </c>
      <c r="X1254" s="58"/>
      <c r="Y1254" s="58"/>
      <c r="Z1254" s="58" t="s">
        <v>2943</v>
      </c>
      <c r="AA1254" s="58"/>
      <c r="AB1254" s="58"/>
      <c r="AC1254" s="58" t="s">
        <v>2939</v>
      </c>
      <c r="AD1254" s="58"/>
      <c r="AE1254" s="58"/>
      <c r="AF1254" s="58"/>
      <c r="AG1254" s="58" t="s">
        <v>2939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2510</v>
      </c>
      <c r="C1255" s="29">
        <v>1997</v>
      </c>
      <c r="D1255" s="27" t="s">
        <v>2509</v>
      </c>
      <c r="E1255" s="29" t="s">
        <v>2963</v>
      </c>
      <c r="F1255" s="29" t="s">
        <v>4401</v>
      </c>
      <c r="G1255" s="192" t="s">
        <v>5604</v>
      </c>
      <c r="H1255" s="145" t="s">
        <v>5606</v>
      </c>
      <c r="I1255" s="192" t="s">
        <v>5609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122</v>
      </c>
      <c r="Q1255" s="33">
        <v>25.6</v>
      </c>
      <c r="R1255" s="33">
        <v>283</v>
      </c>
      <c r="S1255" s="33">
        <v>143</v>
      </c>
      <c r="T1255" s="30" t="s">
        <v>575</v>
      </c>
      <c r="U1255" s="30" t="s">
        <v>8</v>
      </c>
      <c r="V1255" s="28" t="s">
        <v>3048</v>
      </c>
      <c r="W1255" s="28">
        <v>109</v>
      </c>
      <c r="X1255" s="29"/>
      <c r="Y1255" s="29"/>
      <c r="Z1255" s="29" t="s">
        <v>2939</v>
      </c>
      <c r="AA1255" s="29"/>
      <c r="AB1255" s="29"/>
      <c r="AC1255" s="29" t="s">
        <v>2898</v>
      </c>
      <c r="AD1255" s="29"/>
      <c r="AE1255" s="29"/>
      <c r="AF1255" s="29" t="s">
        <v>2939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2511</v>
      </c>
      <c r="C1256" s="58">
        <v>1999</v>
      </c>
      <c r="D1256" s="56" t="s">
        <v>2509</v>
      </c>
      <c r="E1256" s="58" t="s">
        <v>2963</v>
      </c>
      <c r="F1256" s="58" t="s">
        <v>4402</v>
      </c>
      <c r="G1256" s="127" t="s">
        <v>5604</v>
      </c>
      <c r="H1256" s="226" t="s">
        <v>5606</v>
      </c>
      <c r="I1256" s="127" t="s">
        <v>5609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306</v>
      </c>
      <c r="U1256" s="59" t="s">
        <v>3</v>
      </c>
      <c r="V1256" s="57" t="s">
        <v>3048</v>
      </c>
      <c r="W1256" s="57">
        <v>109</v>
      </c>
      <c r="X1256" s="58"/>
      <c r="Y1256" s="58"/>
      <c r="Z1256" s="58" t="s">
        <v>2939</v>
      </c>
      <c r="AA1256" s="58"/>
      <c r="AB1256" s="58"/>
      <c r="AC1256" s="58"/>
      <c r="AD1256" s="58"/>
      <c r="AE1256" s="58"/>
      <c r="AF1256" s="58" t="s">
        <v>2898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2534</v>
      </c>
      <c r="C1257" s="29">
        <v>1800</v>
      </c>
      <c r="D1257" s="27" t="s">
        <v>2533</v>
      </c>
      <c r="E1257" s="217" t="s">
        <v>2929</v>
      </c>
      <c r="F1257" s="217" t="s">
        <v>4403</v>
      </c>
      <c r="G1257" s="192" t="s">
        <v>5604</v>
      </c>
      <c r="H1257" s="145" t="s">
        <v>5606</v>
      </c>
      <c r="I1257" s="192" t="s">
        <v>5609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287</v>
      </c>
      <c r="Q1257" s="33">
        <v>25.6</v>
      </c>
      <c r="R1257" s="33">
        <v>351</v>
      </c>
      <c r="S1257" s="33">
        <v>187</v>
      </c>
      <c r="T1257" s="30" t="s">
        <v>575</v>
      </c>
      <c r="U1257" s="30" t="s">
        <v>3</v>
      </c>
      <c r="V1257" s="28" t="s">
        <v>3048</v>
      </c>
      <c r="W1257" s="28">
        <v>110</v>
      </c>
      <c r="X1257" s="29"/>
      <c r="Y1257" s="29"/>
      <c r="Z1257" s="29"/>
      <c r="AA1257" s="29"/>
      <c r="AB1257" s="29" t="s">
        <v>2939</v>
      </c>
      <c r="AC1257" s="29"/>
      <c r="AD1257" s="29"/>
      <c r="AE1257" s="29" t="s">
        <v>2898</v>
      </c>
      <c r="AF1257" s="29"/>
      <c r="AG1257" s="29" t="s">
        <v>2939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2535</v>
      </c>
      <c r="C1258" s="58">
        <v>1802</v>
      </c>
      <c r="D1258" s="56" t="s">
        <v>2533</v>
      </c>
      <c r="E1258" s="272" t="s">
        <v>2929</v>
      </c>
      <c r="F1258" s="272" t="s">
        <v>4404</v>
      </c>
      <c r="G1258" s="127" t="s">
        <v>5604</v>
      </c>
      <c r="H1258" s="226" t="s">
        <v>5606</v>
      </c>
      <c r="I1258" s="127" t="s">
        <v>5609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566</v>
      </c>
      <c r="Q1258" s="62">
        <v>25.6</v>
      </c>
      <c r="R1258" s="62">
        <v>393</v>
      </c>
      <c r="S1258" s="62">
        <v>190</v>
      </c>
      <c r="T1258" s="59" t="s">
        <v>575</v>
      </c>
      <c r="U1258" s="59" t="s">
        <v>8</v>
      </c>
      <c r="V1258" s="57" t="s">
        <v>3048</v>
      </c>
      <c r="W1258" s="57">
        <v>110</v>
      </c>
      <c r="X1258" s="58"/>
      <c r="Y1258" s="58"/>
      <c r="Z1258" s="58"/>
      <c r="AA1258" s="58"/>
      <c r="AB1258" s="58" t="s">
        <v>2939</v>
      </c>
      <c r="AC1258" s="58"/>
      <c r="AD1258" s="58"/>
      <c r="AE1258" s="58" t="s">
        <v>2939</v>
      </c>
      <c r="AF1258" s="58"/>
      <c r="AG1258" s="58" t="s">
        <v>2939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2539</v>
      </c>
      <c r="C1259" s="29">
        <v>1629</v>
      </c>
      <c r="D1259" s="27" t="s">
        <v>2537</v>
      </c>
      <c r="E1259" s="29" t="s">
        <v>2929</v>
      </c>
      <c r="F1259" s="29" t="s">
        <v>4405</v>
      </c>
      <c r="G1259" s="192"/>
      <c r="H1259" s="145" t="s">
        <v>5606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3048</v>
      </c>
      <c r="W1259" s="28">
        <v>107</v>
      </c>
      <c r="X1259" s="29"/>
      <c r="Y1259" s="29"/>
      <c r="Z1259" s="29" t="s">
        <v>2939</v>
      </c>
      <c r="AA1259" s="29"/>
      <c r="AB1259" s="29"/>
      <c r="AC1259" s="29"/>
      <c r="AD1259" s="29" t="s">
        <v>2939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2540</v>
      </c>
      <c r="C1260" s="40">
        <v>1587</v>
      </c>
      <c r="D1260" s="38" t="s">
        <v>2537</v>
      </c>
      <c r="E1260" s="40" t="s">
        <v>2929</v>
      </c>
      <c r="F1260" s="40" t="s">
        <v>4406</v>
      </c>
      <c r="G1260" s="50"/>
      <c r="H1260" s="150" t="s">
        <v>5606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3048</v>
      </c>
      <c r="W1260" s="39">
        <v>106</v>
      </c>
      <c r="X1260" s="40"/>
      <c r="Y1260" s="40"/>
      <c r="Z1260" s="40" t="s">
        <v>2939</v>
      </c>
      <c r="AA1260" s="40"/>
      <c r="AB1260" s="40"/>
      <c r="AC1260" s="40" t="s">
        <v>2898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2541</v>
      </c>
      <c r="C1261" s="40">
        <v>1589</v>
      </c>
      <c r="D1261" s="38" t="s">
        <v>2537</v>
      </c>
      <c r="E1261" s="40" t="s">
        <v>2929</v>
      </c>
      <c r="F1261" s="40" t="s">
        <v>4407</v>
      </c>
      <c r="G1261" s="50" t="s">
        <v>5604</v>
      </c>
      <c r="H1261" s="150" t="s">
        <v>5606</v>
      </c>
      <c r="I1261" s="50" t="s">
        <v>5609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575</v>
      </c>
      <c r="U1261" s="2" t="s">
        <v>8</v>
      </c>
      <c r="V1261" s="39" t="s">
        <v>3048</v>
      </c>
      <c r="W1261" s="39">
        <v>109</v>
      </c>
      <c r="X1261" s="40"/>
      <c r="Y1261" s="40"/>
      <c r="Z1261" s="40" t="s">
        <v>2939</v>
      </c>
      <c r="AA1261" s="40"/>
      <c r="AB1261" s="40"/>
      <c r="AC1261" s="40" t="s">
        <v>2898</v>
      </c>
      <c r="AD1261" s="40"/>
      <c r="AE1261" s="40"/>
      <c r="AF1261" s="40" t="s">
        <v>2939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2542</v>
      </c>
      <c r="C1262" s="40">
        <v>1630</v>
      </c>
      <c r="D1262" s="38" t="s">
        <v>2537</v>
      </c>
      <c r="E1262" s="40" t="s">
        <v>2929</v>
      </c>
      <c r="F1262" s="40" t="s">
        <v>4408</v>
      </c>
      <c r="G1262" s="50"/>
      <c r="H1262" s="150" t="s">
        <v>5607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3048</v>
      </c>
      <c r="W1262" s="39">
        <v>107</v>
      </c>
      <c r="X1262" s="40"/>
      <c r="Y1262" s="40"/>
      <c r="Z1262" s="40" t="s">
        <v>2939</v>
      </c>
      <c r="AA1262" s="40"/>
      <c r="AB1262" s="40"/>
      <c r="AC1262" s="40"/>
      <c r="AD1262" s="40" t="s">
        <v>2898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2543</v>
      </c>
      <c r="C1263" s="83">
        <v>1643</v>
      </c>
      <c r="D1263" s="113" t="s">
        <v>2537</v>
      </c>
      <c r="E1263" s="83" t="s">
        <v>2929</v>
      </c>
      <c r="F1263" s="83" t="s">
        <v>4409</v>
      </c>
      <c r="G1263" s="138"/>
      <c r="H1263" s="340" t="s">
        <v>5607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3048</v>
      </c>
      <c r="W1263" s="86">
        <v>107</v>
      </c>
      <c r="X1263" s="83"/>
      <c r="Y1263" s="83"/>
      <c r="Z1263" s="83" t="s">
        <v>2939</v>
      </c>
      <c r="AA1263" s="83"/>
      <c r="AB1263" s="83"/>
      <c r="AC1263" s="83"/>
      <c r="AD1263" s="83" t="s">
        <v>2898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2547</v>
      </c>
      <c r="C1264" s="29">
        <v>148</v>
      </c>
      <c r="D1264" s="27" t="s">
        <v>2546</v>
      </c>
      <c r="E1264" s="29" t="s">
        <v>2963</v>
      </c>
      <c r="F1264" s="29" t="s">
        <v>4410</v>
      </c>
      <c r="G1264" s="192"/>
      <c r="H1264" s="145" t="s">
        <v>5606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138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3048</v>
      </c>
      <c r="W1264" s="28">
        <v>103</v>
      </c>
      <c r="X1264" s="29"/>
      <c r="Y1264" s="29"/>
      <c r="Z1264" s="29" t="s">
        <v>2939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2549</v>
      </c>
      <c r="C1265" s="40">
        <v>158</v>
      </c>
      <c r="D1265" s="38" t="s">
        <v>2546</v>
      </c>
      <c r="E1265" s="40" t="s">
        <v>2963</v>
      </c>
      <c r="F1265" s="40" t="s">
        <v>4411</v>
      </c>
      <c r="G1265" s="50" t="s">
        <v>5604</v>
      </c>
      <c r="H1265" s="150" t="s">
        <v>5606</v>
      </c>
      <c r="I1265" s="50" t="s">
        <v>5609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97</v>
      </c>
      <c r="Q1265" s="43">
        <v>25.6</v>
      </c>
      <c r="R1265" s="43">
        <v>432</v>
      </c>
      <c r="S1265" s="43">
        <v>183</v>
      </c>
      <c r="T1265" s="2" t="s">
        <v>575</v>
      </c>
      <c r="U1265" s="2" t="s">
        <v>8</v>
      </c>
      <c r="V1265" s="39" t="s">
        <v>3048</v>
      </c>
      <c r="W1265" s="39">
        <v>109</v>
      </c>
      <c r="X1265" s="40"/>
      <c r="Y1265" s="40"/>
      <c r="Z1265" s="40" t="s">
        <v>2939</v>
      </c>
      <c r="AA1265" s="40"/>
      <c r="AB1265" s="40"/>
      <c r="AC1265" s="40" t="s">
        <v>2939</v>
      </c>
      <c r="AD1265" s="40"/>
      <c r="AE1265" s="40"/>
      <c r="AF1265" s="40" t="s">
        <v>2939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2550</v>
      </c>
      <c r="C1266" s="142">
        <v>159</v>
      </c>
      <c r="D1266" s="38" t="s">
        <v>2546</v>
      </c>
      <c r="E1266" s="40" t="s">
        <v>2963</v>
      </c>
      <c r="F1266" s="40" t="s">
        <v>4412</v>
      </c>
      <c r="G1266" s="50"/>
      <c r="H1266" s="150" t="s">
        <v>5607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55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3048</v>
      </c>
      <c r="W1266" s="39">
        <v>107</v>
      </c>
      <c r="X1266" s="40"/>
      <c r="Y1266" s="40"/>
      <c r="Z1266" s="40" t="s">
        <v>2943</v>
      </c>
      <c r="AA1266" s="40"/>
      <c r="AB1266" s="40"/>
      <c r="AC1266" s="40"/>
      <c r="AD1266" s="40" t="s">
        <v>2939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2551</v>
      </c>
      <c r="C1267" s="83">
        <v>1637</v>
      </c>
      <c r="D1267" s="113" t="s">
        <v>2546</v>
      </c>
      <c r="E1267" s="83" t="s">
        <v>2929</v>
      </c>
      <c r="F1267" s="83" t="s">
        <v>4413</v>
      </c>
      <c r="G1267" s="138"/>
      <c r="H1267" s="340" t="s">
        <v>5606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3048</v>
      </c>
      <c r="W1267" s="86">
        <v>107</v>
      </c>
      <c r="X1267" s="83"/>
      <c r="Y1267" s="83"/>
      <c r="Z1267" s="83" t="s">
        <v>2939</v>
      </c>
      <c r="AA1267" s="83"/>
      <c r="AB1267" s="83"/>
      <c r="AC1267" s="83"/>
      <c r="AD1267" s="83" t="s">
        <v>2939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2560</v>
      </c>
      <c r="C1268" s="29">
        <v>128</v>
      </c>
      <c r="D1268" s="27" t="s">
        <v>2558</v>
      </c>
      <c r="E1268" s="29" t="s">
        <v>2963</v>
      </c>
      <c r="F1268" s="29" t="s">
        <v>4414</v>
      </c>
      <c r="G1268" s="192" t="s">
        <v>5604</v>
      </c>
      <c r="H1268" s="145" t="s">
        <v>5606</v>
      </c>
      <c r="I1268" s="192" t="s">
        <v>5609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122</v>
      </c>
      <c r="Q1268" s="33">
        <v>39.5</v>
      </c>
      <c r="R1268" s="33">
        <v>494</v>
      </c>
      <c r="S1268" s="33">
        <v>127</v>
      </c>
      <c r="T1268" s="30" t="s">
        <v>575</v>
      </c>
      <c r="U1268" s="30" t="s">
        <v>8</v>
      </c>
      <c r="V1268" s="28" t="s">
        <v>3048</v>
      </c>
      <c r="W1268" s="28">
        <v>111</v>
      </c>
      <c r="X1268" s="29"/>
      <c r="Y1268" s="29"/>
      <c r="Z1268" s="29" t="s">
        <v>2943</v>
      </c>
      <c r="AA1268" s="29"/>
      <c r="AB1268" s="29"/>
      <c r="AC1268" s="29" t="s">
        <v>2939</v>
      </c>
      <c r="AD1268" s="29"/>
      <c r="AE1268" s="29"/>
      <c r="AF1268" s="29"/>
      <c r="AG1268" s="29"/>
      <c r="AH1268" s="29" t="s">
        <v>2939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2563</v>
      </c>
      <c r="C1269" s="40">
        <v>137</v>
      </c>
      <c r="D1269" s="38" t="s">
        <v>2558</v>
      </c>
      <c r="E1269" s="40" t="s">
        <v>2963</v>
      </c>
      <c r="F1269" s="40" t="s">
        <v>4415</v>
      </c>
      <c r="G1269" s="50" t="s">
        <v>5604</v>
      </c>
      <c r="H1269" s="150" t="s">
        <v>5606</v>
      </c>
      <c r="I1269" s="50" t="s">
        <v>5609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214</v>
      </c>
      <c r="Q1269" s="43">
        <v>30.1</v>
      </c>
      <c r="R1269" s="43">
        <v>508</v>
      </c>
      <c r="S1269" s="43">
        <v>197</v>
      </c>
      <c r="T1269" s="2" t="s">
        <v>575</v>
      </c>
      <c r="U1269" s="2" t="s">
        <v>8</v>
      </c>
      <c r="V1269" s="39" t="s">
        <v>3048</v>
      </c>
      <c r="W1269" s="39">
        <v>111</v>
      </c>
      <c r="X1269" s="40"/>
      <c r="Y1269" s="40"/>
      <c r="Z1269" s="40" t="s">
        <v>2939</v>
      </c>
      <c r="AA1269" s="40"/>
      <c r="AB1269" s="40"/>
      <c r="AC1269" s="40"/>
      <c r="AD1269" s="40" t="s">
        <v>2939</v>
      </c>
      <c r="AE1269" s="40"/>
      <c r="AF1269" s="40"/>
      <c r="AG1269" s="40"/>
      <c r="AH1269" s="40" t="s">
        <v>2939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2564</v>
      </c>
      <c r="C1270" s="83">
        <v>138</v>
      </c>
      <c r="D1270" s="113" t="s">
        <v>2558</v>
      </c>
      <c r="E1270" s="83" t="s">
        <v>2963</v>
      </c>
      <c r="F1270" s="83" t="s">
        <v>4416</v>
      </c>
      <c r="G1270" s="138" t="s">
        <v>5604</v>
      </c>
      <c r="H1270" s="340" t="s">
        <v>5608</v>
      </c>
      <c r="I1270" s="138" t="s">
        <v>5609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575</v>
      </c>
      <c r="U1270" s="85" t="s">
        <v>8</v>
      </c>
      <c r="V1270" s="86" t="s">
        <v>3048</v>
      </c>
      <c r="W1270" s="86">
        <v>111</v>
      </c>
      <c r="X1270" s="83"/>
      <c r="Y1270" s="83"/>
      <c r="Z1270" s="83" t="s">
        <v>2939</v>
      </c>
      <c r="AA1270" s="83"/>
      <c r="AB1270" s="83"/>
      <c r="AC1270" s="83"/>
      <c r="AD1270" s="83" t="s">
        <v>2939</v>
      </c>
      <c r="AE1270" s="83"/>
      <c r="AF1270" s="83"/>
      <c r="AG1270" s="83"/>
      <c r="AH1270" s="83" t="s">
        <v>2939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2566</v>
      </c>
      <c r="C1271" s="19">
        <v>125</v>
      </c>
      <c r="D1271" s="17" t="s">
        <v>2565</v>
      </c>
      <c r="E1271" s="19" t="s">
        <v>2963</v>
      </c>
      <c r="F1271" s="19" t="s">
        <v>4417</v>
      </c>
      <c r="G1271" s="255" t="s">
        <v>5604</v>
      </c>
      <c r="H1271" s="434" t="s">
        <v>5606</v>
      </c>
      <c r="I1271" s="255" t="s">
        <v>5609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236</v>
      </c>
      <c r="Q1271" s="23">
        <v>28.2</v>
      </c>
      <c r="R1271" s="23">
        <v>362</v>
      </c>
      <c r="S1271" s="23">
        <v>125</v>
      </c>
      <c r="T1271" s="20" t="s">
        <v>575</v>
      </c>
      <c r="U1271" s="20" t="s">
        <v>8</v>
      </c>
      <c r="V1271" s="222" t="s">
        <v>3048</v>
      </c>
      <c r="W1271" s="222">
        <v>110</v>
      </c>
      <c r="X1271" s="19"/>
      <c r="Y1271" s="19"/>
      <c r="Z1271" s="19" t="s">
        <v>2939</v>
      </c>
      <c r="AA1271" s="19"/>
      <c r="AB1271" s="19"/>
      <c r="AC1271" s="19" t="s">
        <v>2939</v>
      </c>
      <c r="AD1271" s="19"/>
      <c r="AE1271" s="19"/>
      <c r="AF1271" s="19"/>
      <c r="AG1271" s="19" t="s">
        <v>2939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2568</v>
      </c>
      <c r="C1272" s="29">
        <v>495</v>
      </c>
      <c r="D1272" s="27" t="s">
        <v>2567</v>
      </c>
      <c r="E1272" s="29" t="s">
        <v>2963</v>
      </c>
      <c r="F1272" s="29" t="s">
        <v>4418</v>
      </c>
      <c r="G1272" s="192"/>
      <c r="H1272" s="145" t="s">
        <v>5606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3048</v>
      </c>
      <c r="W1272" s="28">
        <v>108</v>
      </c>
      <c r="X1272" s="29"/>
      <c r="Y1272" s="29"/>
      <c r="Z1272" s="29"/>
      <c r="AA1272" s="29" t="s">
        <v>2939</v>
      </c>
      <c r="AB1272" s="29"/>
      <c r="AC1272" s="29"/>
      <c r="AD1272" s="29"/>
      <c r="AE1272" s="29" t="s">
        <v>2939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2569</v>
      </c>
      <c r="C1273" s="40">
        <v>496</v>
      </c>
      <c r="D1273" s="38" t="s">
        <v>2567</v>
      </c>
      <c r="E1273" s="40" t="s">
        <v>2963</v>
      </c>
      <c r="F1273" s="40" t="s">
        <v>4419</v>
      </c>
      <c r="G1273" s="50"/>
      <c r="H1273" s="150" t="s">
        <v>5606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3048</v>
      </c>
      <c r="W1273" s="39">
        <v>104</v>
      </c>
      <c r="X1273" s="40"/>
      <c r="Y1273" s="40"/>
      <c r="Z1273" s="40"/>
      <c r="AA1273" s="40" t="s">
        <v>2939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2570</v>
      </c>
      <c r="C1274" s="40">
        <v>497</v>
      </c>
      <c r="D1274" s="38" t="s">
        <v>2567</v>
      </c>
      <c r="E1274" s="40" t="s">
        <v>2963</v>
      </c>
      <c r="F1274" s="40" t="s">
        <v>4420</v>
      </c>
      <c r="G1274" s="50" t="s">
        <v>5604</v>
      </c>
      <c r="H1274" s="150" t="s">
        <v>5606</v>
      </c>
      <c r="I1274" s="50" t="s">
        <v>5609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575</v>
      </c>
      <c r="U1274" s="2" t="s">
        <v>8</v>
      </c>
      <c r="V1274" s="39" t="s">
        <v>3048</v>
      </c>
      <c r="W1274" s="39">
        <v>109</v>
      </c>
      <c r="X1274" s="40"/>
      <c r="Y1274" s="40"/>
      <c r="Z1274" s="40"/>
      <c r="AA1274" s="40" t="s">
        <v>2939</v>
      </c>
      <c r="AB1274" s="40"/>
      <c r="AC1274" s="40"/>
      <c r="AD1274" s="40"/>
      <c r="AE1274" s="40"/>
      <c r="AF1274" s="40" t="s">
        <v>2939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2571</v>
      </c>
      <c r="C1275" s="83">
        <v>507</v>
      </c>
      <c r="D1275" s="113" t="s">
        <v>2567</v>
      </c>
      <c r="E1275" s="83" t="s">
        <v>2963</v>
      </c>
      <c r="F1275" s="83" t="s">
        <v>4421</v>
      </c>
      <c r="G1275" s="138"/>
      <c r="H1275" s="340" t="s">
        <v>5607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3048</v>
      </c>
      <c r="W1275" s="86">
        <v>104</v>
      </c>
      <c r="X1275" s="83"/>
      <c r="Y1275" s="83"/>
      <c r="Z1275" s="83"/>
      <c r="AA1275" s="83" t="s">
        <v>2939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2585</v>
      </c>
      <c r="C1276" s="205">
        <v>216</v>
      </c>
      <c r="D1276" s="203" t="s">
        <v>2584</v>
      </c>
      <c r="E1276" s="205" t="s">
        <v>2963</v>
      </c>
      <c r="F1276" s="205" t="s">
        <v>4422</v>
      </c>
      <c r="G1276" s="273" t="s">
        <v>5604</v>
      </c>
      <c r="H1276" s="453" t="s">
        <v>5606</v>
      </c>
      <c r="I1276" s="273" t="s">
        <v>5609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575</v>
      </c>
      <c r="U1276" s="206" t="s">
        <v>8</v>
      </c>
      <c r="V1276" s="208" t="s">
        <v>3048</v>
      </c>
      <c r="W1276" s="208">
        <v>109</v>
      </c>
      <c r="X1276" s="205"/>
      <c r="Y1276" s="205" t="s">
        <v>2939</v>
      </c>
      <c r="Z1276" s="205"/>
      <c r="AA1276" s="205"/>
      <c r="AB1276" s="205"/>
      <c r="AC1276" s="205" t="s">
        <v>2939</v>
      </c>
      <c r="AD1276" s="205"/>
      <c r="AE1276" s="205"/>
      <c r="AF1276" s="205" t="s">
        <v>2939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2589</v>
      </c>
      <c r="C1277" s="205">
        <v>2027</v>
      </c>
      <c r="D1277" s="203" t="s">
        <v>2588</v>
      </c>
      <c r="E1277" s="205" t="s">
        <v>2963</v>
      </c>
      <c r="F1277" s="205" t="s">
        <v>4423</v>
      </c>
      <c r="G1277" s="273" t="s">
        <v>5604</v>
      </c>
      <c r="H1277" s="453" t="s">
        <v>5606</v>
      </c>
      <c r="I1277" s="273" t="s">
        <v>5609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575</v>
      </c>
      <c r="U1277" s="464" t="s">
        <v>8</v>
      </c>
      <c r="V1277" s="208" t="s">
        <v>3048</v>
      </c>
      <c r="W1277" s="208">
        <v>109</v>
      </c>
      <c r="X1277" s="205"/>
      <c r="Y1277" s="205" t="s">
        <v>2939</v>
      </c>
      <c r="Z1277" s="205"/>
      <c r="AA1277" s="205"/>
      <c r="AB1277" s="205"/>
      <c r="AC1277" s="205" t="s">
        <v>2939</v>
      </c>
      <c r="AD1277" s="205"/>
      <c r="AE1277" s="205"/>
      <c r="AF1277" s="205" t="s">
        <v>2939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2597</v>
      </c>
      <c r="C1278" s="29">
        <v>1959</v>
      </c>
      <c r="D1278" s="27" t="s">
        <v>2596</v>
      </c>
      <c r="E1278" s="29" t="s">
        <v>2963</v>
      </c>
      <c r="F1278" s="29" t="s">
        <v>4424</v>
      </c>
      <c r="G1278" s="192"/>
      <c r="H1278" s="145" t="s">
        <v>5607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3048</v>
      </c>
      <c r="W1278" s="28">
        <v>102</v>
      </c>
      <c r="X1278" s="29"/>
      <c r="Y1278" s="29" t="s">
        <v>2939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2598</v>
      </c>
      <c r="C1279" s="40">
        <v>1960</v>
      </c>
      <c r="D1279" s="38" t="s">
        <v>2596</v>
      </c>
      <c r="E1279" s="40" t="s">
        <v>2963</v>
      </c>
      <c r="F1279" s="40" t="s">
        <v>4425</v>
      </c>
      <c r="G1279" s="50" t="s">
        <v>5604</v>
      </c>
      <c r="H1279" s="150" t="s">
        <v>5606</v>
      </c>
      <c r="I1279" s="50" t="s">
        <v>5609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575</v>
      </c>
      <c r="U1279" s="2" t="s">
        <v>8</v>
      </c>
      <c r="V1279" s="39" t="s">
        <v>3048</v>
      </c>
      <c r="W1279" s="39">
        <v>109</v>
      </c>
      <c r="X1279" s="40"/>
      <c r="Y1279" s="40" t="s">
        <v>2939</v>
      </c>
      <c r="Z1279" s="40"/>
      <c r="AA1279" s="40"/>
      <c r="AB1279" s="40"/>
      <c r="AC1279" s="40" t="s">
        <v>2939</v>
      </c>
      <c r="AD1279" s="40"/>
      <c r="AE1279" s="40"/>
      <c r="AF1279" s="40" t="s">
        <v>2939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2599</v>
      </c>
      <c r="C1280" s="40">
        <v>1961</v>
      </c>
      <c r="D1280" s="38" t="s">
        <v>2596</v>
      </c>
      <c r="E1280" s="40" t="s">
        <v>2963</v>
      </c>
      <c r="F1280" s="40" t="s">
        <v>4426</v>
      </c>
      <c r="G1280" s="50"/>
      <c r="H1280" s="150" t="s">
        <v>5606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3048</v>
      </c>
      <c r="W1280" s="39">
        <v>106</v>
      </c>
      <c r="X1280" s="40"/>
      <c r="Y1280" s="40" t="s">
        <v>2939</v>
      </c>
      <c r="Z1280" s="40"/>
      <c r="AA1280" s="40"/>
      <c r="AB1280" s="40"/>
      <c r="AC1280" s="40" t="s">
        <v>2939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2600</v>
      </c>
      <c r="C1281" s="58">
        <v>1962</v>
      </c>
      <c r="D1281" s="56" t="s">
        <v>2596</v>
      </c>
      <c r="E1281" s="58" t="s">
        <v>2963</v>
      </c>
      <c r="F1281" s="58" t="s">
        <v>4427</v>
      </c>
      <c r="G1281" s="127"/>
      <c r="H1281" s="226" t="s">
        <v>5606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3048</v>
      </c>
      <c r="W1281" s="57">
        <v>106</v>
      </c>
      <c r="X1281" s="58"/>
      <c r="Y1281" s="58" t="s">
        <v>2939</v>
      </c>
      <c r="Z1281" s="58"/>
      <c r="AA1281" s="58"/>
      <c r="AB1281" s="58"/>
      <c r="AC1281" s="58" t="s">
        <v>2939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2602</v>
      </c>
      <c r="C1282" s="29">
        <v>1967</v>
      </c>
      <c r="D1282" s="27" t="s">
        <v>2601</v>
      </c>
      <c r="E1282" s="29" t="s">
        <v>2963</v>
      </c>
      <c r="F1282" s="29" t="s">
        <v>4428</v>
      </c>
      <c r="G1282" s="192" t="s">
        <v>5604</v>
      </c>
      <c r="H1282" s="145" t="s">
        <v>5606</v>
      </c>
      <c r="I1282" s="192" t="s">
        <v>5609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575</v>
      </c>
      <c r="U1282" s="30" t="s">
        <v>8</v>
      </c>
      <c r="V1282" s="28" t="s">
        <v>3048</v>
      </c>
      <c r="W1282" s="28">
        <v>109</v>
      </c>
      <c r="X1282" s="29"/>
      <c r="Y1282" s="29"/>
      <c r="Z1282" s="29" t="s">
        <v>2939</v>
      </c>
      <c r="AA1282" s="29"/>
      <c r="AB1282" s="29"/>
      <c r="AC1282" s="29" t="s">
        <v>2939</v>
      </c>
      <c r="AD1282" s="29"/>
      <c r="AE1282" s="29"/>
      <c r="AF1282" s="29" t="s">
        <v>2939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2603</v>
      </c>
      <c r="C1283" s="40">
        <v>1977</v>
      </c>
      <c r="D1283" s="38" t="s">
        <v>2601</v>
      </c>
      <c r="E1283" s="40" t="s">
        <v>2963</v>
      </c>
      <c r="F1283" s="40" t="s">
        <v>4429</v>
      </c>
      <c r="G1283" s="50"/>
      <c r="H1283" s="150" t="s">
        <v>5606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236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3048</v>
      </c>
      <c r="W1283" s="39">
        <v>103</v>
      </c>
      <c r="X1283" s="40"/>
      <c r="Y1283" s="40"/>
      <c r="Z1283" s="40" t="s">
        <v>2939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2604</v>
      </c>
      <c r="C1284" s="40">
        <v>1984</v>
      </c>
      <c r="D1284" s="38" t="s">
        <v>2601</v>
      </c>
      <c r="E1284" s="40" t="s">
        <v>2963</v>
      </c>
      <c r="F1284" s="40" t="s">
        <v>4430</v>
      </c>
      <c r="G1284" s="50"/>
      <c r="H1284" s="150" t="s">
        <v>5607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172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3048</v>
      </c>
      <c r="W1284" s="39">
        <v>103</v>
      </c>
      <c r="X1284" s="40"/>
      <c r="Y1284" s="40"/>
      <c r="Z1284" s="40" t="s">
        <v>2939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2605</v>
      </c>
      <c r="C1285" s="40">
        <v>1968</v>
      </c>
      <c r="D1285" s="38" t="s">
        <v>2601</v>
      </c>
      <c r="E1285" s="40" t="s">
        <v>2963</v>
      </c>
      <c r="F1285" s="40" t="s">
        <v>4431</v>
      </c>
      <c r="G1285" s="50"/>
      <c r="H1285" s="150" t="s">
        <v>5607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3048</v>
      </c>
      <c r="W1285" s="39">
        <v>106</v>
      </c>
      <c r="X1285" s="40"/>
      <c r="Y1285" s="40"/>
      <c r="Z1285" s="40" t="s">
        <v>2943</v>
      </c>
      <c r="AA1285" s="40"/>
      <c r="AB1285" s="40"/>
      <c r="AC1285" s="40" t="s">
        <v>2898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2606</v>
      </c>
      <c r="C1286" s="40">
        <v>1979</v>
      </c>
      <c r="D1286" s="38" t="s">
        <v>2601</v>
      </c>
      <c r="E1286" s="40" t="s">
        <v>2963</v>
      </c>
      <c r="F1286" s="40" t="s">
        <v>4432</v>
      </c>
      <c r="G1286" s="50"/>
      <c r="H1286" s="150" t="s">
        <v>5607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172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3048</v>
      </c>
      <c r="W1286" s="39">
        <v>106</v>
      </c>
      <c r="X1286" s="40"/>
      <c r="Y1286" s="40"/>
      <c r="Z1286" s="40" t="s">
        <v>2943</v>
      </c>
      <c r="AA1286" s="40"/>
      <c r="AB1286" s="40"/>
      <c r="AC1286" s="40" t="s">
        <v>2898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2607</v>
      </c>
      <c r="C1287" s="40">
        <v>1980</v>
      </c>
      <c r="D1287" s="38" t="s">
        <v>2601</v>
      </c>
      <c r="E1287" s="40" t="s">
        <v>2963</v>
      </c>
      <c r="F1287" s="40" t="s">
        <v>4433</v>
      </c>
      <c r="G1287" s="50" t="s">
        <v>5604</v>
      </c>
      <c r="H1287" s="150" t="s">
        <v>5606</v>
      </c>
      <c r="I1287" s="50" t="s">
        <v>5609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37</v>
      </c>
      <c r="Q1287" s="43">
        <v>23.9</v>
      </c>
      <c r="R1287" s="43">
        <v>291</v>
      </c>
      <c r="S1287" s="43">
        <v>95.8</v>
      </c>
      <c r="T1287" s="2" t="s">
        <v>575</v>
      </c>
      <c r="U1287" s="2" t="s">
        <v>8</v>
      </c>
      <c r="V1287" s="39" t="s">
        <v>3048</v>
      </c>
      <c r="W1287" s="39">
        <v>109</v>
      </c>
      <c r="X1287" s="40"/>
      <c r="Y1287" s="40"/>
      <c r="Z1287" s="40" t="s">
        <v>2939</v>
      </c>
      <c r="AA1287" s="40"/>
      <c r="AB1287" s="40"/>
      <c r="AC1287" s="40" t="s">
        <v>2898</v>
      </c>
      <c r="AD1287" s="40"/>
      <c r="AE1287" s="40"/>
      <c r="AF1287" s="40" t="s">
        <v>2939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2608</v>
      </c>
      <c r="C1288" s="58">
        <v>1987</v>
      </c>
      <c r="D1288" s="56" t="s">
        <v>2601</v>
      </c>
      <c r="E1288" s="58" t="s">
        <v>2963</v>
      </c>
      <c r="F1288" s="58" t="s">
        <v>4434</v>
      </c>
      <c r="G1288" s="127"/>
      <c r="H1288" s="226" t="s">
        <v>5607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3048</v>
      </c>
      <c r="W1288" s="57">
        <v>109</v>
      </c>
      <c r="X1288" s="58"/>
      <c r="Y1288" s="58"/>
      <c r="Z1288" s="58"/>
      <c r="AA1288" s="58"/>
      <c r="AB1288" s="58" t="s">
        <v>2898</v>
      </c>
      <c r="AC1288" s="58" t="s">
        <v>2898</v>
      </c>
      <c r="AD1288" s="58"/>
      <c r="AE1288" s="58" t="s">
        <v>2898</v>
      </c>
      <c r="AF1288" s="58" t="s">
        <v>2939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2610</v>
      </c>
      <c r="C1289" s="19">
        <v>1970</v>
      </c>
      <c r="D1289" s="17" t="s">
        <v>2609</v>
      </c>
      <c r="E1289" s="19" t="s">
        <v>2963</v>
      </c>
      <c r="F1289" s="19" t="s">
        <v>4435</v>
      </c>
      <c r="G1289" s="255" t="s">
        <v>5604</v>
      </c>
      <c r="H1289" s="434" t="s">
        <v>5606</v>
      </c>
      <c r="I1289" s="255" t="s">
        <v>5609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575</v>
      </c>
      <c r="U1289" s="20" t="s">
        <v>8</v>
      </c>
      <c r="V1289" s="222" t="s">
        <v>3048</v>
      </c>
      <c r="W1289" s="222">
        <v>110</v>
      </c>
      <c r="X1289" s="19"/>
      <c r="Y1289" s="19"/>
      <c r="Z1289" s="19" t="s">
        <v>2943</v>
      </c>
      <c r="AA1289" s="19"/>
      <c r="AB1289" s="19"/>
      <c r="AC1289" s="19" t="s">
        <v>2939</v>
      </c>
      <c r="AD1289" s="19"/>
      <c r="AE1289" s="19"/>
      <c r="AF1289" s="19"/>
      <c r="AG1289" s="19" t="s">
        <v>2939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2622</v>
      </c>
      <c r="C1290" s="29">
        <v>1801</v>
      </c>
      <c r="D1290" s="27" t="s">
        <v>2621</v>
      </c>
      <c r="E1290" s="217" t="s">
        <v>2929</v>
      </c>
      <c r="F1290" s="217" t="s">
        <v>4436</v>
      </c>
      <c r="G1290" s="192" t="s">
        <v>5604</v>
      </c>
      <c r="H1290" s="145" t="s">
        <v>5606</v>
      </c>
      <c r="I1290" s="192" t="s">
        <v>5609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575</v>
      </c>
      <c r="U1290" s="30" t="s">
        <v>8</v>
      </c>
      <c r="V1290" s="28" t="s">
        <v>3048</v>
      </c>
      <c r="W1290" s="28">
        <v>110</v>
      </c>
      <c r="X1290" s="29"/>
      <c r="Y1290" s="29"/>
      <c r="Z1290" s="29"/>
      <c r="AA1290" s="29"/>
      <c r="AB1290" s="29" t="s">
        <v>2939</v>
      </c>
      <c r="AC1290" s="29"/>
      <c r="AD1290" s="29"/>
      <c r="AE1290" s="29" t="s">
        <v>2939</v>
      </c>
      <c r="AF1290" s="29"/>
      <c r="AG1290" s="29" t="s">
        <v>2939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2623</v>
      </c>
      <c r="C1291" s="40">
        <v>1804</v>
      </c>
      <c r="D1291" s="38" t="s">
        <v>2621</v>
      </c>
      <c r="E1291" s="221" t="s">
        <v>2929</v>
      </c>
      <c r="F1291" s="221" t="s">
        <v>4437</v>
      </c>
      <c r="G1291" s="50" t="s">
        <v>5604</v>
      </c>
      <c r="H1291" s="150" t="s">
        <v>5606</v>
      </c>
      <c r="I1291" s="50" t="s">
        <v>5609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575</v>
      </c>
      <c r="U1291" s="2" t="s">
        <v>8</v>
      </c>
      <c r="V1291" s="39" t="s">
        <v>3048</v>
      </c>
      <c r="W1291" s="39">
        <v>110</v>
      </c>
      <c r="X1291" s="40"/>
      <c r="Y1291" s="40"/>
      <c r="Z1291" s="40"/>
      <c r="AA1291" s="40"/>
      <c r="AB1291" s="40" t="s">
        <v>2939</v>
      </c>
      <c r="AC1291" s="40"/>
      <c r="AD1291" s="40"/>
      <c r="AE1291" s="40" t="s">
        <v>2939</v>
      </c>
      <c r="AF1291" s="40"/>
      <c r="AG1291" s="40" t="s">
        <v>2939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2624</v>
      </c>
      <c r="C1292" s="83">
        <v>1803</v>
      </c>
      <c r="D1292" s="113" t="s">
        <v>2621</v>
      </c>
      <c r="E1292" s="218" t="s">
        <v>2929</v>
      </c>
      <c r="F1292" s="218" t="s">
        <v>4438</v>
      </c>
      <c r="G1292" s="138" t="s">
        <v>5604</v>
      </c>
      <c r="H1292" s="340" t="s">
        <v>5606</v>
      </c>
      <c r="I1292" s="138" t="s">
        <v>5609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102</v>
      </c>
      <c r="Q1292" s="88">
        <v>32.4</v>
      </c>
      <c r="R1292" s="88">
        <v>273</v>
      </c>
      <c r="S1292" s="88">
        <v>106</v>
      </c>
      <c r="T1292" s="85" t="s">
        <v>575</v>
      </c>
      <c r="U1292" s="85" t="s">
        <v>8</v>
      </c>
      <c r="V1292" s="86" t="s">
        <v>3048</v>
      </c>
      <c r="W1292" s="86">
        <v>110</v>
      </c>
      <c r="X1292" s="83"/>
      <c r="Y1292" s="83"/>
      <c r="Z1292" s="83"/>
      <c r="AA1292" s="83"/>
      <c r="AB1292" s="83" t="s">
        <v>2939</v>
      </c>
      <c r="AC1292" s="83"/>
      <c r="AD1292" s="83"/>
      <c r="AE1292" s="83" t="s">
        <v>2939</v>
      </c>
      <c r="AF1292" s="83"/>
      <c r="AG1292" s="83" t="s">
        <v>2939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2626</v>
      </c>
      <c r="C1293" s="19">
        <v>1660</v>
      </c>
      <c r="D1293" s="17" t="s">
        <v>2625</v>
      </c>
      <c r="E1293" s="315" t="s">
        <v>2929</v>
      </c>
      <c r="F1293" s="315" t="s">
        <v>4439</v>
      </c>
      <c r="G1293" s="255" t="s">
        <v>5604</v>
      </c>
      <c r="H1293" s="434" t="s">
        <v>5606</v>
      </c>
      <c r="I1293" s="255" t="s">
        <v>5609</v>
      </c>
      <c r="J1293" s="23">
        <v>196225</v>
      </c>
      <c r="K1293" s="23">
        <v>2666490</v>
      </c>
      <c r="L1293" s="23" t="s">
        <v>36</v>
      </c>
      <c r="M1293" s="23">
        <v>14.2</v>
      </c>
      <c r="N1293" s="23">
        <v>197</v>
      </c>
      <c r="O1293" s="23">
        <v>132</v>
      </c>
      <c r="P1293" s="23" t="s">
        <v>209</v>
      </c>
      <c r="Q1293" s="23">
        <v>40.1</v>
      </c>
      <c r="R1293" s="23">
        <v>391</v>
      </c>
      <c r="S1293" s="23">
        <v>196</v>
      </c>
      <c r="T1293" s="20" t="s">
        <v>575</v>
      </c>
      <c r="U1293" s="20" t="s">
        <v>8</v>
      </c>
      <c r="V1293" s="222" t="s">
        <v>3048</v>
      </c>
      <c r="W1293" s="222">
        <v>110</v>
      </c>
      <c r="X1293" s="19"/>
      <c r="Y1293" s="19"/>
      <c r="Z1293" s="19"/>
      <c r="AA1293" s="19"/>
      <c r="AB1293" s="19" t="s">
        <v>2939</v>
      </c>
      <c r="AC1293" s="19"/>
      <c r="AD1293" s="19" t="s">
        <v>2939</v>
      </c>
      <c r="AE1293" s="19"/>
      <c r="AF1293" s="19"/>
      <c r="AG1293" s="19" t="s">
        <v>2939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2643</v>
      </c>
      <c r="C1294" s="29">
        <v>154</v>
      </c>
      <c r="D1294" s="27" t="s">
        <v>2642</v>
      </c>
      <c r="E1294" s="29" t="s">
        <v>2963</v>
      </c>
      <c r="F1294" s="29" t="s">
        <v>4440</v>
      </c>
      <c r="G1294" s="192"/>
      <c r="H1294" s="145" t="s">
        <v>5607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615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3048</v>
      </c>
      <c r="W1294" s="28">
        <v>106</v>
      </c>
      <c r="X1294" s="29"/>
      <c r="Y1294" s="29"/>
      <c r="Z1294" s="29" t="s">
        <v>2939</v>
      </c>
      <c r="AA1294" s="29"/>
      <c r="AB1294" s="29"/>
      <c r="AC1294" s="29" t="s">
        <v>2939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2644</v>
      </c>
      <c r="C1295" s="40">
        <v>155</v>
      </c>
      <c r="D1295" s="38" t="s">
        <v>2642</v>
      </c>
      <c r="E1295" s="40" t="s">
        <v>2963</v>
      </c>
      <c r="F1295" s="40" t="s">
        <v>4441</v>
      </c>
      <c r="G1295" s="50" t="s">
        <v>5604</v>
      </c>
      <c r="H1295" s="150" t="s">
        <v>5606</v>
      </c>
      <c r="I1295" s="50" t="s">
        <v>5609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209</v>
      </c>
      <c r="Q1295" s="43">
        <v>24.6</v>
      </c>
      <c r="R1295" s="43">
        <v>448</v>
      </c>
      <c r="S1295" s="43">
        <v>154</v>
      </c>
      <c r="T1295" s="2" t="s">
        <v>575</v>
      </c>
      <c r="U1295" s="2" t="s">
        <v>8</v>
      </c>
      <c r="V1295" s="39" t="s">
        <v>3048</v>
      </c>
      <c r="W1295" s="39">
        <v>109</v>
      </c>
      <c r="X1295" s="40"/>
      <c r="Y1295" s="40"/>
      <c r="Z1295" s="40" t="s">
        <v>2939</v>
      </c>
      <c r="AA1295" s="40"/>
      <c r="AB1295" s="40"/>
      <c r="AC1295" s="40" t="s">
        <v>2939</v>
      </c>
      <c r="AD1295" s="40"/>
      <c r="AE1295" s="40"/>
      <c r="AF1295" s="40" t="s">
        <v>2939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2645</v>
      </c>
      <c r="C1296" s="40">
        <v>156</v>
      </c>
      <c r="D1296" s="38" t="s">
        <v>2642</v>
      </c>
      <c r="E1296" s="40" t="s">
        <v>2963</v>
      </c>
      <c r="F1296" s="40" t="s">
        <v>4442</v>
      </c>
      <c r="G1296" s="50"/>
      <c r="H1296" s="150" t="s">
        <v>5606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3048</v>
      </c>
      <c r="W1296" s="39">
        <v>106</v>
      </c>
      <c r="X1296" s="40"/>
      <c r="Y1296" s="40"/>
      <c r="Z1296" s="40" t="s">
        <v>2939</v>
      </c>
      <c r="AA1296" s="40"/>
      <c r="AB1296" s="40"/>
      <c r="AC1296" s="40" t="s">
        <v>2939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2646</v>
      </c>
      <c r="C1297" s="40">
        <v>157</v>
      </c>
      <c r="D1297" s="38" t="s">
        <v>2642</v>
      </c>
      <c r="E1297" s="40" t="s">
        <v>2963</v>
      </c>
      <c r="F1297" s="40" t="s">
        <v>4443</v>
      </c>
      <c r="G1297" s="50"/>
      <c r="H1297" s="150" t="s">
        <v>5607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97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3048</v>
      </c>
      <c r="W1297" s="39">
        <v>107</v>
      </c>
      <c r="X1297" s="40"/>
      <c r="Y1297" s="40"/>
      <c r="Z1297" s="40" t="s">
        <v>2939</v>
      </c>
      <c r="AA1297" s="40"/>
      <c r="AB1297" s="40"/>
      <c r="AC1297" s="40"/>
      <c r="AD1297" s="40" t="s">
        <v>2939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2647</v>
      </c>
      <c r="C1298" s="40">
        <v>172</v>
      </c>
      <c r="D1298" s="38" t="s">
        <v>2642</v>
      </c>
      <c r="E1298" s="40" t="s">
        <v>2963</v>
      </c>
      <c r="F1298" s="40" t="s">
        <v>4444</v>
      </c>
      <c r="G1298" s="50"/>
      <c r="H1298" s="150" t="s">
        <v>5607</v>
      </c>
      <c r="I1298" s="50"/>
      <c r="J1298" s="43">
        <v>197294.59059199999</v>
      </c>
      <c r="K1298" s="43">
        <v>2666539.7009399999</v>
      </c>
      <c r="L1298" s="43" t="s">
        <v>1073</v>
      </c>
      <c r="M1298" s="44">
        <v>11.3</v>
      </c>
      <c r="N1298" s="43">
        <v>87.9</v>
      </c>
      <c r="O1298" s="43">
        <v>101</v>
      </c>
      <c r="P1298" s="43" t="s">
        <v>233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3048</v>
      </c>
      <c r="W1298" s="39">
        <v>106</v>
      </c>
      <c r="X1298" s="40"/>
      <c r="Y1298" s="40"/>
      <c r="Z1298" s="40" t="s">
        <v>2939</v>
      </c>
      <c r="AA1298" s="40"/>
      <c r="AB1298" s="40"/>
      <c r="AC1298" s="40" t="s">
        <v>2939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2648</v>
      </c>
      <c r="C1299" s="40">
        <v>123</v>
      </c>
      <c r="D1299" s="38" t="s">
        <v>2642</v>
      </c>
      <c r="E1299" s="40" t="s">
        <v>2963</v>
      </c>
      <c r="F1299" s="40" t="s">
        <v>4445</v>
      </c>
      <c r="G1299" s="50"/>
      <c r="H1299" s="150" t="s">
        <v>5607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3048</v>
      </c>
      <c r="W1299" s="39">
        <v>106</v>
      </c>
      <c r="X1299" s="40"/>
      <c r="Y1299" s="40"/>
      <c r="Z1299" s="40" t="s">
        <v>2939</v>
      </c>
      <c r="AA1299" s="40"/>
      <c r="AB1299" s="40"/>
      <c r="AC1299" s="40" t="s">
        <v>2898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2649</v>
      </c>
      <c r="C1300" s="40">
        <v>151</v>
      </c>
      <c r="D1300" s="38" t="s">
        <v>2642</v>
      </c>
      <c r="E1300" s="40" t="s">
        <v>2963</v>
      </c>
      <c r="F1300" s="40" t="s">
        <v>4446</v>
      </c>
      <c r="G1300" s="50"/>
      <c r="H1300" s="150" t="s">
        <v>5606</v>
      </c>
      <c r="I1300" s="50"/>
      <c r="J1300" s="43">
        <v>197251.75038000001</v>
      </c>
      <c r="K1300" s="43">
        <v>2666431.0536099998</v>
      </c>
      <c r="L1300" s="43" t="s">
        <v>2650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3048</v>
      </c>
      <c r="W1300" s="39">
        <v>106</v>
      </c>
      <c r="X1300" s="40"/>
      <c r="Y1300" s="40"/>
      <c r="Z1300" s="40" t="s">
        <v>2939</v>
      </c>
      <c r="AA1300" s="40"/>
      <c r="AB1300" s="40"/>
      <c r="AC1300" s="40" t="s">
        <v>2898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2652</v>
      </c>
      <c r="C1301" s="83">
        <v>177</v>
      </c>
      <c r="D1301" s="113" t="s">
        <v>2642</v>
      </c>
      <c r="E1301" s="83" t="s">
        <v>2963</v>
      </c>
      <c r="F1301" s="83" t="s">
        <v>4447</v>
      </c>
      <c r="G1301" s="138"/>
      <c r="H1301" s="340" t="s">
        <v>5607</v>
      </c>
      <c r="I1301" s="138"/>
      <c r="J1301" s="88">
        <v>197284.78207099999</v>
      </c>
      <c r="K1301" s="88">
        <v>2666537.78963</v>
      </c>
      <c r="L1301" s="88" t="s">
        <v>2653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3048</v>
      </c>
      <c r="W1301" s="86">
        <v>106</v>
      </c>
      <c r="X1301" s="83"/>
      <c r="Y1301" s="83"/>
      <c r="Z1301" s="83" t="s">
        <v>2939</v>
      </c>
      <c r="AA1301" s="83"/>
      <c r="AB1301" s="83"/>
      <c r="AC1301" s="83" t="s">
        <v>2898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2656</v>
      </c>
      <c r="C1302" s="29">
        <v>145</v>
      </c>
      <c r="D1302" s="27" t="s">
        <v>2654</v>
      </c>
      <c r="E1302" s="29" t="s">
        <v>2963</v>
      </c>
      <c r="F1302" s="29" t="s">
        <v>4448</v>
      </c>
      <c r="G1302" s="192" t="s">
        <v>5604</v>
      </c>
      <c r="H1302" s="145" t="s">
        <v>5606</v>
      </c>
      <c r="I1302" s="192" t="s">
        <v>5609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214</v>
      </c>
      <c r="Q1302" s="33">
        <v>23.9</v>
      </c>
      <c r="R1302" s="33">
        <v>332</v>
      </c>
      <c r="S1302" s="33">
        <v>159</v>
      </c>
      <c r="T1302" s="30" t="s">
        <v>306</v>
      </c>
      <c r="U1302" s="30" t="s">
        <v>3</v>
      </c>
      <c r="V1302" s="28" t="s">
        <v>3048</v>
      </c>
      <c r="W1302" s="28">
        <v>109</v>
      </c>
      <c r="X1302" s="29"/>
      <c r="Y1302" s="29"/>
      <c r="Z1302" s="29" t="s">
        <v>2939</v>
      </c>
      <c r="AA1302" s="29"/>
      <c r="AB1302" s="29"/>
      <c r="AC1302" s="29" t="s">
        <v>2898</v>
      </c>
      <c r="AD1302" s="29"/>
      <c r="AE1302" s="29"/>
      <c r="AF1302" s="29" t="s">
        <v>2898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2657</v>
      </c>
      <c r="C1303" s="40">
        <v>147</v>
      </c>
      <c r="D1303" s="38" t="s">
        <v>2654</v>
      </c>
      <c r="E1303" s="40" t="s">
        <v>2963</v>
      </c>
      <c r="F1303" s="40" t="s">
        <v>4449</v>
      </c>
      <c r="G1303" s="50" t="s">
        <v>5604</v>
      </c>
      <c r="H1303" s="150" t="s">
        <v>5606</v>
      </c>
      <c r="I1303" s="50" t="s">
        <v>5609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77</v>
      </c>
      <c r="Q1303" s="43">
        <v>23.3</v>
      </c>
      <c r="R1303" s="43">
        <v>303</v>
      </c>
      <c r="S1303" s="43">
        <v>148</v>
      </c>
      <c r="T1303" s="2" t="s">
        <v>575</v>
      </c>
      <c r="U1303" s="2" t="s">
        <v>8</v>
      </c>
      <c r="V1303" s="39" t="s">
        <v>3048</v>
      </c>
      <c r="W1303" s="39">
        <v>111</v>
      </c>
      <c r="X1303" s="40"/>
      <c r="Y1303" s="40"/>
      <c r="Z1303" s="40" t="s">
        <v>2939</v>
      </c>
      <c r="AA1303" s="40"/>
      <c r="AB1303" s="40"/>
      <c r="AC1303" s="40" t="s">
        <v>2898</v>
      </c>
      <c r="AD1303" s="40"/>
      <c r="AE1303" s="40"/>
      <c r="AF1303" s="40"/>
      <c r="AG1303" s="40"/>
      <c r="AH1303" s="40" t="s">
        <v>2939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2658</v>
      </c>
      <c r="C1304" s="40">
        <v>150</v>
      </c>
      <c r="D1304" s="38" t="s">
        <v>2654</v>
      </c>
      <c r="E1304" s="40" t="s">
        <v>2963</v>
      </c>
      <c r="F1304" s="40" t="s">
        <v>4450</v>
      </c>
      <c r="G1304" s="50"/>
      <c r="H1304" s="150" t="s">
        <v>5607</v>
      </c>
      <c r="I1304" s="50"/>
      <c r="J1304" s="43">
        <v>197331.63243100001</v>
      </c>
      <c r="K1304" s="43">
        <v>2666401.32711</v>
      </c>
      <c r="L1304" s="43" t="s">
        <v>1629</v>
      </c>
      <c r="M1304" s="43">
        <v>11.5</v>
      </c>
      <c r="N1304" s="43">
        <v>130</v>
      </c>
      <c r="O1304" s="43">
        <v>151</v>
      </c>
      <c r="P1304" s="43" t="s">
        <v>214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3048</v>
      </c>
      <c r="W1304" s="39">
        <v>107</v>
      </c>
      <c r="X1304" s="40"/>
      <c r="Y1304" s="40"/>
      <c r="Z1304" s="40" t="s">
        <v>2939</v>
      </c>
      <c r="AA1304" s="40"/>
      <c r="AB1304" s="40"/>
      <c r="AC1304" s="40"/>
      <c r="AD1304" s="40" t="s">
        <v>2898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2750</v>
      </c>
      <c r="C1305" s="40">
        <v>122</v>
      </c>
      <c r="D1305" s="38" t="s">
        <v>2654</v>
      </c>
      <c r="E1305" s="40" t="s">
        <v>2963</v>
      </c>
      <c r="F1305" s="40" t="s">
        <v>4451</v>
      </c>
      <c r="G1305" s="50" t="s">
        <v>5604</v>
      </c>
      <c r="H1305" s="150" t="s">
        <v>5606</v>
      </c>
      <c r="I1305" s="50" t="s">
        <v>5609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306</v>
      </c>
      <c r="U1305" s="2" t="s">
        <v>3</v>
      </c>
      <c r="V1305" s="39" t="s">
        <v>3048</v>
      </c>
      <c r="W1305" s="39">
        <v>109</v>
      </c>
      <c r="X1305" s="40"/>
      <c r="Y1305" s="40"/>
      <c r="Z1305" s="40" t="s">
        <v>2939</v>
      </c>
      <c r="AA1305" s="40"/>
      <c r="AB1305" s="40"/>
      <c r="AC1305" s="40" t="s">
        <v>2898</v>
      </c>
      <c r="AD1305" s="40"/>
      <c r="AE1305" s="40"/>
      <c r="AF1305" s="40" t="s">
        <v>2898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2751</v>
      </c>
      <c r="C1306" s="83">
        <v>144</v>
      </c>
      <c r="D1306" s="113" t="s">
        <v>2654</v>
      </c>
      <c r="E1306" s="83" t="s">
        <v>2963</v>
      </c>
      <c r="F1306" s="83" t="s">
        <v>4452</v>
      </c>
      <c r="G1306" s="138" t="s">
        <v>5604</v>
      </c>
      <c r="H1306" s="340" t="s">
        <v>5607</v>
      </c>
      <c r="I1306" s="138" t="s">
        <v>5609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236</v>
      </c>
      <c r="Q1306" s="88">
        <v>24.2</v>
      </c>
      <c r="R1306" s="88">
        <v>276</v>
      </c>
      <c r="S1306" s="88">
        <v>120</v>
      </c>
      <c r="T1306" s="85" t="s">
        <v>306</v>
      </c>
      <c r="U1306" s="85" t="s">
        <v>3</v>
      </c>
      <c r="V1306" s="86" t="s">
        <v>3048</v>
      </c>
      <c r="W1306" s="86">
        <v>109</v>
      </c>
      <c r="X1306" s="83"/>
      <c r="Y1306" s="83"/>
      <c r="Z1306" s="83" t="s">
        <v>2939</v>
      </c>
      <c r="AA1306" s="83"/>
      <c r="AB1306" s="83"/>
      <c r="AC1306" s="83" t="s">
        <v>2898</v>
      </c>
      <c r="AD1306" s="83"/>
      <c r="AE1306" s="83"/>
      <c r="AF1306" s="83" t="s">
        <v>2898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2666</v>
      </c>
      <c r="C1307" s="29">
        <v>379</v>
      </c>
      <c r="D1307" s="27" t="s">
        <v>2665</v>
      </c>
      <c r="E1307" s="29" t="s">
        <v>2963</v>
      </c>
      <c r="F1307" s="29" t="s">
        <v>4453</v>
      </c>
      <c r="G1307" s="192" t="s">
        <v>5604</v>
      </c>
      <c r="H1307" s="145" t="s">
        <v>5606</v>
      </c>
      <c r="I1307" s="192" t="s">
        <v>5609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575</v>
      </c>
      <c r="U1307" s="30" t="s">
        <v>8</v>
      </c>
      <c r="V1307" s="28" t="s">
        <v>3048</v>
      </c>
      <c r="W1307" s="28">
        <v>109</v>
      </c>
      <c r="X1307" s="29"/>
      <c r="Y1307" s="29"/>
      <c r="Z1307" s="29" t="s">
        <v>2939</v>
      </c>
      <c r="AA1307" s="29"/>
      <c r="AB1307" s="29"/>
      <c r="AC1307" s="29" t="s">
        <v>2939</v>
      </c>
      <c r="AD1307" s="29"/>
      <c r="AE1307" s="29"/>
      <c r="AF1307" s="29" t="s">
        <v>2939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2667</v>
      </c>
      <c r="C1308" s="326">
        <v>653</v>
      </c>
      <c r="D1308" s="56" t="s">
        <v>2665</v>
      </c>
      <c r="E1308" s="58" t="s">
        <v>2963</v>
      </c>
      <c r="F1308" s="58" t="s">
        <v>4454</v>
      </c>
      <c r="G1308" s="127"/>
      <c r="H1308" s="226" t="s">
        <v>5606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3048</v>
      </c>
      <c r="W1308" s="57">
        <v>106</v>
      </c>
      <c r="X1308" s="58"/>
      <c r="Y1308" s="58"/>
      <c r="Z1308" s="58" t="s">
        <v>2943</v>
      </c>
      <c r="AA1308" s="58"/>
      <c r="AB1308" s="58"/>
      <c r="AC1308" s="58" t="s">
        <v>2939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2669</v>
      </c>
      <c r="C1309" s="29">
        <v>380</v>
      </c>
      <c r="D1309" s="27" t="s">
        <v>2668</v>
      </c>
      <c r="E1309" s="29" t="s">
        <v>2963</v>
      </c>
      <c r="F1309" s="29" t="s">
        <v>4455</v>
      </c>
      <c r="G1309" s="192" t="s">
        <v>5604</v>
      </c>
      <c r="H1309" s="145" t="s">
        <v>5606</v>
      </c>
      <c r="I1309" s="192" t="s">
        <v>5609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575</v>
      </c>
      <c r="U1309" s="30" t="s">
        <v>8</v>
      </c>
      <c r="V1309" s="28" t="s">
        <v>3048</v>
      </c>
      <c r="W1309" s="28">
        <v>109</v>
      </c>
      <c r="X1309" s="29"/>
      <c r="Y1309" s="29"/>
      <c r="Z1309" s="29" t="s">
        <v>2939</v>
      </c>
      <c r="AA1309" s="29"/>
      <c r="AB1309" s="29"/>
      <c r="AC1309" s="29" t="s">
        <v>2939</v>
      </c>
      <c r="AD1309" s="29"/>
      <c r="AE1309" s="29"/>
      <c r="AF1309" s="29" t="s">
        <v>2939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2671</v>
      </c>
      <c r="C1310" s="40">
        <v>381</v>
      </c>
      <c r="D1310" s="38" t="s">
        <v>2668</v>
      </c>
      <c r="E1310" s="40" t="s">
        <v>2963</v>
      </c>
      <c r="F1310" s="40" t="s">
        <v>4456</v>
      </c>
      <c r="G1310" s="50" t="s">
        <v>5604</v>
      </c>
      <c r="H1310" s="150" t="s">
        <v>5606</v>
      </c>
      <c r="I1310" s="50" t="s">
        <v>5609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155</v>
      </c>
      <c r="Q1310" s="43">
        <v>28</v>
      </c>
      <c r="R1310" s="43">
        <v>314</v>
      </c>
      <c r="S1310" s="43">
        <v>109</v>
      </c>
      <c r="T1310" s="2" t="s">
        <v>575</v>
      </c>
      <c r="U1310" s="2" t="s">
        <v>8</v>
      </c>
      <c r="V1310" s="39" t="s">
        <v>3048</v>
      </c>
      <c r="W1310" s="39">
        <v>109</v>
      </c>
      <c r="X1310" s="40"/>
      <c r="Y1310" s="40"/>
      <c r="Z1310" s="40" t="s">
        <v>2939</v>
      </c>
      <c r="AA1310" s="40"/>
      <c r="AB1310" s="40"/>
      <c r="AC1310" s="40" t="s">
        <v>2898</v>
      </c>
      <c r="AD1310" s="40"/>
      <c r="AE1310" s="40"/>
      <c r="AF1310" s="40" t="s">
        <v>2939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2673</v>
      </c>
      <c r="C1311" s="83">
        <v>2450</v>
      </c>
      <c r="D1311" s="113" t="s">
        <v>2668</v>
      </c>
      <c r="E1311" s="83" t="s">
        <v>2963</v>
      </c>
      <c r="F1311" s="83" t="s">
        <v>4457</v>
      </c>
      <c r="G1311" s="138"/>
      <c r="H1311" s="340" t="s">
        <v>5608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575</v>
      </c>
      <c r="U1311" s="85" t="str">
        <f>U1310</f>
        <v>監測</v>
      </c>
      <c r="V1311" s="86" t="s">
        <v>3048</v>
      </c>
      <c r="W1311" s="86">
        <v>109</v>
      </c>
      <c r="X1311" s="83"/>
      <c r="Y1311" s="83"/>
      <c r="Z1311" s="83" t="s">
        <v>2939</v>
      </c>
      <c r="AA1311" s="83"/>
      <c r="AB1311" s="83"/>
      <c r="AC1311" s="83" t="s">
        <v>2898</v>
      </c>
      <c r="AD1311" s="83"/>
      <c r="AE1311" s="83"/>
      <c r="AF1311" s="83" t="s">
        <v>2939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2689</v>
      </c>
      <c r="C1312" s="29">
        <v>370</v>
      </c>
      <c r="D1312" s="27" t="s">
        <v>2688</v>
      </c>
      <c r="E1312" s="29" t="s">
        <v>2963</v>
      </c>
      <c r="F1312" s="29" t="s">
        <v>4458</v>
      </c>
      <c r="G1312" s="192" t="s">
        <v>5604</v>
      </c>
      <c r="H1312" s="145" t="s">
        <v>5606</v>
      </c>
      <c r="I1312" s="192" t="s">
        <v>5609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575</v>
      </c>
      <c r="U1312" s="30" t="s">
        <v>8</v>
      </c>
      <c r="V1312" s="28" t="s">
        <v>3048</v>
      </c>
      <c r="W1312" s="28">
        <v>109</v>
      </c>
      <c r="X1312" s="29"/>
      <c r="Y1312" s="29"/>
      <c r="Z1312" s="29" t="s">
        <v>2943</v>
      </c>
      <c r="AA1312" s="29"/>
      <c r="AB1312" s="29"/>
      <c r="AC1312" s="29" t="s">
        <v>2939</v>
      </c>
      <c r="AD1312" s="29"/>
      <c r="AE1312" s="29"/>
      <c r="AF1312" s="29" t="s">
        <v>2939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2690</v>
      </c>
      <c r="C1313" s="40">
        <v>1199</v>
      </c>
      <c r="D1313" s="38" t="s">
        <v>2688</v>
      </c>
      <c r="E1313" s="40" t="s">
        <v>2963</v>
      </c>
      <c r="F1313" s="40" t="s">
        <v>4459</v>
      </c>
      <c r="G1313" s="50"/>
      <c r="H1313" s="150" t="s">
        <v>5606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3048</v>
      </c>
      <c r="W1313" s="39">
        <v>106</v>
      </c>
      <c r="X1313" s="40"/>
      <c r="Y1313" s="106"/>
      <c r="Z1313" s="40"/>
      <c r="AA1313" s="40"/>
      <c r="AB1313" s="40"/>
      <c r="AC1313" s="40" t="s">
        <v>2939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2691</v>
      </c>
      <c r="C1314" s="40">
        <v>1198</v>
      </c>
      <c r="D1314" s="38" t="s">
        <v>2688</v>
      </c>
      <c r="E1314" s="40" t="s">
        <v>2963</v>
      </c>
      <c r="F1314" s="40" t="s">
        <v>4460</v>
      </c>
      <c r="G1314" s="50"/>
      <c r="H1314" s="150" t="s">
        <v>5606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3048</v>
      </c>
      <c r="W1314" s="39">
        <v>106</v>
      </c>
      <c r="X1314" s="40"/>
      <c r="Y1314" s="106"/>
      <c r="Z1314" s="40"/>
      <c r="AA1314" s="40"/>
      <c r="AB1314" s="40"/>
      <c r="AC1314" s="40" t="s">
        <v>2898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2692</v>
      </c>
      <c r="C1315" s="83">
        <v>1200</v>
      </c>
      <c r="D1315" s="113" t="s">
        <v>2688</v>
      </c>
      <c r="E1315" s="83" t="s">
        <v>2963</v>
      </c>
      <c r="F1315" s="83" t="s">
        <v>4461</v>
      </c>
      <c r="G1315" s="138"/>
      <c r="H1315" s="340" t="s">
        <v>5607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3048</v>
      </c>
      <c r="W1315" s="86">
        <v>110</v>
      </c>
      <c r="X1315" s="83"/>
      <c r="Y1315" s="137"/>
      <c r="Z1315" s="83"/>
      <c r="AA1315" s="83" t="s">
        <v>2943</v>
      </c>
      <c r="AB1315" s="83"/>
      <c r="AC1315" s="83"/>
      <c r="AD1315" s="83"/>
      <c r="AE1315" s="83" t="s">
        <v>2939</v>
      </c>
      <c r="AF1315" s="83"/>
      <c r="AG1315" s="83" t="s">
        <v>2898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2699</v>
      </c>
      <c r="C1316" s="29">
        <v>2025</v>
      </c>
      <c r="D1316" s="27" t="s">
        <v>2698</v>
      </c>
      <c r="E1316" s="29" t="s">
        <v>2963</v>
      </c>
      <c r="F1316" s="29" t="s">
        <v>4462</v>
      </c>
      <c r="G1316" s="192" t="s">
        <v>5604</v>
      </c>
      <c r="H1316" s="145" t="s">
        <v>5606</v>
      </c>
      <c r="I1316" s="192" t="s">
        <v>5609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575</v>
      </c>
      <c r="U1316" s="30" t="s">
        <v>8</v>
      </c>
      <c r="V1316" s="28" t="s">
        <v>3048</v>
      </c>
      <c r="W1316" s="28">
        <v>110</v>
      </c>
      <c r="X1316" s="29"/>
      <c r="Y1316" s="29" t="s">
        <v>2939</v>
      </c>
      <c r="Z1316" s="29"/>
      <c r="AA1316" s="29"/>
      <c r="AB1316" s="29"/>
      <c r="AC1316" s="29"/>
      <c r="AD1316" s="29"/>
      <c r="AE1316" s="29"/>
      <c r="AF1316" s="29"/>
      <c r="AG1316" s="29" t="s">
        <v>2939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2700</v>
      </c>
      <c r="C1317" s="58">
        <v>2026</v>
      </c>
      <c r="D1317" s="56" t="s">
        <v>2698</v>
      </c>
      <c r="E1317" s="58" t="s">
        <v>2963</v>
      </c>
      <c r="F1317" s="58" t="s">
        <v>4463</v>
      </c>
      <c r="G1317" s="127" t="s">
        <v>5604</v>
      </c>
      <c r="H1317" s="226" t="s">
        <v>5606</v>
      </c>
      <c r="I1317" s="127" t="s">
        <v>5609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575</v>
      </c>
      <c r="U1317" s="59" t="s">
        <v>8</v>
      </c>
      <c r="V1317" s="57" t="s">
        <v>3048</v>
      </c>
      <c r="W1317" s="57">
        <v>112</v>
      </c>
      <c r="X1317" s="58"/>
      <c r="Y1317" s="58" t="s">
        <v>2939</v>
      </c>
      <c r="Z1317" s="58"/>
      <c r="AA1317" s="58"/>
      <c r="AB1317" s="58"/>
      <c r="AC1317" s="58" t="s">
        <v>2939</v>
      </c>
      <c r="AD1317" s="58"/>
      <c r="AE1317" s="58"/>
      <c r="AF1317" s="58" t="s">
        <v>2939</v>
      </c>
      <c r="AG1317" s="58"/>
      <c r="AH1317" s="58"/>
      <c r="AI1317" s="58" t="s">
        <v>2961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2702</v>
      </c>
      <c r="C1318" s="75">
        <v>1985</v>
      </c>
      <c r="D1318" s="67" t="s">
        <v>2701</v>
      </c>
      <c r="E1318" s="75" t="s">
        <v>2963</v>
      </c>
      <c r="F1318" s="75" t="s">
        <v>4464</v>
      </c>
      <c r="G1318" s="178"/>
      <c r="H1318" s="414" t="s">
        <v>5606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575</v>
      </c>
      <c r="U1318" s="69" t="s">
        <v>8</v>
      </c>
      <c r="V1318" s="70" t="s">
        <v>3048</v>
      </c>
      <c r="W1318" s="70">
        <v>112</v>
      </c>
      <c r="X1318" s="75"/>
      <c r="Y1318" s="75"/>
      <c r="Z1318" s="75" t="s">
        <v>2939</v>
      </c>
      <c r="AA1318" s="75"/>
      <c r="AB1318" s="75"/>
      <c r="AC1318" s="75" t="s">
        <v>2898</v>
      </c>
      <c r="AD1318" s="75"/>
      <c r="AE1318" s="75"/>
      <c r="AF1318" s="75"/>
      <c r="AG1318" s="75"/>
      <c r="AH1318" s="75"/>
      <c r="AI1318" s="75" t="s">
        <v>2961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2703</v>
      </c>
      <c r="C1319" s="83">
        <v>1986</v>
      </c>
      <c r="D1319" s="113" t="s">
        <v>2701</v>
      </c>
      <c r="E1319" s="83" t="s">
        <v>2963</v>
      </c>
      <c r="F1319" s="83" t="s">
        <v>4465</v>
      </c>
      <c r="G1319" s="138"/>
      <c r="H1319" s="340" t="s">
        <v>5606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236</v>
      </c>
      <c r="Q1319" s="88">
        <v>22.9</v>
      </c>
      <c r="R1319" s="88">
        <v>238</v>
      </c>
      <c r="S1319" s="88">
        <v>143</v>
      </c>
      <c r="T1319" s="85" t="s">
        <v>575</v>
      </c>
      <c r="U1319" s="85" t="s">
        <v>8</v>
      </c>
      <c r="V1319" s="86" t="s">
        <v>3048</v>
      </c>
      <c r="W1319" s="86">
        <v>112</v>
      </c>
      <c r="X1319" s="83"/>
      <c r="Y1319" s="83"/>
      <c r="Z1319" s="83" t="s">
        <v>2943</v>
      </c>
      <c r="AA1319" s="83"/>
      <c r="AB1319" s="83"/>
      <c r="AC1319" s="83" t="s">
        <v>2898</v>
      </c>
      <c r="AD1319" s="83"/>
      <c r="AE1319" s="83"/>
      <c r="AF1319" s="83"/>
      <c r="AG1319" s="83"/>
      <c r="AH1319" s="83"/>
      <c r="AI1319" s="83" t="s">
        <v>2961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2713</v>
      </c>
      <c r="C1320" s="29">
        <v>1965</v>
      </c>
      <c r="D1320" s="27" t="s">
        <v>2712</v>
      </c>
      <c r="E1320" s="29" t="s">
        <v>2963</v>
      </c>
      <c r="F1320" s="29" t="s">
        <v>4466</v>
      </c>
      <c r="G1320" s="192"/>
      <c r="H1320" s="145" t="s">
        <v>5606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3048</v>
      </c>
      <c r="W1320" s="28">
        <v>106</v>
      </c>
      <c r="X1320" s="29"/>
      <c r="Y1320" s="29"/>
      <c r="Z1320" s="29" t="s">
        <v>2939</v>
      </c>
      <c r="AA1320" s="29"/>
      <c r="AB1320" s="29"/>
      <c r="AC1320" s="29" t="s">
        <v>2939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2714</v>
      </c>
      <c r="C1321" s="40">
        <v>1966</v>
      </c>
      <c r="D1321" s="38" t="s">
        <v>2712</v>
      </c>
      <c r="E1321" s="40" t="s">
        <v>2963</v>
      </c>
      <c r="F1321" s="40" t="s">
        <v>4467</v>
      </c>
      <c r="G1321" s="50" t="s">
        <v>5604</v>
      </c>
      <c r="H1321" s="150" t="s">
        <v>5606</v>
      </c>
      <c r="I1321" s="50" t="s">
        <v>5609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209</v>
      </c>
      <c r="Q1321" s="43">
        <v>33.299999999999997</v>
      </c>
      <c r="R1321" s="43">
        <v>309</v>
      </c>
      <c r="S1321" s="43">
        <v>68.5</v>
      </c>
      <c r="T1321" s="2" t="s">
        <v>575</v>
      </c>
      <c r="U1321" s="2" t="s">
        <v>8</v>
      </c>
      <c r="V1321" s="39" t="s">
        <v>3048</v>
      </c>
      <c r="W1321" s="39">
        <v>109</v>
      </c>
      <c r="X1321" s="40"/>
      <c r="Y1321" s="40"/>
      <c r="Z1321" s="40" t="s">
        <v>2939</v>
      </c>
      <c r="AA1321" s="40"/>
      <c r="AB1321" s="40"/>
      <c r="AC1321" s="40" t="s">
        <v>2898</v>
      </c>
      <c r="AD1321" s="40"/>
      <c r="AE1321" s="40"/>
      <c r="AF1321" s="40" t="s">
        <v>2939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2715</v>
      </c>
      <c r="C1322" s="40">
        <v>1974</v>
      </c>
      <c r="D1322" s="38" t="s">
        <v>2712</v>
      </c>
      <c r="E1322" s="40" t="s">
        <v>2963</v>
      </c>
      <c r="F1322" s="40" t="s">
        <v>4468</v>
      </c>
      <c r="G1322" s="50"/>
      <c r="H1322" s="150" t="s">
        <v>5606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172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3048</v>
      </c>
      <c r="W1322" s="39">
        <v>106</v>
      </c>
      <c r="X1322" s="40"/>
      <c r="Y1322" s="40"/>
      <c r="Z1322" s="40" t="s">
        <v>2943</v>
      </c>
      <c r="AA1322" s="40"/>
      <c r="AB1322" s="40"/>
      <c r="AC1322" s="40" t="s">
        <v>2898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2716</v>
      </c>
      <c r="C1323" s="83">
        <v>1975</v>
      </c>
      <c r="D1323" s="113" t="s">
        <v>2712</v>
      </c>
      <c r="E1323" s="83" t="s">
        <v>2963</v>
      </c>
      <c r="F1323" s="83" t="s">
        <v>4469</v>
      </c>
      <c r="G1323" s="138"/>
      <c r="H1323" s="340" t="s">
        <v>5607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163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3048</v>
      </c>
      <c r="W1323" s="86">
        <v>106</v>
      </c>
      <c r="X1323" s="83"/>
      <c r="Y1323" s="83"/>
      <c r="Z1323" s="83" t="s">
        <v>2943</v>
      </c>
      <c r="AA1323" s="83"/>
      <c r="AB1323" s="83"/>
      <c r="AC1323" s="83" t="s">
        <v>2898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2718</v>
      </c>
      <c r="C1324" s="19">
        <v>2001</v>
      </c>
      <c r="D1324" s="17" t="s">
        <v>2717</v>
      </c>
      <c r="E1324" s="19" t="s">
        <v>2963</v>
      </c>
      <c r="F1324" s="19" t="s">
        <v>4470</v>
      </c>
      <c r="G1324" s="255" t="s">
        <v>5604</v>
      </c>
      <c r="H1324" s="434" t="s">
        <v>5606</v>
      </c>
      <c r="I1324" s="255" t="s">
        <v>5609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575</v>
      </c>
      <c r="U1324" s="20" t="s">
        <v>8</v>
      </c>
      <c r="V1324" s="222" t="s">
        <v>3048</v>
      </c>
      <c r="W1324" s="222">
        <v>110</v>
      </c>
      <c r="X1324" s="19"/>
      <c r="Y1324" s="19"/>
      <c r="Z1324" s="19" t="s">
        <v>2943</v>
      </c>
      <c r="AA1324" s="19"/>
      <c r="AB1324" s="19"/>
      <c r="AC1324" s="19" t="s">
        <v>2939</v>
      </c>
      <c r="AD1324" s="327"/>
      <c r="AE1324" s="19"/>
      <c r="AF1324" s="19"/>
      <c r="AG1324" s="19" t="s">
        <v>2939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2721</v>
      </c>
      <c r="C1325" s="29">
        <v>2003</v>
      </c>
      <c r="D1325" s="27" t="s">
        <v>2720</v>
      </c>
      <c r="E1325" s="29" t="s">
        <v>2963</v>
      </c>
      <c r="F1325" s="29" t="s">
        <v>4471</v>
      </c>
      <c r="G1325" s="192" t="s">
        <v>5604</v>
      </c>
      <c r="H1325" s="145" t="s">
        <v>5606</v>
      </c>
      <c r="I1325" s="192" t="s">
        <v>5609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575</v>
      </c>
      <c r="U1325" s="30" t="s">
        <v>8</v>
      </c>
      <c r="V1325" s="28" t="s">
        <v>3048</v>
      </c>
      <c r="W1325" s="28">
        <v>110</v>
      </c>
      <c r="X1325" s="29"/>
      <c r="Y1325" s="29"/>
      <c r="Z1325" s="29" t="s">
        <v>2943</v>
      </c>
      <c r="AA1325" s="29"/>
      <c r="AB1325" s="29"/>
      <c r="AC1325" s="29"/>
      <c r="AD1325" s="29"/>
      <c r="AE1325" s="29"/>
      <c r="AF1325" s="29"/>
      <c r="AG1325" s="29" t="s">
        <v>2939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2722</v>
      </c>
      <c r="C1326" s="40">
        <v>2176</v>
      </c>
      <c r="D1326" s="38" t="s">
        <v>2720</v>
      </c>
      <c r="E1326" s="40" t="s">
        <v>2963</v>
      </c>
      <c r="F1326" s="40" t="s">
        <v>4472</v>
      </c>
      <c r="G1326" s="50" t="s">
        <v>5604</v>
      </c>
      <c r="H1326" s="150" t="s">
        <v>5606</v>
      </c>
      <c r="I1326" s="50" t="s">
        <v>5609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575</v>
      </c>
      <c r="U1326" s="2" t="s">
        <v>8</v>
      </c>
      <c r="V1326" s="39" t="s">
        <v>3048</v>
      </c>
      <c r="W1326" s="39">
        <v>110</v>
      </c>
      <c r="X1326" s="40"/>
      <c r="Y1326" s="40"/>
      <c r="Z1326" s="40" t="s">
        <v>2943</v>
      </c>
      <c r="AA1326" s="40"/>
      <c r="AB1326" s="40"/>
      <c r="AC1326" s="40" t="s">
        <v>2939</v>
      </c>
      <c r="AD1326" s="40"/>
      <c r="AE1326" s="40"/>
      <c r="AF1326" s="40"/>
      <c r="AG1326" s="40" t="s">
        <v>2939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2723</v>
      </c>
      <c r="C1327" s="40">
        <v>2177</v>
      </c>
      <c r="D1327" s="38" t="s">
        <v>2720</v>
      </c>
      <c r="E1327" s="40" t="s">
        <v>2963</v>
      </c>
      <c r="F1327" s="40" t="s">
        <v>4473</v>
      </c>
      <c r="G1327" s="50" t="s">
        <v>5604</v>
      </c>
      <c r="H1327" s="150" t="s">
        <v>5607</v>
      </c>
      <c r="I1327" s="50" t="s">
        <v>5609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97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3048</v>
      </c>
      <c r="W1327" s="39">
        <v>106</v>
      </c>
      <c r="X1327" s="40"/>
      <c r="Y1327" s="40"/>
      <c r="Z1327" s="40" t="s">
        <v>2939</v>
      </c>
      <c r="AA1327" s="40"/>
      <c r="AB1327" s="40"/>
      <c r="AC1327" s="40" t="s">
        <v>2939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2724</v>
      </c>
      <c r="C1328" s="83">
        <v>2002</v>
      </c>
      <c r="D1328" s="113" t="s">
        <v>2720</v>
      </c>
      <c r="E1328" s="83" t="s">
        <v>2963</v>
      </c>
      <c r="F1328" s="83" t="s">
        <v>4474</v>
      </c>
      <c r="G1328" s="138" t="s">
        <v>5604</v>
      </c>
      <c r="H1328" s="340" t="s">
        <v>5606</v>
      </c>
      <c r="I1328" s="138" t="s">
        <v>5609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575</v>
      </c>
      <c r="U1328" s="85" t="s">
        <v>8</v>
      </c>
      <c r="V1328" s="86" t="s">
        <v>3048</v>
      </c>
      <c r="W1328" s="86">
        <v>112</v>
      </c>
      <c r="X1328" s="83"/>
      <c r="Y1328" s="83"/>
      <c r="Z1328" s="83" t="s">
        <v>2943</v>
      </c>
      <c r="AA1328" s="83"/>
      <c r="AB1328" s="83"/>
      <c r="AC1328" s="83" t="s">
        <v>2898</v>
      </c>
      <c r="AD1328" s="83"/>
      <c r="AE1328" s="83"/>
      <c r="AF1328" s="83" t="s">
        <v>2939</v>
      </c>
      <c r="AG1328" s="83"/>
      <c r="AH1328" s="83"/>
      <c r="AI1328" s="83" t="s">
        <v>2961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2733</v>
      </c>
      <c r="C1329" s="29">
        <v>1656</v>
      </c>
      <c r="D1329" s="27" t="s">
        <v>2732</v>
      </c>
      <c r="E1329" s="217" t="s">
        <v>2929</v>
      </c>
      <c r="F1329" s="217" t="s">
        <v>4475</v>
      </c>
      <c r="G1329" s="192" t="s">
        <v>5604</v>
      </c>
      <c r="H1329" s="434" t="s">
        <v>5606</v>
      </c>
      <c r="I1329" s="192" t="s">
        <v>5609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575</v>
      </c>
      <c r="U1329" s="30" t="s">
        <v>8</v>
      </c>
      <c r="V1329" s="28" t="s">
        <v>3048</v>
      </c>
      <c r="W1329" s="28">
        <v>110</v>
      </c>
      <c r="X1329" s="29"/>
      <c r="Y1329" s="29"/>
      <c r="Z1329" s="29"/>
      <c r="AA1329" s="29"/>
      <c r="AB1329" s="29" t="s">
        <v>2939</v>
      </c>
      <c r="AC1329" s="29"/>
      <c r="AD1329" s="29" t="s">
        <v>2898</v>
      </c>
      <c r="AE1329" s="29"/>
      <c r="AF1329" s="29"/>
      <c r="AG1329" s="29" t="s">
        <v>2939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2734</v>
      </c>
      <c r="C1330" s="83">
        <v>1657</v>
      </c>
      <c r="D1330" s="113" t="s">
        <v>2732</v>
      </c>
      <c r="E1330" s="218" t="s">
        <v>2929</v>
      </c>
      <c r="F1330" s="218" t="s">
        <v>4476</v>
      </c>
      <c r="G1330" s="138" t="s">
        <v>5604</v>
      </c>
      <c r="H1330" s="340" t="s">
        <v>5606</v>
      </c>
      <c r="I1330" s="138" t="s">
        <v>5609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575</v>
      </c>
      <c r="U1330" s="85" t="s">
        <v>8</v>
      </c>
      <c r="V1330" s="86" t="s">
        <v>3048</v>
      </c>
      <c r="W1330" s="86">
        <v>110</v>
      </c>
      <c r="X1330" s="83"/>
      <c r="Y1330" s="83"/>
      <c r="Z1330" s="83"/>
      <c r="AA1330" s="83"/>
      <c r="AB1330" s="83" t="s">
        <v>2939</v>
      </c>
      <c r="AC1330" s="83"/>
      <c r="AD1330" s="83" t="s">
        <v>2939</v>
      </c>
      <c r="AE1330" s="83"/>
      <c r="AF1330" s="83"/>
      <c r="AG1330" s="83" t="s">
        <v>2939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2739</v>
      </c>
      <c r="C1331" s="19">
        <v>164</v>
      </c>
      <c r="D1331" s="17" t="s">
        <v>2738</v>
      </c>
      <c r="E1331" s="19" t="s">
        <v>2963</v>
      </c>
      <c r="F1331" s="19" t="s">
        <v>4477</v>
      </c>
      <c r="G1331" s="255" t="s">
        <v>5604</v>
      </c>
      <c r="H1331" s="434" t="s">
        <v>5606</v>
      </c>
      <c r="I1331" s="255" t="s">
        <v>5609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575</v>
      </c>
      <c r="U1331" s="20" t="s">
        <v>8</v>
      </c>
      <c r="V1331" s="222" t="s">
        <v>3048</v>
      </c>
      <c r="W1331" s="222">
        <v>109</v>
      </c>
      <c r="X1331" s="19"/>
      <c r="Y1331" s="19"/>
      <c r="Z1331" s="19" t="s">
        <v>2939</v>
      </c>
      <c r="AA1331" s="19"/>
      <c r="AB1331" s="19"/>
      <c r="AC1331" s="19" t="s">
        <v>2939</v>
      </c>
      <c r="AD1331" s="19"/>
      <c r="AE1331" s="19"/>
      <c r="AF1331" s="19" t="s">
        <v>2939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2763</v>
      </c>
      <c r="C1332" s="29">
        <v>374</v>
      </c>
      <c r="D1332" s="27" t="s">
        <v>2762</v>
      </c>
      <c r="E1332" s="29" t="s">
        <v>2963</v>
      </c>
      <c r="F1332" s="29" t="s">
        <v>4478</v>
      </c>
      <c r="G1332" s="192"/>
      <c r="H1332" s="145" t="s">
        <v>5606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3048</v>
      </c>
      <c r="W1332" s="28">
        <v>103</v>
      </c>
      <c r="X1332" s="29"/>
      <c r="Y1332" s="29"/>
      <c r="Z1332" s="29" t="s">
        <v>2939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2764</v>
      </c>
      <c r="C1333" s="40">
        <v>377</v>
      </c>
      <c r="D1333" s="38" t="s">
        <v>2762</v>
      </c>
      <c r="E1333" s="40" t="s">
        <v>2963</v>
      </c>
      <c r="F1333" s="40" t="s">
        <v>4479</v>
      </c>
      <c r="G1333" s="50"/>
      <c r="H1333" s="150" t="s">
        <v>5606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3048</v>
      </c>
      <c r="W1333" s="39"/>
      <c r="X1333" s="40"/>
      <c r="Y1333" s="40"/>
      <c r="Z1333" s="40" t="s">
        <v>2939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3058</v>
      </c>
      <c r="AM1333" s="53"/>
    </row>
    <row r="1334" spans="1:39" x14ac:dyDescent="0.3">
      <c r="A1334" s="15">
        <v>1333</v>
      </c>
      <c r="B1334" s="40" t="s">
        <v>2765</v>
      </c>
      <c r="C1334" s="40">
        <v>2428</v>
      </c>
      <c r="D1334" s="38" t="s">
        <v>2762</v>
      </c>
      <c r="E1334" s="40" t="s">
        <v>2963</v>
      </c>
      <c r="F1334" s="40" t="s">
        <v>4480</v>
      </c>
      <c r="G1334" s="38"/>
      <c r="H1334" s="340" t="s">
        <v>5608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708</v>
      </c>
      <c r="U1334" s="2" t="s">
        <v>56</v>
      </c>
      <c r="V1334" s="39" t="s">
        <v>3048</v>
      </c>
      <c r="W1334" s="39">
        <v>106</v>
      </c>
      <c r="X1334" s="38"/>
      <c r="Y1334" s="38"/>
      <c r="Z1334" s="40" t="s">
        <v>2939</v>
      </c>
      <c r="AA1334" s="40"/>
      <c r="AB1334" s="38"/>
      <c r="AC1334" s="40" t="s">
        <v>2943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3059</v>
      </c>
      <c r="AM1334" s="53"/>
    </row>
    <row r="1335" spans="1:39" ht="14.4" thickBot="1" x14ac:dyDescent="0.35">
      <c r="A1335" s="15">
        <v>1334</v>
      </c>
      <c r="B1335" s="83" t="s">
        <v>2766</v>
      </c>
      <c r="C1335" s="83">
        <v>183</v>
      </c>
      <c r="D1335" s="113" t="s">
        <v>2762</v>
      </c>
      <c r="E1335" s="83" t="s">
        <v>2963</v>
      </c>
      <c r="F1335" s="83" t="s">
        <v>4481</v>
      </c>
      <c r="G1335" s="138" t="s">
        <v>5604</v>
      </c>
      <c r="H1335" s="340" t="s">
        <v>5606</v>
      </c>
      <c r="I1335" s="138" t="s">
        <v>5609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575</v>
      </c>
      <c r="U1335" s="85" t="s">
        <v>8</v>
      </c>
      <c r="V1335" s="86" t="s">
        <v>3048</v>
      </c>
      <c r="W1335" s="86">
        <v>109</v>
      </c>
      <c r="X1335" s="83"/>
      <c r="Y1335" s="137"/>
      <c r="Z1335" s="83" t="s">
        <v>2898</v>
      </c>
      <c r="AA1335" s="83"/>
      <c r="AB1335" s="83"/>
      <c r="AC1335" s="83"/>
      <c r="AD1335" s="83"/>
      <c r="AE1335" s="83"/>
      <c r="AF1335" s="83" t="s">
        <v>2939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2779</v>
      </c>
      <c r="C1336" s="29">
        <v>1060</v>
      </c>
      <c r="D1336" s="27" t="s">
        <v>2778</v>
      </c>
      <c r="E1336" s="29" t="s">
        <v>2963</v>
      </c>
      <c r="F1336" s="29" t="s">
        <v>4482</v>
      </c>
      <c r="G1336" s="192"/>
      <c r="H1336" s="145" t="s">
        <v>5607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214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3048</v>
      </c>
      <c r="W1336" s="28">
        <v>106</v>
      </c>
      <c r="X1336" s="29"/>
      <c r="Y1336" s="29"/>
      <c r="Z1336" s="29" t="s">
        <v>2943</v>
      </c>
      <c r="AA1336" s="29"/>
      <c r="AB1336" s="29"/>
      <c r="AC1336" s="29" t="s">
        <v>2939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2780</v>
      </c>
      <c r="C1337" s="40">
        <v>1956</v>
      </c>
      <c r="D1337" s="38" t="s">
        <v>2778</v>
      </c>
      <c r="E1337" s="40" t="s">
        <v>2963</v>
      </c>
      <c r="F1337" s="40" t="s">
        <v>4483</v>
      </c>
      <c r="G1337" s="50"/>
      <c r="H1337" s="150" t="s">
        <v>5607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3048</v>
      </c>
      <c r="W1337" s="39">
        <v>106</v>
      </c>
      <c r="X1337" s="40"/>
      <c r="Y1337" s="40"/>
      <c r="Z1337" s="40" t="s">
        <v>2943</v>
      </c>
      <c r="AA1337" s="40"/>
      <c r="AB1337" s="40"/>
      <c r="AC1337" s="40" t="s">
        <v>2939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3060</v>
      </c>
      <c r="AM1337" s="53"/>
    </row>
    <row r="1338" spans="1:39" x14ac:dyDescent="0.3">
      <c r="A1338" s="15">
        <v>1337</v>
      </c>
      <c r="B1338" s="40" t="s">
        <v>2781</v>
      </c>
      <c r="C1338" s="40">
        <v>1958</v>
      </c>
      <c r="D1338" s="38" t="s">
        <v>2778</v>
      </c>
      <c r="E1338" s="40" t="s">
        <v>2963</v>
      </c>
      <c r="F1338" s="40" t="s">
        <v>4484</v>
      </c>
      <c r="G1338" s="50"/>
      <c r="H1338" s="150" t="s">
        <v>5606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575</v>
      </c>
      <c r="U1338" s="2" t="s">
        <v>8</v>
      </c>
      <c r="V1338" s="39" t="s">
        <v>3048</v>
      </c>
      <c r="W1338" s="39">
        <v>109</v>
      </c>
      <c r="X1338" s="40"/>
      <c r="Y1338" s="40"/>
      <c r="Z1338" s="40" t="s">
        <v>2939</v>
      </c>
      <c r="AA1338" s="40"/>
      <c r="AB1338" s="40"/>
      <c r="AC1338" s="40" t="s">
        <v>2939</v>
      </c>
      <c r="AD1338" s="40"/>
      <c r="AE1338" s="40"/>
      <c r="AF1338" s="40" t="s">
        <v>2939</v>
      </c>
      <c r="AG1338" s="40"/>
      <c r="AH1338" s="40"/>
      <c r="AI1338" s="40"/>
      <c r="AJ1338" s="39"/>
      <c r="AK1338" s="125"/>
      <c r="AL1338" s="54" t="s">
        <v>3061</v>
      </c>
      <c r="AM1338" s="53"/>
    </row>
    <row r="1339" spans="1:39" x14ac:dyDescent="0.3">
      <c r="A1339" s="15">
        <v>1338</v>
      </c>
      <c r="B1339" s="40" t="s">
        <v>2782</v>
      </c>
      <c r="C1339" s="40">
        <v>1953</v>
      </c>
      <c r="D1339" s="38" t="s">
        <v>2778</v>
      </c>
      <c r="E1339" s="40" t="s">
        <v>2963</v>
      </c>
      <c r="F1339" s="40" t="s">
        <v>4485</v>
      </c>
      <c r="G1339" s="50"/>
      <c r="H1339" s="150" t="s">
        <v>5607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3048</v>
      </c>
      <c r="W1339" s="39">
        <v>106</v>
      </c>
      <c r="X1339" s="40"/>
      <c r="Y1339" s="40"/>
      <c r="Z1339" s="40" t="s">
        <v>2939</v>
      </c>
      <c r="AA1339" s="40"/>
      <c r="AB1339" s="40"/>
      <c r="AC1339" s="40" t="s">
        <v>2898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3062</v>
      </c>
      <c r="AM1339" s="53"/>
    </row>
    <row r="1340" spans="1:39" x14ac:dyDescent="0.3">
      <c r="A1340" s="15">
        <v>1339</v>
      </c>
      <c r="B1340" s="40" t="s">
        <v>2783</v>
      </c>
      <c r="C1340" s="40">
        <v>1955</v>
      </c>
      <c r="D1340" s="38" t="s">
        <v>2778</v>
      </c>
      <c r="E1340" s="40" t="s">
        <v>2963</v>
      </c>
      <c r="F1340" s="40" t="s">
        <v>4486</v>
      </c>
      <c r="G1340" s="50"/>
      <c r="H1340" s="150" t="s">
        <v>5606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3048</v>
      </c>
      <c r="W1340" s="39">
        <v>106</v>
      </c>
      <c r="X1340" s="40"/>
      <c r="Y1340" s="40"/>
      <c r="Z1340" s="40" t="s">
        <v>2943</v>
      </c>
      <c r="AA1340" s="40"/>
      <c r="AB1340" s="40"/>
      <c r="AC1340" s="40" t="s">
        <v>2898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3063</v>
      </c>
      <c r="AM1340" s="53"/>
    </row>
    <row r="1341" spans="1:39" ht="14.4" thickBot="1" x14ac:dyDescent="0.35">
      <c r="A1341" s="15">
        <v>1340</v>
      </c>
      <c r="B1341" s="83" t="s">
        <v>2784</v>
      </c>
      <c r="C1341" s="83">
        <v>1957</v>
      </c>
      <c r="D1341" s="113" t="s">
        <v>2778</v>
      </c>
      <c r="E1341" s="83" t="s">
        <v>2963</v>
      </c>
      <c r="F1341" s="83" t="s">
        <v>4487</v>
      </c>
      <c r="G1341" s="138"/>
      <c r="H1341" s="340" t="s">
        <v>5606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575</v>
      </c>
      <c r="U1341" s="85" t="s">
        <v>8</v>
      </c>
      <c r="V1341" s="86" t="s">
        <v>3048</v>
      </c>
      <c r="W1341" s="86">
        <v>109</v>
      </c>
      <c r="X1341" s="83"/>
      <c r="Y1341" s="83"/>
      <c r="Z1341" s="83" t="s">
        <v>2943</v>
      </c>
      <c r="AA1341" s="83"/>
      <c r="AB1341" s="83"/>
      <c r="AC1341" s="83" t="s">
        <v>2898</v>
      </c>
      <c r="AD1341" s="83"/>
      <c r="AE1341" s="83"/>
      <c r="AF1341" s="83" t="s">
        <v>2939</v>
      </c>
      <c r="AG1341" s="83"/>
      <c r="AH1341" s="83"/>
      <c r="AI1341" s="83"/>
      <c r="AJ1341" s="86"/>
      <c r="AK1341" s="191"/>
      <c r="AL1341" s="157" t="s">
        <v>3064</v>
      </c>
      <c r="AM1341" s="252"/>
    </row>
    <row r="1342" spans="1:39" ht="14.4" thickBot="1" x14ac:dyDescent="0.35">
      <c r="A1342" s="15">
        <v>1341</v>
      </c>
      <c r="B1342" s="205" t="s">
        <v>2787</v>
      </c>
      <c r="C1342" s="205">
        <v>1951</v>
      </c>
      <c r="D1342" s="203" t="s">
        <v>2785</v>
      </c>
      <c r="E1342" s="205" t="s">
        <v>2963</v>
      </c>
      <c r="F1342" s="205" t="s">
        <v>4488</v>
      </c>
      <c r="G1342" s="273" t="s">
        <v>5604</v>
      </c>
      <c r="H1342" s="453" t="s">
        <v>5606</v>
      </c>
      <c r="I1342" s="273" t="s">
        <v>5609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575</v>
      </c>
      <c r="U1342" s="206" t="s">
        <v>8</v>
      </c>
      <c r="V1342" s="208" t="s">
        <v>3048</v>
      </c>
      <c r="W1342" s="208">
        <v>111</v>
      </c>
      <c r="X1342" s="205"/>
      <c r="Y1342" s="205"/>
      <c r="Z1342" s="205" t="s">
        <v>2939</v>
      </c>
      <c r="AA1342" s="205"/>
      <c r="AB1342" s="205"/>
      <c r="AC1342" s="205" t="s">
        <v>2898</v>
      </c>
      <c r="AD1342" s="205"/>
      <c r="AE1342" s="205"/>
      <c r="AF1342" s="205"/>
      <c r="AG1342" s="205"/>
      <c r="AH1342" s="205" t="s">
        <v>2939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2789</v>
      </c>
      <c r="C1343" s="75">
        <v>1942</v>
      </c>
      <c r="D1343" s="67" t="s">
        <v>2788</v>
      </c>
      <c r="E1343" s="75" t="s">
        <v>2963</v>
      </c>
      <c r="F1343" s="75" t="s">
        <v>4489</v>
      </c>
      <c r="G1343" s="178" t="s">
        <v>5604</v>
      </c>
      <c r="H1343" s="414" t="s">
        <v>5606</v>
      </c>
      <c r="I1343" s="178" t="s">
        <v>5609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52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3048</v>
      </c>
      <c r="W1343" s="70">
        <v>106</v>
      </c>
      <c r="X1343" s="75"/>
      <c r="Y1343" s="75"/>
      <c r="Z1343" s="75" t="s">
        <v>2939</v>
      </c>
      <c r="AA1343" s="75"/>
      <c r="AB1343" s="75"/>
      <c r="AC1343" s="75" t="s">
        <v>2939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2790</v>
      </c>
      <c r="C1344" s="40">
        <v>1940</v>
      </c>
      <c r="D1344" s="38" t="s">
        <v>2788</v>
      </c>
      <c r="E1344" s="40" t="s">
        <v>2963</v>
      </c>
      <c r="F1344" s="40" t="s">
        <v>4490</v>
      </c>
      <c r="G1344" s="50"/>
      <c r="H1344" s="150" t="s">
        <v>5606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306</v>
      </c>
      <c r="U1344" s="2" t="s">
        <v>3</v>
      </c>
      <c r="V1344" s="39" t="s">
        <v>3048</v>
      </c>
      <c r="W1344" s="39">
        <v>109</v>
      </c>
      <c r="X1344" s="40"/>
      <c r="Y1344" s="40"/>
      <c r="Z1344" s="40" t="s">
        <v>2939</v>
      </c>
      <c r="AA1344" s="40"/>
      <c r="AB1344" s="40"/>
      <c r="AC1344" s="40" t="s">
        <v>2898</v>
      </c>
      <c r="AD1344" s="40"/>
      <c r="AE1344" s="40"/>
      <c r="AF1344" s="40" t="s">
        <v>2898</v>
      </c>
      <c r="AG1344" s="40"/>
      <c r="AH1344" s="40"/>
      <c r="AI1344" s="40"/>
      <c r="AJ1344" s="39"/>
      <c r="AK1344" s="125"/>
      <c r="AL1344" s="54" t="s">
        <v>3065</v>
      </c>
      <c r="AM1344" s="53"/>
    </row>
    <row r="1345" spans="1:44" ht="14.4" thickBot="1" x14ac:dyDescent="0.35">
      <c r="A1345" s="15">
        <v>1344</v>
      </c>
      <c r="B1345" s="83" t="s">
        <v>2791</v>
      </c>
      <c r="C1345" s="83">
        <v>1949</v>
      </c>
      <c r="D1345" s="113" t="s">
        <v>2788</v>
      </c>
      <c r="E1345" s="83" t="s">
        <v>2963</v>
      </c>
      <c r="F1345" s="83" t="s">
        <v>4491</v>
      </c>
      <c r="G1345" s="113"/>
      <c r="H1345" s="340" t="s">
        <v>5606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575</v>
      </c>
      <c r="U1345" s="85" t="s">
        <v>8</v>
      </c>
      <c r="V1345" s="86" t="s">
        <v>3048</v>
      </c>
      <c r="W1345" s="86">
        <v>109</v>
      </c>
      <c r="X1345" s="83"/>
      <c r="Y1345" s="83"/>
      <c r="Z1345" s="83" t="s">
        <v>2939</v>
      </c>
      <c r="AA1345" s="83"/>
      <c r="AB1345" s="83"/>
      <c r="AC1345" s="83" t="s">
        <v>2898</v>
      </c>
      <c r="AD1345" s="83"/>
      <c r="AE1345" s="83"/>
      <c r="AF1345" s="83" t="s">
        <v>2939</v>
      </c>
      <c r="AG1345" s="83"/>
      <c r="AH1345" s="83"/>
      <c r="AI1345" s="83"/>
      <c r="AJ1345" s="86"/>
      <c r="AK1345" s="191"/>
      <c r="AL1345" s="157" t="s">
        <v>3066</v>
      </c>
      <c r="AM1345" s="252"/>
    </row>
    <row r="1346" spans="1:44" ht="14.4" thickBot="1" x14ac:dyDescent="0.35">
      <c r="A1346" s="15">
        <v>1345</v>
      </c>
      <c r="B1346" s="19" t="s">
        <v>2793</v>
      </c>
      <c r="C1346" s="19">
        <v>1947</v>
      </c>
      <c r="D1346" s="17" t="s">
        <v>2792</v>
      </c>
      <c r="E1346" s="19" t="s">
        <v>2963</v>
      </c>
      <c r="F1346" s="19" t="s">
        <v>4492</v>
      </c>
      <c r="G1346" s="255" t="s">
        <v>5604</v>
      </c>
      <c r="H1346" s="434" t="s">
        <v>5606</v>
      </c>
      <c r="I1346" s="255" t="s">
        <v>5609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122</v>
      </c>
      <c r="Q1346" s="23">
        <v>26.5</v>
      </c>
      <c r="R1346" s="23">
        <v>473</v>
      </c>
      <c r="S1346" s="23">
        <v>48.9</v>
      </c>
      <c r="T1346" s="20" t="s">
        <v>575</v>
      </c>
      <c r="U1346" s="20" t="s">
        <v>8</v>
      </c>
      <c r="V1346" s="222" t="s">
        <v>3048</v>
      </c>
      <c r="W1346" s="222">
        <v>111</v>
      </c>
      <c r="X1346" s="19"/>
      <c r="Y1346" s="19"/>
      <c r="Z1346" s="19" t="s">
        <v>2943</v>
      </c>
      <c r="AA1346" s="19"/>
      <c r="AB1346" s="19"/>
      <c r="AC1346" s="19" t="s">
        <v>2939</v>
      </c>
      <c r="AD1346" s="19"/>
      <c r="AE1346" s="19"/>
      <c r="AF1346" s="19"/>
      <c r="AG1346" s="19"/>
      <c r="AH1346" s="19" t="s">
        <v>2939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2799</v>
      </c>
      <c r="C1347" s="19">
        <v>1669</v>
      </c>
      <c r="D1347" s="17" t="s">
        <v>2798</v>
      </c>
      <c r="E1347" s="315" t="s">
        <v>2929</v>
      </c>
      <c r="F1347" s="315" t="s">
        <v>4493</v>
      </c>
      <c r="G1347" s="255" t="s">
        <v>5604</v>
      </c>
      <c r="H1347" s="434" t="s">
        <v>5606</v>
      </c>
      <c r="I1347" s="255" t="s">
        <v>5609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575</v>
      </c>
      <c r="U1347" s="20" t="s">
        <v>8</v>
      </c>
      <c r="V1347" s="222" t="s">
        <v>3048</v>
      </c>
      <c r="W1347" s="222">
        <v>111</v>
      </c>
      <c r="X1347" s="19"/>
      <c r="Y1347" s="19"/>
      <c r="Z1347" s="19"/>
      <c r="AA1347" s="19"/>
      <c r="AB1347" s="19" t="s">
        <v>2939</v>
      </c>
      <c r="AC1347" s="19"/>
      <c r="AD1347" s="19" t="s">
        <v>2898</v>
      </c>
      <c r="AE1347" s="19"/>
      <c r="AF1347" s="19"/>
      <c r="AG1347" s="19"/>
      <c r="AH1347" s="19" t="s">
        <v>2939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2817</v>
      </c>
      <c r="C1348" s="29">
        <v>174</v>
      </c>
      <c r="D1348" s="27" t="s">
        <v>2816</v>
      </c>
      <c r="E1348" s="29" t="s">
        <v>2963</v>
      </c>
      <c r="F1348" s="29" t="s">
        <v>4494</v>
      </c>
      <c r="G1348" s="192" t="s">
        <v>5604</v>
      </c>
      <c r="H1348" s="145" t="s">
        <v>5606</v>
      </c>
      <c r="I1348" s="192" t="s">
        <v>5609</v>
      </c>
      <c r="J1348" s="33">
        <v>197416.25629799999</v>
      </c>
      <c r="K1348" s="33">
        <v>2666855.9550999999</v>
      </c>
      <c r="L1348" s="33" t="s">
        <v>2818</v>
      </c>
      <c r="M1348" s="34">
        <v>17.899999999999999</v>
      </c>
      <c r="N1348" s="33">
        <v>102</v>
      </c>
      <c r="O1348" s="33">
        <v>98.4</v>
      </c>
      <c r="P1348" s="33" t="s">
        <v>233</v>
      </c>
      <c r="Q1348" s="33">
        <v>20.7</v>
      </c>
      <c r="R1348" s="33">
        <v>314</v>
      </c>
      <c r="S1348" s="33">
        <v>103</v>
      </c>
      <c r="T1348" s="30" t="s">
        <v>575</v>
      </c>
      <c r="U1348" s="30" t="s">
        <v>8</v>
      </c>
      <c r="V1348" s="28" t="s">
        <v>3048</v>
      </c>
      <c r="W1348" s="28">
        <v>109</v>
      </c>
      <c r="X1348" s="29"/>
      <c r="Y1348" s="29"/>
      <c r="Z1348" s="29" t="s">
        <v>2939</v>
      </c>
      <c r="AA1348" s="29"/>
      <c r="AB1348" s="29"/>
      <c r="AC1348" s="29" t="s">
        <v>2939</v>
      </c>
      <c r="AD1348" s="29"/>
      <c r="AE1348" s="29"/>
      <c r="AF1348" s="29" t="s">
        <v>2939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2819</v>
      </c>
      <c r="C1349" s="83">
        <v>658</v>
      </c>
      <c r="D1349" s="113" t="s">
        <v>2816</v>
      </c>
      <c r="E1349" s="83" t="s">
        <v>2963</v>
      </c>
      <c r="F1349" s="83" t="s">
        <v>4495</v>
      </c>
      <c r="G1349" s="138"/>
      <c r="H1349" s="340" t="s">
        <v>5606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172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3048</v>
      </c>
      <c r="W1349" s="86">
        <v>107</v>
      </c>
      <c r="X1349" s="83"/>
      <c r="Y1349" s="83"/>
      <c r="Z1349" s="83" t="s">
        <v>2939</v>
      </c>
      <c r="AA1349" s="83"/>
      <c r="AB1349" s="83"/>
      <c r="AC1349" s="83"/>
      <c r="AD1349" s="83" t="s">
        <v>2898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2830</v>
      </c>
      <c r="C1350" s="29">
        <v>1204</v>
      </c>
      <c r="D1350" s="27" t="s">
        <v>2829</v>
      </c>
      <c r="E1350" s="29" t="s">
        <v>2963</v>
      </c>
      <c r="F1350" s="29" t="s">
        <v>4496</v>
      </c>
      <c r="G1350" s="27"/>
      <c r="H1350" s="145" t="s">
        <v>5606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3048</v>
      </c>
      <c r="W1350" s="28">
        <v>103</v>
      </c>
      <c r="X1350" s="29"/>
      <c r="Y1350" s="29"/>
      <c r="Z1350" s="29" t="s">
        <v>2939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2831</v>
      </c>
      <c r="C1351" s="40">
        <v>1205</v>
      </c>
      <c r="D1351" s="38" t="s">
        <v>2829</v>
      </c>
      <c r="E1351" s="40" t="s">
        <v>2963</v>
      </c>
      <c r="F1351" s="40" t="s">
        <v>4497</v>
      </c>
      <c r="G1351" s="50" t="s">
        <v>5604</v>
      </c>
      <c r="H1351" s="150" t="s">
        <v>5606</v>
      </c>
      <c r="I1351" s="50" t="s">
        <v>5609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575</v>
      </c>
      <c r="U1351" s="2" t="s">
        <v>8</v>
      </c>
      <c r="V1351" s="39" t="s">
        <v>3048</v>
      </c>
      <c r="W1351" s="39">
        <v>109</v>
      </c>
      <c r="X1351" s="40"/>
      <c r="Y1351" s="40"/>
      <c r="Z1351" s="40" t="s">
        <v>2939</v>
      </c>
      <c r="AA1351" s="40"/>
      <c r="AB1351" s="40"/>
      <c r="AC1351" s="40" t="s">
        <v>2939</v>
      </c>
      <c r="AD1351" s="40"/>
      <c r="AE1351" s="40"/>
      <c r="AF1351" s="40" t="s">
        <v>2939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2832</v>
      </c>
      <c r="C1352" s="83">
        <v>1209</v>
      </c>
      <c r="D1352" s="113" t="s">
        <v>2829</v>
      </c>
      <c r="E1352" s="83" t="s">
        <v>2963</v>
      </c>
      <c r="F1352" s="83" t="s">
        <v>4498</v>
      </c>
      <c r="G1352" s="138"/>
      <c r="H1352" s="340" t="s">
        <v>5606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3048</v>
      </c>
      <c r="W1352" s="86">
        <v>106</v>
      </c>
      <c r="X1352" s="83"/>
      <c r="Y1352" s="83"/>
      <c r="Z1352" s="83" t="s">
        <v>2939</v>
      </c>
      <c r="AA1352" s="83"/>
      <c r="AB1352" s="83"/>
      <c r="AC1352" s="83" t="s">
        <v>2898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2834</v>
      </c>
      <c r="C1353" s="19">
        <v>1064</v>
      </c>
      <c r="D1353" s="17" t="s">
        <v>2833</v>
      </c>
      <c r="E1353" s="19" t="s">
        <v>2963</v>
      </c>
      <c r="F1353" s="19" t="s">
        <v>4499</v>
      </c>
      <c r="G1353" s="255" t="s">
        <v>5604</v>
      </c>
      <c r="H1353" s="434" t="s">
        <v>5606</v>
      </c>
      <c r="I1353" s="255" t="s">
        <v>5609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575</v>
      </c>
      <c r="U1353" s="20" t="s">
        <v>8</v>
      </c>
      <c r="V1353" s="222" t="s">
        <v>3048</v>
      </c>
      <c r="W1353" s="222">
        <v>109</v>
      </c>
      <c r="X1353" s="19"/>
      <c r="Y1353" s="19"/>
      <c r="Z1353" s="19" t="s">
        <v>2939</v>
      </c>
      <c r="AA1353" s="19"/>
      <c r="AB1353" s="19"/>
      <c r="AC1353" s="19" t="s">
        <v>2939</v>
      </c>
      <c r="AD1353" s="19"/>
      <c r="AE1353" s="19"/>
      <c r="AF1353" s="19" t="s">
        <v>2939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2836</v>
      </c>
      <c r="C1354" s="29">
        <v>1062</v>
      </c>
      <c r="D1354" s="27" t="s">
        <v>2835</v>
      </c>
      <c r="E1354" s="29" t="s">
        <v>2963</v>
      </c>
      <c r="F1354" s="29" t="s">
        <v>4500</v>
      </c>
      <c r="G1354" s="192" t="s">
        <v>5604</v>
      </c>
      <c r="H1354" s="145" t="s">
        <v>5606</v>
      </c>
      <c r="I1354" s="192" t="s">
        <v>5609</v>
      </c>
      <c r="J1354" s="33">
        <v>201402.95270200001</v>
      </c>
      <c r="K1354" s="33">
        <v>2666795.0900699999</v>
      </c>
      <c r="L1354" s="33" t="s">
        <v>1076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306</v>
      </c>
      <c r="U1354" s="30" t="s">
        <v>3</v>
      </c>
      <c r="V1354" s="28" t="s">
        <v>3048</v>
      </c>
      <c r="W1354" s="28">
        <v>109</v>
      </c>
      <c r="X1354" s="29"/>
      <c r="Y1354" s="29"/>
      <c r="Z1354" s="29" t="s">
        <v>2943</v>
      </c>
      <c r="AA1354" s="29"/>
      <c r="AB1354" s="29"/>
      <c r="AC1354" s="29"/>
      <c r="AD1354" s="29"/>
      <c r="AE1354" s="29"/>
      <c r="AF1354" s="29" t="s">
        <v>2898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2837</v>
      </c>
      <c r="C1355" s="83">
        <v>1065</v>
      </c>
      <c r="D1355" s="113" t="s">
        <v>2835</v>
      </c>
      <c r="E1355" s="83" t="s">
        <v>2963</v>
      </c>
      <c r="F1355" s="83" t="s">
        <v>4501</v>
      </c>
      <c r="G1355" s="138"/>
      <c r="H1355" s="340" t="s">
        <v>5606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3048</v>
      </c>
      <c r="W1355" s="86">
        <v>106</v>
      </c>
      <c r="X1355" s="83"/>
      <c r="Y1355" s="83"/>
      <c r="Z1355" s="83" t="s">
        <v>2943</v>
      </c>
      <c r="AA1355" s="83"/>
      <c r="AB1355" s="83"/>
      <c r="AC1355" s="83" t="s">
        <v>2939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2839</v>
      </c>
      <c r="C1356" s="19">
        <v>1954</v>
      </c>
      <c r="D1356" s="17" t="s">
        <v>2838</v>
      </c>
      <c r="E1356" s="19" t="s">
        <v>2963</v>
      </c>
      <c r="F1356" s="19" t="s">
        <v>4502</v>
      </c>
      <c r="G1356" s="255" t="s">
        <v>5604</v>
      </c>
      <c r="H1356" s="434" t="s">
        <v>5606</v>
      </c>
      <c r="I1356" s="255" t="s">
        <v>5609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59</v>
      </c>
      <c r="Q1356" s="23">
        <v>37.1</v>
      </c>
      <c r="R1356" s="23">
        <v>401</v>
      </c>
      <c r="S1356" s="23">
        <v>89.1</v>
      </c>
      <c r="T1356" s="20" t="s">
        <v>575</v>
      </c>
      <c r="U1356" s="20" t="s">
        <v>8</v>
      </c>
      <c r="V1356" s="222" t="s">
        <v>3048</v>
      </c>
      <c r="W1356" s="222">
        <v>111</v>
      </c>
      <c r="X1356" s="19"/>
      <c r="Y1356" s="19"/>
      <c r="Z1356" s="19" t="s">
        <v>2939</v>
      </c>
      <c r="AA1356" s="19"/>
      <c r="AB1356" s="19"/>
      <c r="AC1356" s="19" t="s">
        <v>2898</v>
      </c>
      <c r="AD1356" s="19"/>
      <c r="AE1356" s="19"/>
      <c r="AF1356" s="19"/>
      <c r="AG1356" s="19"/>
      <c r="AH1356" s="19" t="s">
        <v>2939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2841</v>
      </c>
      <c r="C1357" s="29">
        <v>1941</v>
      </c>
      <c r="D1357" s="27" t="s">
        <v>2840</v>
      </c>
      <c r="E1357" s="29" t="s">
        <v>2963</v>
      </c>
      <c r="F1357" s="29" t="s">
        <v>4503</v>
      </c>
      <c r="G1357" s="192" t="s">
        <v>5604</v>
      </c>
      <c r="H1357" s="145" t="s">
        <v>5606</v>
      </c>
      <c r="I1357" s="192" t="s">
        <v>5609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236</v>
      </c>
      <c r="Q1357" s="33">
        <v>29.7</v>
      </c>
      <c r="R1357" s="33">
        <v>565</v>
      </c>
      <c r="S1357" s="33">
        <v>173</v>
      </c>
      <c r="T1357" s="30" t="s">
        <v>575</v>
      </c>
      <c r="U1357" s="30" t="s">
        <v>8</v>
      </c>
      <c r="V1357" s="28" t="s">
        <v>3048</v>
      </c>
      <c r="W1357" s="28">
        <v>111</v>
      </c>
      <c r="X1357" s="29"/>
      <c r="Y1357" s="29"/>
      <c r="Z1357" s="29" t="s">
        <v>2939</v>
      </c>
      <c r="AA1357" s="29"/>
      <c r="AB1357" s="29"/>
      <c r="AC1357" s="29" t="s">
        <v>2939</v>
      </c>
      <c r="AD1357" s="29"/>
      <c r="AE1357" s="29"/>
      <c r="AF1357" s="29"/>
      <c r="AG1357" s="29"/>
      <c r="AH1357" s="29" t="s">
        <v>2939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2842</v>
      </c>
      <c r="C1358" s="40">
        <v>1943</v>
      </c>
      <c r="D1358" s="38" t="s">
        <v>2840</v>
      </c>
      <c r="E1358" s="40" t="s">
        <v>2963</v>
      </c>
      <c r="F1358" s="40" t="s">
        <v>4504</v>
      </c>
      <c r="G1358" s="50"/>
      <c r="H1358" s="150" t="s">
        <v>5607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3048</v>
      </c>
      <c r="W1358" s="39">
        <v>103</v>
      </c>
      <c r="X1358" s="40"/>
      <c r="Y1358" s="40"/>
      <c r="Z1358" s="40" t="s">
        <v>2939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2843</v>
      </c>
      <c r="C1359" s="40">
        <v>1944</v>
      </c>
      <c r="D1359" s="38" t="s">
        <v>2840</v>
      </c>
      <c r="E1359" s="40" t="s">
        <v>2963</v>
      </c>
      <c r="F1359" s="40" t="s">
        <v>4505</v>
      </c>
      <c r="G1359" s="50" t="s">
        <v>5604</v>
      </c>
      <c r="H1359" s="150" t="s">
        <v>5607</v>
      </c>
      <c r="I1359" s="50" t="s">
        <v>5609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306</v>
      </c>
      <c r="U1359" s="2" t="s">
        <v>3</v>
      </c>
      <c r="V1359" s="39" t="s">
        <v>3048</v>
      </c>
      <c r="W1359" s="39">
        <v>111</v>
      </c>
      <c r="X1359" s="40"/>
      <c r="Y1359" s="40"/>
      <c r="Z1359" s="40" t="s">
        <v>2939</v>
      </c>
      <c r="AA1359" s="40"/>
      <c r="AB1359" s="40"/>
      <c r="AC1359" s="40" t="s">
        <v>2898</v>
      </c>
      <c r="AD1359" s="40"/>
      <c r="AE1359" s="40"/>
      <c r="AF1359" s="40"/>
      <c r="AG1359" s="40"/>
      <c r="AH1359" s="40" t="s">
        <v>2898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2844</v>
      </c>
      <c r="C1360" s="40">
        <v>1945</v>
      </c>
      <c r="D1360" s="38" t="s">
        <v>2840</v>
      </c>
      <c r="E1360" s="40" t="s">
        <v>2963</v>
      </c>
      <c r="F1360" s="40" t="s">
        <v>4506</v>
      </c>
      <c r="G1360" s="50" t="s">
        <v>5604</v>
      </c>
      <c r="H1360" s="150" t="s">
        <v>5607</v>
      </c>
      <c r="I1360" s="50" t="s">
        <v>5609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306</v>
      </c>
      <c r="U1360" s="2" t="s">
        <v>3</v>
      </c>
      <c r="V1360" s="39" t="s">
        <v>3048</v>
      </c>
      <c r="W1360" s="39">
        <v>111</v>
      </c>
      <c r="X1360" s="40"/>
      <c r="Y1360" s="40"/>
      <c r="Z1360" s="40" t="s">
        <v>2939</v>
      </c>
      <c r="AA1360" s="40"/>
      <c r="AB1360" s="40"/>
      <c r="AC1360" s="40" t="s">
        <v>2898</v>
      </c>
      <c r="AD1360" s="40"/>
      <c r="AE1360" s="40"/>
      <c r="AF1360" s="40"/>
      <c r="AG1360" s="40"/>
      <c r="AH1360" s="40" t="s">
        <v>2898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2845</v>
      </c>
      <c r="C1361" s="40">
        <v>1946</v>
      </c>
      <c r="D1361" s="38" t="s">
        <v>2840</v>
      </c>
      <c r="E1361" s="40" t="s">
        <v>2963</v>
      </c>
      <c r="F1361" s="40" t="s">
        <v>4507</v>
      </c>
      <c r="G1361" s="50" t="s">
        <v>5604</v>
      </c>
      <c r="H1361" s="150" t="s">
        <v>5606</v>
      </c>
      <c r="I1361" s="50" t="s">
        <v>5609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59</v>
      </c>
      <c r="Q1361" s="43">
        <v>25.9</v>
      </c>
      <c r="R1361" s="43">
        <v>307</v>
      </c>
      <c r="S1361" s="43">
        <v>87.4</v>
      </c>
      <c r="T1361" s="2" t="s">
        <v>575</v>
      </c>
      <c r="U1361" s="2" t="s">
        <v>8</v>
      </c>
      <c r="V1361" s="39" t="s">
        <v>3048</v>
      </c>
      <c r="W1361" s="39">
        <v>111</v>
      </c>
      <c r="X1361" s="40"/>
      <c r="Y1361" s="40"/>
      <c r="Z1361" s="40" t="s">
        <v>2939</v>
      </c>
      <c r="AA1361" s="40"/>
      <c r="AB1361" s="40"/>
      <c r="AC1361" s="40" t="s">
        <v>2898</v>
      </c>
      <c r="AD1361" s="40"/>
      <c r="AE1361" s="40"/>
      <c r="AF1361" s="40"/>
      <c r="AG1361" s="40"/>
      <c r="AH1361" s="40" t="s">
        <v>2939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2846</v>
      </c>
      <c r="C1362" s="83">
        <v>1952</v>
      </c>
      <c r="D1362" s="113" t="s">
        <v>2840</v>
      </c>
      <c r="E1362" s="83" t="s">
        <v>2963</v>
      </c>
      <c r="F1362" s="83" t="s">
        <v>4508</v>
      </c>
      <c r="G1362" s="138"/>
      <c r="H1362" s="340" t="s">
        <v>5606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306</v>
      </c>
      <c r="U1362" s="85" t="s">
        <v>3</v>
      </c>
      <c r="V1362" s="86" t="s">
        <v>3048</v>
      </c>
      <c r="W1362" s="86">
        <v>109</v>
      </c>
      <c r="X1362" s="83"/>
      <c r="Y1362" s="83"/>
      <c r="Z1362" s="83" t="s">
        <v>2939</v>
      </c>
      <c r="AA1362" s="83"/>
      <c r="AB1362" s="83"/>
      <c r="AC1362" s="83" t="s">
        <v>2898</v>
      </c>
      <c r="AD1362" s="83"/>
      <c r="AE1362" s="83"/>
      <c r="AF1362" s="83" t="s">
        <v>2898</v>
      </c>
      <c r="AG1362" s="83"/>
      <c r="AH1362" s="83"/>
      <c r="AI1362" s="83"/>
      <c r="AJ1362" s="86"/>
      <c r="AK1362" s="191"/>
      <c r="AL1362" s="157" t="s">
        <v>3067</v>
      </c>
      <c r="AM1362" s="252"/>
    </row>
    <row r="1363" spans="1:39" ht="14.4" thickBot="1" x14ac:dyDescent="0.35">
      <c r="A1363" s="15">
        <v>1362</v>
      </c>
      <c r="B1363" s="19" t="s">
        <v>2848</v>
      </c>
      <c r="C1363" s="19">
        <v>1948</v>
      </c>
      <c r="D1363" s="17" t="s">
        <v>2847</v>
      </c>
      <c r="E1363" s="19" t="s">
        <v>2963</v>
      </c>
      <c r="F1363" s="19" t="s">
        <v>4509</v>
      </c>
      <c r="G1363" s="255" t="s">
        <v>5604</v>
      </c>
      <c r="H1363" s="434" t="s">
        <v>5606</v>
      </c>
      <c r="I1363" s="255" t="s">
        <v>5609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287</v>
      </c>
      <c r="Q1363" s="23">
        <v>28</v>
      </c>
      <c r="R1363" s="23">
        <v>389</v>
      </c>
      <c r="S1363" s="23">
        <v>157</v>
      </c>
      <c r="T1363" s="20" t="s">
        <v>575</v>
      </c>
      <c r="U1363" s="20" t="s">
        <v>8</v>
      </c>
      <c r="V1363" s="222" t="s">
        <v>3048</v>
      </c>
      <c r="W1363" s="222">
        <v>111</v>
      </c>
      <c r="X1363" s="19"/>
      <c r="Y1363" s="19"/>
      <c r="Z1363" s="19" t="s">
        <v>2939</v>
      </c>
      <c r="AA1363" s="19"/>
      <c r="AB1363" s="19"/>
      <c r="AC1363" s="19" t="s">
        <v>2898</v>
      </c>
      <c r="AD1363" s="19"/>
      <c r="AE1363" s="19"/>
      <c r="AF1363" s="19"/>
      <c r="AG1363" s="19"/>
      <c r="AH1363" s="19" t="s">
        <v>2939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2850</v>
      </c>
      <c r="C1364" s="29">
        <v>2430</v>
      </c>
      <c r="D1364" s="27" t="s">
        <v>2849</v>
      </c>
      <c r="E1364" s="29" t="s">
        <v>2915</v>
      </c>
      <c r="F1364" s="29" t="s">
        <v>4510</v>
      </c>
      <c r="G1364" s="192" t="s">
        <v>5604</v>
      </c>
      <c r="H1364" s="145" t="s">
        <v>5606</v>
      </c>
      <c r="I1364" s="192" t="s">
        <v>5609</v>
      </c>
      <c r="J1364" s="33">
        <v>205924</v>
      </c>
      <c r="K1364" s="33">
        <v>2666913</v>
      </c>
      <c r="L1364" s="33" t="s">
        <v>2851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575</v>
      </c>
      <c r="U1364" s="30" t="s">
        <v>8</v>
      </c>
      <c r="V1364" s="28" t="s">
        <v>3048</v>
      </c>
      <c r="W1364" s="28">
        <v>110</v>
      </c>
      <c r="X1364" s="27"/>
      <c r="Y1364" s="27"/>
      <c r="Z1364" s="29"/>
      <c r="AA1364" s="29" t="s">
        <v>2939</v>
      </c>
      <c r="AB1364" s="27"/>
      <c r="AC1364" s="27"/>
      <c r="AD1364" s="27"/>
      <c r="AE1364" s="27"/>
      <c r="AF1364" s="29"/>
      <c r="AG1364" s="29" t="s">
        <v>2939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2852</v>
      </c>
      <c r="C1365" s="40">
        <v>2431</v>
      </c>
      <c r="D1365" s="38" t="s">
        <v>2849</v>
      </c>
      <c r="E1365" s="40" t="s">
        <v>2915</v>
      </c>
      <c r="F1365" s="40" t="s">
        <v>4511</v>
      </c>
      <c r="G1365" s="38"/>
      <c r="H1365" s="150" t="s">
        <v>5606</v>
      </c>
      <c r="I1365" s="38"/>
      <c r="J1365" s="43">
        <v>205945</v>
      </c>
      <c r="K1365" s="43">
        <v>2666877</v>
      </c>
      <c r="L1365" s="43" t="s">
        <v>2851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3048</v>
      </c>
      <c r="W1365" s="39"/>
      <c r="X1365" s="38"/>
      <c r="Y1365" s="38"/>
      <c r="Z1365" s="40"/>
      <c r="AA1365" s="40" t="s">
        <v>2939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2853</v>
      </c>
      <c r="C1366" s="83">
        <v>2446</v>
      </c>
      <c r="D1366" s="113" t="s">
        <v>2849</v>
      </c>
      <c r="E1366" s="83" t="s">
        <v>2915</v>
      </c>
      <c r="F1366" s="83" t="s">
        <v>4512</v>
      </c>
      <c r="G1366" s="138" t="s">
        <v>5604</v>
      </c>
      <c r="H1366" s="340" t="s">
        <v>5608</v>
      </c>
      <c r="I1366" s="138" t="s">
        <v>5609</v>
      </c>
      <c r="J1366" s="88">
        <v>205924</v>
      </c>
      <c r="K1366" s="88">
        <v>2666913</v>
      </c>
      <c r="L1366" s="88" t="s">
        <v>40</v>
      </c>
      <c r="M1366" s="89">
        <v>6</v>
      </c>
      <c r="N1366" s="88">
        <v>140</v>
      </c>
      <c r="O1366" s="88">
        <v>82</v>
      </c>
      <c r="P1366" s="88" t="s">
        <v>41</v>
      </c>
      <c r="Q1366" s="88">
        <v>29</v>
      </c>
      <c r="R1366" s="88">
        <v>268</v>
      </c>
      <c r="S1366" s="88">
        <v>48</v>
      </c>
      <c r="T1366" s="85" t="s">
        <v>575</v>
      </c>
      <c r="U1366" s="85" t="str">
        <f>U1364</f>
        <v>監測</v>
      </c>
      <c r="V1366" s="86" t="s">
        <v>3048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2939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2856</v>
      </c>
      <c r="C1367" s="19">
        <v>2445</v>
      </c>
      <c r="D1367" s="19" t="s">
        <v>2854</v>
      </c>
      <c r="E1367" s="315" t="s">
        <v>2929</v>
      </c>
      <c r="F1367" s="315" t="s">
        <v>4513</v>
      </c>
      <c r="G1367" s="255" t="s">
        <v>5604</v>
      </c>
      <c r="H1367" s="434" t="s">
        <v>5606</v>
      </c>
      <c r="I1367" s="255" t="s">
        <v>5609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575</v>
      </c>
      <c r="U1367" s="20" t="s">
        <v>8</v>
      </c>
      <c r="V1367" s="222" t="s">
        <v>3048</v>
      </c>
      <c r="W1367" s="222">
        <v>111</v>
      </c>
      <c r="X1367" s="19"/>
      <c r="Y1367" s="19"/>
      <c r="Z1367" s="19"/>
      <c r="AA1367" s="19"/>
      <c r="AB1367" s="19" t="s">
        <v>2939</v>
      </c>
      <c r="AC1367" s="19"/>
      <c r="AD1367" s="19"/>
      <c r="AE1367" s="19"/>
      <c r="AF1367" s="19"/>
      <c r="AG1367" s="19"/>
      <c r="AH1367" s="19" t="s">
        <v>2939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2863</v>
      </c>
      <c r="C1368" s="29">
        <v>1670</v>
      </c>
      <c r="D1368" s="27" t="s">
        <v>2862</v>
      </c>
      <c r="E1368" s="217" t="s">
        <v>2929</v>
      </c>
      <c r="F1368" s="217" t="s">
        <v>4514</v>
      </c>
      <c r="G1368" s="192" t="s">
        <v>5604</v>
      </c>
      <c r="H1368" s="145" t="s">
        <v>5606</v>
      </c>
      <c r="I1368" s="192" t="s">
        <v>5609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233</v>
      </c>
      <c r="Q1368" s="33">
        <v>36.1</v>
      </c>
      <c r="R1368" s="33">
        <v>422</v>
      </c>
      <c r="S1368" s="33">
        <v>190</v>
      </c>
      <c r="T1368" s="30" t="s">
        <v>575</v>
      </c>
      <c r="U1368" s="30" t="s">
        <v>8</v>
      </c>
      <c r="V1368" s="28" t="s">
        <v>3048</v>
      </c>
      <c r="W1368" s="28">
        <v>111</v>
      </c>
      <c r="X1368" s="29"/>
      <c r="Y1368" s="29"/>
      <c r="Z1368" s="29"/>
      <c r="AA1368" s="29"/>
      <c r="AB1368" s="29" t="s">
        <v>2939</v>
      </c>
      <c r="AC1368" s="29"/>
      <c r="AD1368" s="29" t="s">
        <v>2898</v>
      </c>
      <c r="AE1368" s="29"/>
      <c r="AF1368" s="29"/>
      <c r="AG1368" s="29"/>
      <c r="AH1368" s="29" t="s">
        <v>2939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2862</v>
      </c>
      <c r="E1369" s="221" t="s">
        <v>2929</v>
      </c>
      <c r="F1369" s="221" t="s">
        <v>4515</v>
      </c>
      <c r="G1369" s="50"/>
      <c r="H1369" s="150" t="s">
        <v>5606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138</v>
      </c>
      <c r="Q1369" s="43">
        <v>34.9</v>
      </c>
      <c r="R1369" s="43">
        <v>376</v>
      </c>
      <c r="S1369" s="43">
        <v>198</v>
      </c>
      <c r="T1369" s="2" t="s">
        <v>575</v>
      </c>
      <c r="U1369" s="2" t="s">
        <v>8</v>
      </c>
      <c r="V1369" s="39" t="s">
        <v>3048</v>
      </c>
      <c r="W1369" s="39">
        <v>111</v>
      </c>
      <c r="X1369" s="40"/>
      <c r="Y1369" s="40"/>
      <c r="Z1369" s="40"/>
      <c r="AA1369" s="40"/>
      <c r="AB1369" s="40" t="s">
        <v>2939</v>
      </c>
      <c r="AC1369" s="40"/>
      <c r="AD1369" s="40" t="s">
        <v>2898</v>
      </c>
      <c r="AE1369" s="40"/>
      <c r="AF1369" s="40"/>
      <c r="AG1369" s="40"/>
      <c r="AH1369" s="40" t="s">
        <v>2939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2864</v>
      </c>
      <c r="C1370" s="83">
        <v>1682</v>
      </c>
      <c r="D1370" s="113" t="s">
        <v>2862</v>
      </c>
      <c r="E1370" s="218" t="s">
        <v>2929</v>
      </c>
      <c r="F1370" s="218" t="s">
        <v>4516</v>
      </c>
      <c r="G1370" s="138" t="s">
        <v>5604</v>
      </c>
      <c r="H1370" s="340" t="s">
        <v>5606</v>
      </c>
      <c r="I1370" s="138" t="s">
        <v>5609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138</v>
      </c>
      <c r="Q1370" s="88">
        <v>33.1</v>
      </c>
      <c r="R1370" s="88">
        <v>327</v>
      </c>
      <c r="S1370" s="88">
        <v>191</v>
      </c>
      <c r="T1370" s="85" t="s">
        <v>575</v>
      </c>
      <c r="U1370" s="85" t="s">
        <v>8</v>
      </c>
      <c r="V1370" s="86" t="s">
        <v>3048</v>
      </c>
      <c r="W1370" s="86">
        <v>111</v>
      </c>
      <c r="X1370" s="83"/>
      <c r="Y1370" s="83"/>
      <c r="Z1370" s="83"/>
      <c r="AA1370" s="83"/>
      <c r="AB1370" s="83" t="s">
        <v>2939</v>
      </c>
      <c r="AC1370" s="83"/>
      <c r="AD1370" s="83" t="s">
        <v>2898</v>
      </c>
      <c r="AE1370" s="83"/>
      <c r="AF1370" s="83"/>
      <c r="AG1370" s="83"/>
      <c r="AH1370" s="83" t="s">
        <v>2939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2868</v>
      </c>
      <c r="C1371" s="19">
        <v>1667</v>
      </c>
      <c r="D1371" s="17" t="s">
        <v>2867</v>
      </c>
      <c r="E1371" s="315" t="s">
        <v>2929</v>
      </c>
      <c r="F1371" s="315" t="s">
        <v>4517</v>
      </c>
      <c r="G1371" s="255" t="s">
        <v>5604</v>
      </c>
      <c r="H1371" s="434" t="s">
        <v>5606</v>
      </c>
      <c r="I1371" s="255" t="s">
        <v>5609</v>
      </c>
      <c r="J1371" s="23">
        <v>195582</v>
      </c>
      <c r="K1371" s="23">
        <v>2667532</v>
      </c>
      <c r="L1371" s="23" t="s">
        <v>102</v>
      </c>
      <c r="M1371" s="23">
        <v>11.4</v>
      </c>
      <c r="N1371" s="23">
        <v>72.599999999999994</v>
      </c>
      <c r="O1371" s="23">
        <v>79.5</v>
      </c>
      <c r="P1371" s="23" t="s">
        <v>102</v>
      </c>
      <c r="Q1371" s="23">
        <v>25.7</v>
      </c>
      <c r="R1371" s="23">
        <v>260</v>
      </c>
      <c r="S1371" s="23">
        <v>127</v>
      </c>
      <c r="T1371" s="20" t="s">
        <v>575</v>
      </c>
      <c r="U1371" s="20" t="s">
        <v>8</v>
      </c>
      <c r="V1371" s="222" t="s">
        <v>3048</v>
      </c>
      <c r="W1371" s="222">
        <v>110</v>
      </c>
      <c r="X1371" s="19"/>
      <c r="Y1371" s="19"/>
      <c r="Z1371" s="19"/>
      <c r="AA1371" s="19"/>
      <c r="AB1371" s="19" t="s">
        <v>2939</v>
      </c>
      <c r="AC1371" s="19"/>
      <c r="AD1371" s="19" t="s">
        <v>2939</v>
      </c>
      <c r="AE1371" s="19"/>
      <c r="AF1371" s="19"/>
      <c r="AG1371" s="19" t="s">
        <v>2939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2871</v>
      </c>
      <c r="C1372" s="19">
        <v>1680</v>
      </c>
      <c r="D1372" s="17" t="s">
        <v>2869</v>
      </c>
      <c r="E1372" s="315" t="s">
        <v>2929</v>
      </c>
      <c r="F1372" s="315" t="s">
        <v>4518</v>
      </c>
      <c r="G1372" s="255" t="s">
        <v>5604</v>
      </c>
      <c r="H1372" s="434" t="s">
        <v>5606</v>
      </c>
      <c r="I1372" s="255" t="s">
        <v>5609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102</v>
      </c>
      <c r="Q1372" s="23">
        <v>22</v>
      </c>
      <c r="R1372" s="23">
        <v>222</v>
      </c>
      <c r="S1372" s="23">
        <v>106</v>
      </c>
      <c r="T1372" s="20" t="s">
        <v>575</v>
      </c>
      <c r="U1372" s="20" t="s">
        <v>8</v>
      </c>
      <c r="V1372" s="222" t="s">
        <v>3048</v>
      </c>
      <c r="W1372" s="222">
        <v>111</v>
      </c>
      <c r="X1372" s="19"/>
      <c r="Y1372" s="19"/>
      <c r="Z1372" s="19"/>
      <c r="AA1372" s="19"/>
      <c r="AB1372" s="19" t="s">
        <v>2939</v>
      </c>
      <c r="AC1372" s="19"/>
      <c r="AD1372" s="19" t="s">
        <v>2898</v>
      </c>
      <c r="AE1372" s="19"/>
      <c r="AF1372" s="19"/>
      <c r="AG1372" s="19"/>
      <c r="AH1372" s="19" t="s">
        <v>2939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2875</v>
      </c>
      <c r="C1373" s="29">
        <v>1675</v>
      </c>
      <c r="D1373" s="27" t="s">
        <v>2874</v>
      </c>
      <c r="E1373" s="217" t="s">
        <v>2929</v>
      </c>
      <c r="F1373" s="217" t="s">
        <v>4519</v>
      </c>
      <c r="G1373" s="192" t="s">
        <v>5604</v>
      </c>
      <c r="H1373" s="145" t="s">
        <v>5606</v>
      </c>
      <c r="I1373" s="192" t="s">
        <v>5609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575</v>
      </c>
      <c r="U1373" s="30" t="s">
        <v>8</v>
      </c>
      <c r="V1373" s="28" t="s">
        <v>3048</v>
      </c>
      <c r="W1373" s="28">
        <v>110</v>
      </c>
      <c r="X1373" s="29"/>
      <c r="Y1373" s="29"/>
      <c r="Z1373" s="29"/>
      <c r="AA1373" s="29"/>
      <c r="AB1373" s="29" t="s">
        <v>2939</v>
      </c>
      <c r="AC1373" s="29"/>
      <c r="AD1373" s="29" t="s">
        <v>2939</v>
      </c>
      <c r="AE1373" s="29"/>
      <c r="AF1373" s="29"/>
      <c r="AG1373" s="29" t="s">
        <v>2939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2874</v>
      </c>
      <c r="E1374" s="221" t="s">
        <v>2929</v>
      </c>
      <c r="F1374" s="221" t="s">
        <v>4520</v>
      </c>
      <c r="G1374" s="50"/>
      <c r="H1374" s="150" t="s">
        <v>5606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287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3048</v>
      </c>
      <c r="W1374" s="39">
        <v>107</v>
      </c>
      <c r="X1374" s="40"/>
      <c r="Y1374" s="40"/>
      <c r="Z1374" s="40"/>
      <c r="AA1374" s="40"/>
      <c r="AB1374" s="40" t="s">
        <v>2939</v>
      </c>
      <c r="AC1374" s="40"/>
      <c r="AD1374" s="40" t="s">
        <v>2898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2874</v>
      </c>
      <c r="E1375" s="221" t="s">
        <v>2929</v>
      </c>
      <c r="F1375" s="221" t="s">
        <v>4521</v>
      </c>
      <c r="G1375" s="50"/>
      <c r="H1375" s="150" t="s">
        <v>5608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3048</v>
      </c>
      <c r="W1375" s="39">
        <v>107</v>
      </c>
      <c r="X1375" s="40"/>
      <c r="Y1375" s="40"/>
      <c r="Z1375" s="40"/>
      <c r="AA1375" s="40"/>
      <c r="AB1375" s="40" t="s">
        <v>2939</v>
      </c>
      <c r="AC1375" s="40"/>
      <c r="AD1375" s="40" t="s">
        <v>2898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2874</v>
      </c>
      <c r="E1376" s="221" t="s">
        <v>2929</v>
      </c>
      <c r="F1376" s="221" t="s">
        <v>4522</v>
      </c>
      <c r="G1376" s="93"/>
      <c r="H1376" s="150" t="s">
        <v>5608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3048</v>
      </c>
      <c r="W1376" s="39">
        <v>107</v>
      </c>
      <c r="X1376" s="40"/>
      <c r="Y1376" s="40"/>
      <c r="Z1376" s="40"/>
      <c r="AA1376" s="40"/>
      <c r="AB1376" s="40" t="s">
        <v>2939</v>
      </c>
      <c r="AC1376" s="40"/>
      <c r="AD1376" s="40" t="s">
        <v>2898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2874</v>
      </c>
      <c r="E1377" s="221" t="s">
        <v>2929</v>
      </c>
      <c r="F1377" s="221" t="s">
        <v>4523</v>
      </c>
      <c r="G1377" s="93"/>
      <c r="H1377" s="150" t="s">
        <v>5607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3048</v>
      </c>
      <c r="W1377" s="39">
        <v>107</v>
      </c>
      <c r="X1377" s="40"/>
      <c r="Y1377" s="40"/>
      <c r="Z1377" s="40"/>
      <c r="AA1377" s="40"/>
      <c r="AB1377" s="40" t="s">
        <v>2939</v>
      </c>
      <c r="AC1377" s="40"/>
      <c r="AD1377" s="40" t="s">
        <v>2898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2874</v>
      </c>
      <c r="E1378" s="221" t="s">
        <v>2929</v>
      </c>
      <c r="F1378" s="221" t="s">
        <v>4524</v>
      </c>
      <c r="G1378" s="50"/>
      <c r="H1378" s="150" t="s">
        <v>5606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3048</v>
      </c>
      <c r="W1378" s="39">
        <v>107</v>
      </c>
      <c r="X1378" s="40"/>
      <c r="Y1378" s="40"/>
      <c r="Z1378" s="40"/>
      <c r="AA1378" s="40"/>
      <c r="AB1378" s="40" t="s">
        <v>2939</v>
      </c>
      <c r="AC1378" s="40"/>
      <c r="AD1378" s="40" t="s">
        <v>2898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2874</v>
      </c>
      <c r="E1379" s="218" t="s">
        <v>2929</v>
      </c>
      <c r="F1379" s="218" t="s">
        <v>4525</v>
      </c>
      <c r="G1379" s="138"/>
      <c r="H1379" s="340" t="s">
        <v>5608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3048</v>
      </c>
      <c r="W1379" s="86">
        <v>107</v>
      </c>
      <c r="X1379" s="83"/>
      <c r="Y1379" s="83"/>
      <c r="Z1379" s="83"/>
      <c r="AA1379" s="83"/>
      <c r="AB1379" s="83" t="s">
        <v>2939</v>
      </c>
      <c r="AC1379" s="83"/>
      <c r="AD1379" s="83" t="s">
        <v>2898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2877</v>
      </c>
      <c r="C1380" s="205">
        <v>1674</v>
      </c>
      <c r="D1380" s="203" t="s">
        <v>2876</v>
      </c>
      <c r="E1380" s="329" t="s">
        <v>2929</v>
      </c>
      <c r="F1380" s="329" t="s">
        <v>4526</v>
      </c>
      <c r="G1380" s="273" t="s">
        <v>5604</v>
      </c>
      <c r="H1380" s="453" t="s">
        <v>5606</v>
      </c>
      <c r="I1380" s="273" t="s">
        <v>5609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575</v>
      </c>
      <c r="U1380" s="206" t="s">
        <v>8</v>
      </c>
      <c r="V1380" s="208" t="s">
        <v>3048</v>
      </c>
      <c r="W1380" s="208">
        <v>110</v>
      </c>
      <c r="X1380" s="205"/>
      <c r="Y1380" s="205"/>
      <c r="Z1380" s="205"/>
      <c r="AA1380" s="205"/>
      <c r="AB1380" s="205" t="s">
        <v>2939</v>
      </c>
      <c r="AC1380" s="205"/>
      <c r="AD1380" s="205" t="s">
        <v>2939</v>
      </c>
      <c r="AE1380" s="205"/>
      <c r="AF1380" s="205"/>
      <c r="AG1380" s="205" t="s">
        <v>2939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1668</v>
      </c>
      <c r="C1381" s="29">
        <v>562</v>
      </c>
      <c r="D1381" s="27" t="s">
        <v>1677</v>
      </c>
      <c r="E1381" s="29" t="s">
        <v>2963</v>
      </c>
      <c r="F1381" s="29" t="s">
        <v>4527</v>
      </c>
      <c r="G1381" s="31" t="s">
        <v>5604</v>
      </c>
      <c r="H1381" s="145" t="s">
        <v>5607</v>
      </c>
      <c r="I1381" s="31" t="s">
        <v>5609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155</v>
      </c>
      <c r="Q1381" s="33">
        <v>27.3</v>
      </c>
      <c r="R1381" s="33">
        <v>315</v>
      </c>
      <c r="S1381" s="33">
        <v>120</v>
      </c>
      <c r="T1381" s="30" t="s">
        <v>575</v>
      </c>
      <c r="U1381" s="30" t="s">
        <v>8</v>
      </c>
      <c r="V1381" s="95" t="s">
        <v>575</v>
      </c>
      <c r="W1381" s="28">
        <v>113</v>
      </c>
      <c r="X1381" s="29"/>
      <c r="Y1381" s="29"/>
      <c r="Z1381" s="29"/>
      <c r="AA1381" s="29" t="s">
        <v>2939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2968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2901</v>
      </c>
      <c r="F1382" s="58" t="s">
        <v>4528</v>
      </c>
      <c r="G1382" s="60" t="s">
        <v>5604</v>
      </c>
      <c r="H1382" s="226" t="s">
        <v>5608</v>
      </c>
      <c r="I1382" s="60" t="s">
        <v>5609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56</v>
      </c>
      <c r="V1382" s="56" t="s">
        <v>2900</v>
      </c>
      <c r="W1382" s="56">
        <v>108</v>
      </c>
      <c r="X1382" s="58"/>
      <c r="Y1382" s="58"/>
      <c r="Z1382" s="58"/>
      <c r="AA1382" s="58"/>
      <c r="AB1382" s="58" t="s">
        <v>2939</v>
      </c>
      <c r="AC1382" s="58"/>
      <c r="AD1382" s="58"/>
      <c r="AE1382" s="58" t="s">
        <v>2905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1669</v>
      </c>
      <c r="C1383" s="29">
        <v>563</v>
      </c>
      <c r="D1383" s="27" t="s">
        <v>1666</v>
      </c>
      <c r="E1383" s="29" t="s">
        <v>2963</v>
      </c>
      <c r="F1383" s="29" t="s">
        <v>4529</v>
      </c>
      <c r="G1383" s="41" t="s">
        <v>5604</v>
      </c>
      <c r="H1383" s="145" t="s">
        <v>5607</v>
      </c>
      <c r="I1383" s="41" t="s">
        <v>5609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575</v>
      </c>
      <c r="U1383" s="30" t="s">
        <v>8</v>
      </c>
      <c r="V1383" s="95" t="s">
        <v>575</v>
      </c>
      <c r="W1383" s="28">
        <v>113</v>
      </c>
      <c r="X1383" s="29"/>
      <c r="Y1383" s="29"/>
      <c r="Z1383" s="29"/>
      <c r="AA1383" s="29" t="s">
        <v>2939</v>
      </c>
      <c r="AB1383" s="29"/>
      <c r="AC1383" s="29"/>
      <c r="AD1383" s="29"/>
      <c r="AE1383" s="29" t="s">
        <v>2939</v>
      </c>
      <c r="AF1383" s="29"/>
      <c r="AG1383" s="29"/>
      <c r="AH1383" s="29"/>
      <c r="AI1383" s="29"/>
      <c r="AJ1383" s="28" t="s">
        <v>2968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386</v>
      </c>
      <c r="C1384" s="27">
        <v>2374</v>
      </c>
      <c r="D1384" s="27" t="s">
        <v>3068</v>
      </c>
      <c r="E1384" s="29" t="s">
        <v>2915</v>
      </c>
      <c r="F1384" s="29" t="s">
        <v>4530</v>
      </c>
      <c r="G1384" s="31" t="s">
        <v>5604</v>
      </c>
      <c r="H1384" s="145" t="s">
        <v>5606</v>
      </c>
      <c r="I1384" s="31" t="s">
        <v>5609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306</v>
      </c>
      <c r="U1384" s="85" t="s">
        <v>3</v>
      </c>
      <c r="V1384" s="27" t="s">
        <v>3069</v>
      </c>
      <c r="W1384" s="27">
        <v>113</v>
      </c>
      <c r="X1384" s="27"/>
      <c r="Y1384" s="27"/>
      <c r="Z1384" s="29" t="s">
        <v>2939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2898</v>
      </c>
      <c r="AK1384" s="156"/>
      <c r="AL1384" s="105" t="s">
        <v>2908</v>
      </c>
      <c r="AM1384" s="219">
        <v>113</v>
      </c>
    </row>
    <row r="1385" spans="1:39" ht="27.6" x14ac:dyDescent="0.3">
      <c r="A1385" s="15">
        <v>1384</v>
      </c>
      <c r="B1385" s="40" t="s">
        <v>388</v>
      </c>
      <c r="C1385" s="38">
        <v>978</v>
      </c>
      <c r="D1385" s="38" t="s">
        <v>385</v>
      </c>
      <c r="E1385" s="40" t="s">
        <v>2915</v>
      </c>
      <c r="F1385" s="40" t="s">
        <v>4531</v>
      </c>
      <c r="G1385" s="41"/>
      <c r="H1385" s="150" t="s">
        <v>5608</v>
      </c>
      <c r="I1385" s="41"/>
      <c r="J1385" s="43">
        <v>201704</v>
      </c>
      <c r="K1385" s="43">
        <v>2661506</v>
      </c>
      <c r="L1385" s="43" t="s">
        <v>389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306</v>
      </c>
      <c r="U1385" s="2" t="s">
        <v>73</v>
      </c>
      <c r="V1385" s="38" t="s">
        <v>3069</v>
      </c>
      <c r="W1385" s="38">
        <v>113</v>
      </c>
      <c r="X1385" s="40"/>
      <c r="Y1385" s="106"/>
      <c r="Z1385" s="40" t="s">
        <v>2939</v>
      </c>
      <c r="AA1385" s="40"/>
      <c r="AB1385" s="40"/>
      <c r="AC1385" s="40"/>
      <c r="AD1385" s="40" t="s">
        <v>2898</v>
      </c>
      <c r="AE1385" s="40"/>
      <c r="AF1385" s="40"/>
      <c r="AG1385" s="40"/>
      <c r="AH1385" s="40"/>
      <c r="AI1385" s="40"/>
      <c r="AJ1385" s="41" t="s">
        <v>2917</v>
      </c>
      <c r="AK1385" s="45"/>
      <c r="AL1385" s="54" t="s">
        <v>2908</v>
      </c>
      <c r="AM1385" s="53">
        <v>113</v>
      </c>
    </row>
    <row r="1386" spans="1:39" ht="27.6" x14ac:dyDescent="0.3">
      <c r="A1386" s="15">
        <v>1385</v>
      </c>
      <c r="B1386" s="40" t="s">
        <v>388</v>
      </c>
      <c r="C1386" s="38">
        <v>980</v>
      </c>
      <c r="D1386" s="38" t="s">
        <v>385</v>
      </c>
      <c r="E1386" s="40" t="s">
        <v>2915</v>
      </c>
      <c r="F1386" s="40" t="s">
        <v>4532</v>
      </c>
      <c r="G1386" s="41"/>
      <c r="H1386" s="150" t="s">
        <v>5608</v>
      </c>
      <c r="I1386" s="41"/>
      <c r="J1386" s="43">
        <v>201704</v>
      </c>
      <c r="K1386" s="43">
        <v>2661506</v>
      </c>
      <c r="L1386" s="43" t="s">
        <v>389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306</v>
      </c>
      <c r="U1386" s="2" t="str">
        <f>U1385</f>
        <v>難以採樣</v>
      </c>
      <c r="V1386" s="38" t="s">
        <v>3069</v>
      </c>
      <c r="W1386" s="38">
        <v>113</v>
      </c>
      <c r="X1386" s="40"/>
      <c r="Y1386" s="106"/>
      <c r="Z1386" s="40" t="s">
        <v>2939</v>
      </c>
      <c r="AA1386" s="40"/>
      <c r="AB1386" s="40"/>
      <c r="AC1386" s="40"/>
      <c r="AD1386" s="40" t="s">
        <v>2898</v>
      </c>
      <c r="AE1386" s="40"/>
      <c r="AF1386" s="40"/>
      <c r="AG1386" s="40"/>
      <c r="AH1386" s="40"/>
      <c r="AI1386" s="40"/>
      <c r="AJ1386" s="41" t="s">
        <v>2917</v>
      </c>
      <c r="AK1386" s="45"/>
      <c r="AL1386" s="54" t="s">
        <v>2908</v>
      </c>
      <c r="AM1386" s="53">
        <v>113</v>
      </c>
    </row>
    <row r="1387" spans="1:39" ht="14.4" thickBot="1" x14ac:dyDescent="0.35">
      <c r="A1387" s="15">
        <v>1386</v>
      </c>
      <c r="B1387" s="83" t="s">
        <v>390</v>
      </c>
      <c r="C1387" s="113">
        <v>992</v>
      </c>
      <c r="D1387" s="113" t="s">
        <v>3068</v>
      </c>
      <c r="E1387" s="83" t="s">
        <v>2915</v>
      </c>
      <c r="F1387" s="83" t="s">
        <v>4533</v>
      </c>
      <c r="G1387" s="47" t="s">
        <v>5604</v>
      </c>
      <c r="H1387" s="340" t="s">
        <v>5606</v>
      </c>
      <c r="I1387" s="47" t="s">
        <v>5609</v>
      </c>
      <c r="J1387" s="88">
        <v>201636.31599999999</v>
      </c>
      <c r="K1387" s="88">
        <v>2661503.2200000002</v>
      </c>
      <c r="L1387" s="88" t="s">
        <v>391</v>
      </c>
      <c r="M1387" s="88">
        <v>15.1</v>
      </c>
      <c r="N1387" s="88">
        <v>31.2</v>
      </c>
      <c r="O1387" s="88">
        <v>43.2</v>
      </c>
      <c r="P1387" s="88" t="s">
        <v>102</v>
      </c>
      <c r="Q1387" s="88">
        <v>24.1</v>
      </c>
      <c r="R1387" s="88">
        <v>124</v>
      </c>
      <c r="S1387" s="88">
        <v>55.8</v>
      </c>
      <c r="T1387" s="85" t="s">
        <v>306</v>
      </c>
      <c r="U1387" s="85" t="s">
        <v>3</v>
      </c>
      <c r="V1387" s="113" t="s">
        <v>3069</v>
      </c>
      <c r="W1387" s="113">
        <v>113</v>
      </c>
      <c r="X1387" s="83"/>
      <c r="Y1387" s="83"/>
      <c r="Z1387" s="83" t="s">
        <v>2939</v>
      </c>
      <c r="AA1387" s="83"/>
      <c r="AB1387" s="83"/>
      <c r="AC1387" s="83"/>
      <c r="AD1387" s="83" t="s">
        <v>2898</v>
      </c>
      <c r="AE1387" s="83"/>
      <c r="AF1387" s="83"/>
      <c r="AG1387" s="83"/>
      <c r="AH1387" s="83" t="s">
        <v>2898</v>
      </c>
      <c r="AI1387" s="83"/>
      <c r="AJ1387" s="83" t="s">
        <v>2898</v>
      </c>
      <c r="AK1387" s="99"/>
      <c r="AL1387" s="157" t="s">
        <v>2908</v>
      </c>
      <c r="AM1387" s="252">
        <v>113</v>
      </c>
    </row>
    <row r="1388" spans="1:39" ht="27.6" x14ac:dyDescent="0.3">
      <c r="A1388" s="15">
        <v>1387</v>
      </c>
      <c r="B1388" s="29" t="s">
        <v>397</v>
      </c>
      <c r="C1388" s="27">
        <v>1164</v>
      </c>
      <c r="D1388" s="27" t="s">
        <v>3070</v>
      </c>
      <c r="E1388" s="29" t="s">
        <v>2915</v>
      </c>
      <c r="F1388" s="29" t="s">
        <v>4534</v>
      </c>
      <c r="G1388" s="31"/>
      <c r="H1388" s="145" t="s">
        <v>5606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73</v>
      </c>
      <c r="V1388" s="331" t="s">
        <v>2952</v>
      </c>
      <c r="W1388" s="27">
        <v>113</v>
      </c>
      <c r="X1388" s="29"/>
      <c r="Y1388" s="102"/>
      <c r="Z1388" s="29"/>
      <c r="AA1388" s="29"/>
      <c r="AB1388" s="29" t="s">
        <v>2898</v>
      </c>
      <c r="AC1388" s="29"/>
      <c r="AD1388" s="29"/>
      <c r="AE1388" s="29"/>
      <c r="AF1388" s="29"/>
      <c r="AG1388" s="29"/>
      <c r="AH1388" s="29"/>
      <c r="AI1388" s="29"/>
      <c r="AJ1388" s="41" t="s">
        <v>2917</v>
      </c>
      <c r="AK1388" s="77"/>
      <c r="AL1388" s="105" t="s">
        <v>2908</v>
      </c>
      <c r="AM1388" s="252">
        <v>113</v>
      </c>
    </row>
    <row r="1389" spans="1:39" x14ac:dyDescent="0.3">
      <c r="A1389" s="15">
        <v>1388</v>
      </c>
      <c r="B1389" s="40" t="s">
        <v>939</v>
      </c>
      <c r="C1389" s="40">
        <v>877</v>
      </c>
      <c r="D1389" s="38" t="s">
        <v>938</v>
      </c>
      <c r="E1389" s="40" t="s">
        <v>2929</v>
      </c>
      <c r="F1389" s="40" t="s">
        <v>4535</v>
      </c>
      <c r="G1389" s="41" t="s">
        <v>5604</v>
      </c>
      <c r="H1389" s="150" t="s">
        <v>5607</v>
      </c>
      <c r="I1389" s="41" t="s">
        <v>5609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306</v>
      </c>
      <c r="U1389" s="2" t="s">
        <v>3</v>
      </c>
      <c r="V1389" s="150" t="s">
        <v>1193</v>
      </c>
      <c r="W1389" s="39">
        <v>109</v>
      </c>
      <c r="X1389" s="40"/>
      <c r="Y1389" s="40"/>
      <c r="Z1389" s="40"/>
      <c r="AA1389" s="40"/>
      <c r="AB1389" s="40"/>
      <c r="AC1389" s="40" t="s">
        <v>2939</v>
      </c>
      <c r="AD1389" s="40"/>
      <c r="AE1389" s="40"/>
      <c r="AF1389" s="40" t="s">
        <v>2898</v>
      </c>
      <c r="AG1389" s="40"/>
      <c r="AH1389" s="40"/>
      <c r="AI1389" s="40"/>
      <c r="AJ1389" s="168"/>
      <c r="AK1389" s="169"/>
      <c r="AL1389" s="54" t="s">
        <v>2908</v>
      </c>
      <c r="AM1389" s="53">
        <v>113</v>
      </c>
    </row>
    <row r="1390" spans="1:39" x14ac:dyDescent="0.3">
      <c r="A1390" s="15">
        <v>1389</v>
      </c>
      <c r="B1390" s="40" t="s">
        <v>940</v>
      </c>
      <c r="C1390" s="40">
        <v>878</v>
      </c>
      <c r="D1390" s="38" t="s">
        <v>938</v>
      </c>
      <c r="E1390" s="40" t="s">
        <v>2929</v>
      </c>
      <c r="F1390" s="40" t="s">
        <v>4536</v>
      </c>
      <c r="G1390" s="41" t="s">
        <v>5604</v>
      </c>
      <c r="H1390" s="150" t="s">
        <v>5606</v>
      </c>
      <c r="I1390" s="41" t="s">
        <v>5609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306</v>
      </c>
      <c r="U1390" s="2" t="s">
        <v>3</v>
      </c>
      <c r="V1390" s="150" t="s">
        <v>1193</v>
      </c>
      <c r="W1390" s="39">
        <v>113</v>
      </c>
      <c r="X1390" s="40"/>
      <c r="Y1390" s="40"/>
      <c r="Z1390" s="40"/>
      <c r="AA1390" s="40"/>
      <c r="AB1390" s="40"/>
      <c r="AC1390" s="40" t="s">
        <v>2939</v>
      </c>
      <c r="AD1390" s="40"/>
      <c r="AE1390" s="40"/>
      <c r="AF1390" s="40" t="s">
        <v>2898</v>
      </c>
      <c r="AG1390" s="40"/>
      <c r="AH1390" s="40"/>
      <c r="AI1390" s="40"/>
      <c r="AJ1390" s="83" t="s">
        <v>2898</v>
      </c>
      <c r="AK1390" s="99"/>
      <c r="AL1390" s="54" t="s">
        <v>2908</v>
      </c>
      <c r="AM1390" s="53">
        <v>113</v>
      </c>
    </row>
    <row r="1391" spans="1:39" x14ac:dyDescent="0.3">
      <c r="A1391" s="15">
        <v>1390</v>
      </c>
      <c r="B1391" s="40" t="s">
        <v>941</v>
      </c>
      <c r="C1391" s="40">
        <v>880</v>
      </c>
      <c r="D1391" s="38" t="s">
        <v>938</v>
      </c>
      <c r="E1391" s="40" t="s">
        <v>2929</v>
      </c>
      <c r="F1391" s="40" t="s">
        <v>4537</v>
      </c>
      <c r="G1391" s="50"/>
      <c r="H1391" s="150" t="s">
        <v>5607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1193</v>
      </c>
      <c r="W1391" s="39">
        <v>106</v>
      </c>
      <c r="X1391" s="40"/>
      <c r="Y1391" s="40"/>
      <c r="Z1391" s="40"/>
      <c r="AA1391" s="40"/>
      <c r="AB1391" s="40"/>
      <c r="AC1391" s="40" t="s">
        <v>2939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2908</v>
      </c>
      <c r="AM1391" s="53">
        <v>113</v>
      </c>
    </row>
    <row r="1392" spans="1:39" x14ac:dyDescent="0.3">
      <c r="A1392" s="15">
        <v>1391</v>
      </c>
      <c r="B1392" s="40" t="s">
        <v>942</v>
      </c>
      <c r="C1392" s="40">
        <v>881</v>
      </c>
      <c r="D1392" s="38" t="s">
        <v>938</v>
      </c>
      <c r="E1392" s="40" t="s">
        <v>2929</v>
      </c>
      <c r="F1392" s="40" t="s">
        <v>4538</v>
      </c>
      <c r="G1392" s="50"/>
      <c r="H1392" s="150" t="s">
        <v>5607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122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1193</v>
      </c>
      <c r="W1392" s="39">
        <v>106</v>
      </c>
      <c r="X1392" s="40"/>
      <c r="Y1392" s="40"/>
      <c r="Z1392" s="40"/>
      <c r="AA1392" s="40"/>
      <c r="AB1392" s="40"/>
      <c r="AC1392" s="40" t="s">
        <v>2939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2908</v>
      </c>
      <c r="AM1392" s="53">
        <v>113</v>
      </c>
    </row>
    <row r="1393" spans="1:48" x14ac:dyDescent="0.3">
      <c r="A1393" s="15">
        <v>1392</v>
      </c>
      <c r="B1393" s="40" t="s">
        <v>943</v>
      </c>
      <c r="C1393" s="40">
        <v>884</v>
      </c>
      <c r="D1393" s="38" t="s">
        <v>938</v>
      </c>
      <c r="E1393" s="40" t="s">
        <v>2929</v>
      </c>
      <c r="F1393" s="40" t="s">
        <v>4539</v>
      </c>
      <c r="G1393" s="50"/>
      <c r="H1393" s="150" t="s">
        <v>5607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1193</v>
      </c>
      <c r="W1393" s="39">
        <v>106</v>
      </c>
      <c r="X1393" s="40"/>
      <c r="Y1393" s="40"/>
      <c r="Z1393" s="40"/>
      <c r="AA1393" s="40"/>
      <c r="AB1393" s="40"/>
      <c r="AC1393" s="40" t="s">
        <v>2939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2908</v>
      </c>
      <c r="AM1393" s="53">
        <v>113</v>
      </c>
    </row>
    <row r="1394" spans="1:48" x14ac:dyDescent="0.3">
      <c r="A1394" s="15">
        <v>1393</v>
      </c>
      <c r="B1394" s="40" t="s">
        <v>944</v>
      </c>
      <c r="C1394" s="40">
        <v>885</v>
      </c>
      <c r="D1394" s="38" t="s">
        <v>938</v>
      </c>
      <c r="E1394" s="40" t="s">
        <v>2929</v>
      </c>
      <c r="F1394" s="40" t="s">
        <v>4540</v>
      </c>
      <c r="G1394" s="50"/>
      <c r="H1394" s="150" t="s">
        <v>5607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1193</v>
      </c>
      <c r="W1394" s="39">
        <v>106</v>
      </c>
      <c r="X1394" s="40"/>
      <c r="Y1394" s="40"/>
      <c r="Z1394" s="40"/>
      <c r="AA1394" s="40"/>
      <c r="AB1394" s="40"/>
      <c r="AC1394" s="40" t="s">
        <v>2939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2908</v>
      </c>
      <c r="AM1394" s="53">
        <v>113</v>
      </c>
    </row>
    <row r="1395" spans="1:48" x14ac:dyDescent="0.3">
      <c r="A1395" s="15">
        <v>1394</v>
      </c>
      <c r="B1395" s="40" t="s">
        <v>945</v>
      </c>
      <c r="C1395" s="40">
        <v>886</v>
      </c>
      <c r="D1395" s="38" t="s">
        <v>938</v>
      </c>
      <c r="E1395" s="40" t="s">
        <v>2929</v>
      </c>
      <c r="F1395" s="40" t="s">
        <v>4541</v>
      </c>
      <c r="G1395" s="41" t="s">
        <v>5604</v>
      </c>
      <c r="H1395" s="150" t="s">
        <v>5606</v>
      </c>
      <c r="I1395" s="41" t="s">
        <v>5609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306</v>
      </c>
      <c r="U1395" s="2" t="s">
        <v>3</v>
      </c>
      <c r="V1395" s="150" t="s">
        <v>1193</v>
      </c>
      <c r="W1395" s="39">
        <v>113</v>
      </c>
      <c r="X1395" s="40"/>
      <c r="Y1395" s="40"/>
      <c r="Z1395" s="40"/>
      <c r="AA1395" s="40"/>
      <c r="AB1395" s="40"/>
      <c r="AC1395" s="40" t="s">
        <v>2939</v>
      </c>
      <c r="AD1395" s="40"/>
      <c r="AE1395" s="40"/>
      <c r="AF1395" s="40" t="s">
        <v>2898</v>
      </c>
      <c r="AG1395" s="40"/>
      <c r="AH1395" s="40"/>
      <c r="AI1395" s="40"/>
      <c r="AJ1395" s="83" t="s">
        <v>2898</v>
      </c>
      <c r="AK1395" s="99"/>
      <c r="AL1395" s="54" t="s">
        <v>2908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938</v>
      </c>
      <c r="E1396" s="40" t="s">
        <v>2929</v>
      </c>
      <c r="F1396" s="40" t="s">
        <v>4542</v>
      </c>
      <c r="G1396" s="41" t="s">
        <v>5604</v>
      </c>
      <c r="H1396" s="150" t="s">
        <v>5606</v>
      </c>
      <c r="I1396" s="41" t="s">
        <v>5609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306</v>
      </c>
      <c r="U1396" s="2" t="s">
        <v>3</v>
      </c>
      <c r="V1396" s="150" t="s">
        <v>1193</v>
      </c>
      <c r="W1396" s="39">
        <v>113</v>
      </c>
      <c r="X1396" s="40"/>
      <c r="Y1396" s="40"/>
      <c r="Z1396" s="40"/>
      <c r="AA1396" s="40"/>
      <c r="AB1396" s="40"/>
      <c r="AC1396" s="40" t="s">
        <v>2939</v>
      </c>
      <c r="AD1396" s="40"/>
      <c r="AE1396" s="40"/>
      <c r="AF1396" s="40"/>
      <c r="AG1396" s="40"/>
      <c r="AH1396" s="40"/>
      <c r="AI1396" s="40"/>
      <c r="AJ1396" s="83" t="s">
        <v>2898</v>
      </c>
      <c r="AK1396" s="99"/>
      <c r="AL1396" s="54" t="s">
        <v>2908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938</v>
      </c>
      <c r="E1397" s="83" t="s">
        <v>2929</v>
      </c>
      <c r="F1397" s="83" t="s">
        <v>4543</v>
      </c>
      <c r="G1397" s="138"/>
      <c r="H1397" s="340" t="s">
        <v>5607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1193</v>
      </c>
      <c r="W1397" s="86">
        <v>106</v>
      </c>
      <c r="X1397" s="83"/>
      <c r="Y1397" s="83"/>
      <c r="Z1397" s="83"/>
      <c r="AA1397" s="83"/>
      <c r="AB1397" s="83"/>
      <c r="AC1397" s="83" t="s">
        <v>2939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2908</v>
      </c>
      <c r="AM1397" s="252">
        <v>113</v>
      </c>
    </row>
    <row r="1398" spans="1:48" x14ac:dyDescent="0.3">
      <c r="A1398" s="15">
        <v>1397</v>
      </c>
      <c r="B1398" s="40" t="s">
        <v>1783</v>
      </c>
      <c r="C1398" s="40">
        <v>548</v>
      </c>
      <c r="D1398" s="38" t="s">
        <v>1677</v>
      </c>
      <c r="E1398" s="40" t="s">
        <v>2963</v>
      </c>
      <c r="F1398" s="40" t="s">
        <v>4544</v>
      </c>
      <c r="G1398" s="41" t="s">
        <v>5604</v>
      </c>
      <c r="H1398" s="150" t="s">
        <v>5606</v>
      </c>
      <c r="I1398" s="41" t="s">
        <v>5609</v>
      </c>
      <c r="J1398" s="43">
        <v>198901.42</v>
      </c>
      <c r="K1398" s="43">
        <v>2664765.7400000002</v>
      </c>
      <c r="L1398" s="43" t="s">
        <v>40</v>
      </c>
      <c r="M1398" s="44">
        <v>21</v>
      </c>
      <c r="N1398" s="43">
        <v>158</v>
      </c>
      <c r="O1398" s="43">
        <v>143</v>
      </c>
      <c r="P1398" s="43" t="s">
        <v>41</v>
      </c>
      <c r="Q1398" s="43">
        <v>34</v>
      </c>
      <c r="R1398" s="43">
        <v>287</v>
      </c>
      <c r="S1398" s="43">
        <v>161</v>
      </c>
      <c r="T1398" s="2" t="s">
        <v>575</v>
      </c>
      <c r="U1398" s="2" t="s">
        <v>303</v>
      </c>
      <c r="V1398" s="97" t="s">
        <v>575</v>
      </c>
      <c r="W1398" s="39">
        <v>113</v>
      </c>
      <c r="X1398" s="40"/>
      <c r="Y1398" s="106"/>
      <c r="Z1398" s="40"/>
      <c r="AA1398" s="40" t="s">
        <v>2939</v>
      </c>
      <c r="AB1398" s="40"/>
      <c r="AC1398" s="40"/>
      <c r="AD1398" s="40" t="s">
        <v>2898</v>
      </c>
      <c r="AE1398" s="40"/>
      <c r="AF1398" s="40"/>
      <c r="AG1398" s="40"/>
      <c r="AH1398" s="40"/>
      <c r="AI1398" s="40"/>
      <c r="AJ1398" s="39" t="s">
        <v>2968</v>
      </c>
      <c r="AK1398" s="191"/>
      <c r="AL1398" s="332" t="s">
        <v>2967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3071</v>
      </c>
      <c r="C1399" s="40">
        <v>299</v>
      </c>
      <c r="D1399" s="38" t="s">
        <v>1826</v>
      </c>
      <c r="E1399" s="40" t="s">
        <v>2963</v>
      </c>
      <c r="F1399" s="40" t="s">
        <v>4545</v>
      </c>
      <c r="G1399" s="223" t="s">
        <v>5604</v>
      </c>
      <c r="H1399" s="150" t="s">
        <v>5606</v>
      </c>
      <c r="I1399" s="223" t="s">
        <v>5609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575</v>
      </c>
      <c r="U1399" s="2" t="s">
        <v>8</v>
      </c>
      <c r="V1399" s="150" t="s">
        <v>575</v>
      </c>
      <c r="W1399" s="39">
        <v>113</v>
      </c>
      <c r="X1399" s="40"/>
      <c r="Y1399" s="40"/>
      <c r="Z1399" s="40"/>
      <c r="AA1399" s="40" t="s">
        <v>2939</v>
      </c>
      <c r="AB1399" s="40"/>
      <c r="AC1399" s="40"/>
      <c r="AD1399" s="40"/>
      <c r="AE1399" s="40" t="s">
        <v>2939</v>
      </c>
      <c r="AF1399" s="40"/>
      <c r="AG1399" s="40"/>
      <c r="AH1399" s="40"/>
      <c r="AI1399" s="40"/>
      <c r="AJ1399" s="334" t="s">
        <v>303</v>
      </c>
      <c r="AK1399" s="335"/>
      <c r="AL1399" s="157" t="s">
        <v>2908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1171</v>
      </c>
      <c r="C1400" s="58">
        <v>2328</v>
      </c>
      <c r="D1400" s="56" t="s">
        <v>1011</v>
      </c>
      <c r="E1400" s="58" t="s">
        <v>2915</v>
      </c>
      <c r="F1400" s="58" t="s">
        <v>4546</v>
      </c>
      <c r="G1400" s="60" t="s">
        <v>5604</v>
      </c>
      <c r="H1400" s="226" t="s">
        <v>5607</v>
      </c>
      <c r="I1400" s="60" t="s">
        <v>5609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306</v>
      </c>
      <c r="U1400" s="59" t="s">
        <v>3</v>
      </c>
      <c r="V1400" s="226" t="s">
        <v>1193</v>
      </c>
      <c r="W1400" s="57">
        <v>113</v>
      </c>
      <c r="X1400" s="58"/>
      <c r="Y1400" s="109"/>
      <c r="Z1400" s="58"/>
      <c r="AA1400" s="58" t="s">
        <v>2939</v>
      </c>
      <c r="AB1400" s="58"/>
      <c r="AC1400" s="58"/>
      <c r="AD1400" s="58"/>
      <c r="AE1400" s="58"/>
      <c r="AF1400" s="58" t="s">
        <v>2898</v>
      </c>
      <c r="AG1400" s="58"/>
      <c r="AH1400" s="58"/>
      <c r="AI1400" s="58"/>
      <c r="AJ1400" s="83" t="s">
        <v>2898</v>
      </c>
      <c r="AK1400" s="99"/>
      <c r="AL1400" s="110" t="s">
        <v>2908</v>
      </c>
      <c r="AM1400" s="175">
        <v>113</v>
      </c>
    </row>
    <row r="1401" spans="1:48" ht="27.6" x14ac:dyDescent="0.3">
      <c r="A1401" s="15">
        <v>1400</v>
      </c>
      <c r="B1401" s="29" t="s">
        <v>1250</v>
      </c>
      <c r="C1401" s="29">
        <v>1039</v>
      </c>
      <c r="D1401" s="27" t="s">
        <v>3072</v>
      </c>
      <c r="E1401" s="29" t="s">
        <v>2915</v>
      </c>
      <c r="F1401" s="29" t="s">
        <v>4547</v>
      </c>
      <c r="G1401" s="192"/>
      <c r="H1401" s="145" t="s">
        <v>5608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331</v>
      </c>
      <c r="Q1401" s="33">
        <v>39.799999999999997</v>
      </c>
      <c r="R1401" s="33">
        <v>299</v>
      </c>
      <c r="S1401" s="33">
        <v>177</v>
      </c>
      <c r="T1401" s="141"/>
      <c r="U1401" s="30" t="s">
        <v>73</v>
      </c>
      <c r="V1401" s="336" t="s">
        <v>92</v>
      </c>
      <c r="W1401" s="28">
        <v>113</v>
      </c>
      <c r="X1401" s="29"/>
      <c r="Y1401" s="102"/>
      <c r="Z1401" s="29"/>
      <c r="AA1401" s="29"/>
      <c r="AB1401" s="29" t="s">
        <v>2939</v>
      </c>
      <c r="AC1401" s="29"/>
      <c r="AD1401" s="29"/>
      <c r="AE1401" s="29"/>
      <c r="AF1401" s="29"/>
      <c r="AG1401" s="29"/>
      <c r="AH1401" s="29"/>
      <c r="AI1401" s="29"/>
      <c r="AJ1401" s="41" t="s">
        <v>2917</v>
      </c>
      <c r="AK1401" s="77"/>
      <c r="AL1401" s="105" t="s">
        <v>2908</v>
      </c>
      <c r="AM1401" s="164">
        <v>113</v>
      </c>
    </row>
    <row r="1402" spans="1:48" ht="27" thickBot="1" x14ac:dyDescent="0.35">
      <c r="A1402" s="15">
        <v>1401</v>
      </c>
      <c r="B1402" s="83" t="s">
        <v>1253</v>
      </c>
      <c r="C1402" s="83">
        <v>1037</v>
      </c>
      <c r="D1402" s="113" t="s">
        <v>1249</v>
      </c>
      <c r="E1402" s="83" t="s">
        <v>2915</v>
      </c>
      <c r="F1402" s="83" t="s">
        <v>4548</v>
      </c>
      <c r="G1402" s="47" t="s">
        <v>5604</v>
      </c>
      <c r="H1402" s="340" t="s">
        <v>5608</v>
      </c>
      <c r="I1402" s="47" t="s">
        <v>5609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708</v>
      </c>
      <c r="U1402" s="85" t="s">
        <v>56</v>
      </c>
      <c r="V1402" s="337" t="s">
        <v>92</v>
      </c>
      <c r="W1402" s="86">
        <v>109</v>
      </c>
      <c r="X1402" s="83"/>
      <c r="Y1402" s="83" t="s">
        <v>2939</v>
      </c>
      <c r="Z1402" s="83"/>
      <c r="AA1402" s="83"/>
      <c r="AB1402" s="83" t="s">
        <v>2939</v>
      </c>
      <c r="AC1402" s="83"/>
      <c r="AD1402" s="83"/>
      <c r="AE1402" s="83"/>
      <c r="AF1402" s="83" t="s">
        <v>2943</v>
      </c>
      <c r="AG1402" s="83"/>
      <c r="AH1402" s="83"/>
      <c r="AI1402" s="83"/>
      <c r="AJ1402" s="86"/>
      <c r="AK1402" s="191"/>
      <c r="AL1402" s="157" t="s">
        <v>2908</v>
      </c>
      <c r="AM1402" s="154">
        <v>113</v>
      </c>
    </row>
    <row r="1403" spans="1:48" ht="26.4" x14ac:dyDescent="0.3">
      <c r="A1403" s="15">
        <v>1402</v>
      </c>
      <c r="B1403" s="29" t="s">
        <v>1256</v>
      </c>
      <c r="C1403" s="29">
        <v>1044</v>
      </c>
      <c r="D1403" s="27" t="s">
        <v>1255</v>
      </c>
      <c r="E1403" s="29" t="s">
        <v>2915</v>
      </c>
      <c r="F1403" s="29" t="s">
        <v>4549</v>
      </c>
      <c r="G1403" s="192"/>
      <c r="H1403" s="145" t="s">
        <v>5606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88</v>
      </c>
      <c r="V1403" s="145" t="s">
        <v>1193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2909</v>
      </c>
      <c r="AK1403" s="190"/>
      <c r="AL1403" s="105" t="s">
        <v>2908</v>
      </c>
      <c r="AM1403" s="164">
        <v>113</v>
      </c>
    </row>
    <row r="1404" spans="1:48" ht="26.4" x14ac:dyDescent="0.3">
      <c r="A1404" s="15">
        <v>1403</v>
      </c>
      <c r="B1404" s="40" t="s">
        <v>1261</v>
      </c>
      <c r="C1404" s="40">
        <v>1023</v>
      </c>
      <c r="D1404" s="38" t="s">
        <v>3073</v>
      </c>
      <c r="E1404" s="40" t="s">
        <v>2915</v>
      </c>
      <c r="F1404" s="40" t="s">
        <v>4550</v>
      </c>
      <c r="G1404" s="50"/>
      <c r="H1404" s="150" t="s">
        <v>5606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306</v>
      </c>
      <c r="U1404" s="2" t="s">
        <v>3</v>
      </c>
      <c r="V1404" s="150" t="s">
        <v>1193</v>
      </c>
      <c r="W1404" s="39">
        <v>113</v>
      </c>
      <c r="X1404" s="40"/>
      <c r="Y1404" s="106"/>
      <c r="Z1404" s="40" t="s">
        <v>2898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2898</v>
      </c>
      <c r="AK1404" s="99"/>
      <c r="AL1404" s="54" t="s">
        <v>2908</v>
      </c>
      <c r="AM1404" s="167">
        <v>113</v>
      </c>
    </row>
    <row r="1405" spans="1:48" ht="26.4" x14ac:dyDescent="0.3">
      <c r="A1405" s="15">
        <v>1404</v>
      </c>
      <c r="B1405" s="40" t="s">
        <v>1262</v>
      </c>
      <c r="C1405" s="40">
        <v>1024</v>
      </c>
      <c r="D1405" s="38" t="s">
        <v>1255</v>
      </c>
      <c r="E1405" s="40" t="s">
        <v>2915</v>
      </c>
      <c r="F1405" s="40" t="s">
        <v>4551</v>
      </c>
      <c r="G1405" s="50"/>
      <c r="H1405" s="150" t="s">
        <v>5606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73</v>
      </c>
      <c r="V1405" s="150" t="s">
        <v>1193</v>
      </c>
      <c r="W1405" s="39">
        <v>113</v>
      </c>
      <c r="X1405" s="40"/>
      <c r="Y1405" s="106"/>
      <c r="Z1405" s="40"/>
      <c r="AA1405" s="40"/>
      <c r="AB1405" s="40" t="s">
        <v>2939</v>
      </c>
      <c r="AC1405" s="40"/>
      <c r="AD1405" s="40"/>
      <c r="AE1405" s="40"/>
      <c r="AF1405" s="40"/>
      <c r="AG1405" s="40"/>
      <c r="AH1405" s="40"/>
      <c r="AI1405" s="40"/>
      <c r="AJ1405" s="338" t="s">
        <v>2917</v>
      </c>
      <c r="AK1405" s="339"/>
      <c r="AL1405" s="54" t="s">
        <v>2908</v>
      </c>
      <c r="AM1405" s="167">
        <v>113</v>
      </c>
    </row>
    <row r="1406" spans="1:48" ht="26.4" x14ac:dyDescent="0.3">
      <c r="A1406" s="15">
        <v>1405</v>
      </c>
      <c r="B1406" s="83" t="s">
        <v>1263</v>
      </c>
      <c r="C1406" s="83">
        <v>1025</v>
      </c>
      <c r="D1406" s="113" t="s">
        <v>1255</v>
      </c>
      <c r="E1406" s="83" t="s">
        <v>2915</v>
      </c>
      <c r="F1406" s="83" t="s">
        <v>4552</v>
      </c>
      <c r="G1406" s="138"/>
      <c r="H1406" s="340" t="s">
        <v>5607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73</v>
      </c>
      <c r="V1406" s="340" t="s">
        <v>1193</v>
      </c>
      <c r="W1406" s="86">
        <v>113</v>
      </c>
      <c r="X1406" s="83"/>
      <c r="Y1406" s="137"/>
      <c r="Z1406" s="83"/>
      <c r="AA1406" s="83"/>
      <c r="AB1406" s="83"/>
      <c r="AC1406" s="83" t="s">
        <v>2939</v>
      </c>
      <c r="AD1406" s="83"/>
      <c r="AE1406" s="83"/>
      <c r="AF1406" s="83"/>
      <c r="AG1406" s="83"/>
      <c r="AH1406" s="83"/>
      <c r="AI1406" s="83"/>
      <c r="AJ1406" s="341" t="s">
        <v>2917</v>
      </c>
      <c r="AK1406" s="342"/>
      <c r="AL1406" s="157" t="s">
        <v>2908</v>
      </c>
      <c r="AM1406" s="154">
        <v>113</v>
      </c>
    </row>
    <row r="1407" spans="1:48" x14ac:dyDescent="0.3">
      <c r="A1407" s="15">
        <v>1406</v>
      </c>
      <c r="B1407" s="40" t="s">
        <v>1195</v>
      </c>
      <c r="C1407" s="40">
        <v>321</v>
      </c>
      <c r="D1407" s="38" t="s">
        <v>1192</v>
      </c>
      <c r="E1407" s="40" t="s">
        <v>2963</v>
      </c>
      <c r="F1407" s="40" t="s">
        <v>4553</v>
      </c>
      <c r="G1407" s="223" t="s">
        <v>5604</v>
      </c>
      <c r="H1407" s="150" t="s">
        <v>5606</v>
      </c>
      <c r="I1407" s="223" t="s">
        <v>5609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306</v>
      </c>
      <c r="U1407" s="2" t="s">
        <v>3</v>
      </c>
      <c r="V1407" s="150" t="s">
        <v>1193</v>
      </c>
      <c r="W1407" s="39">
        <v>113</v>
      </c>
      <c r="X1407" s="40"/>
      <c r="Y1407" s="40"/>
      <c r="Z1407" s="40" t="s">
        <v>2939</v>
      </c>
      <c r="AA1407" s="40"/>
      <c r="AB1407" s="40"/>
      <c r="AC1407" s="40"/>
      <c r="AD1407" s="40"/>
      <c r="AE1407" s="40" t="s">
        <v>2898</v>
      </c>
      <c r="AF1407" s="40"/>
      <c r="AG1407" s="40"/>
      <c r="AH1407" s="40"/>
      <c r="AI1407" s="40"/>
      <c r="AJ1407" s="38" t="s">
        <v>3074</v>
      </c>
      <c r="AK1407" s="162"/>
      <c r="AL1407" s="54" t="s">
        <v>2908</v>
      </c>
      <c r="AM1407" s="167">
        <v>113</v>
      </c>
    </row>
    <row r="1408" spans="1:48" x14ac:dyDescent="0.3">
      <c r="A1408" s="15">
        <v>1407</v>
      </c>
      <c r="B1408" s="40" t="s">
        <v>1198</v>
      </c>
      <c r="C1408" s="40">
        <v>2115</v>
      </c>
      <c r="D1408" s="38" t="s">
        <v>1192</v>
      </c>
      <c r="E1408" s="40" t="s">
        <v>2963</v>
      </c>
      <c r="F1408" s="40" t="s">
        <v>4554</v>
      </c>
      <c r="G1408" s="223" t="s">
        <v>5604</v>
      </c>
      <c r="H1408" s="150" t="s">
        <v>5607</v>
      </c>
      <c r="I1408" s="223" t="s">
        <v>5609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306</v>
      </c>
      <c r="U1408" s="2" t="s">
        <v>306</v>
      </c>
      <c r="V1408" s="150" t="s">
        <v>1193</v>
      </c>
      <c r="W1408" s="39">
        <v>113</v>
      </c>
      <c r="X1408" s="40"/>
      <c r="Y1408" s="40"/>
      <c r="Z1408" s="40" t="s">
        <v>2939</v>
      </c>
      <c r="AA1408" s="40"/>
      <c r="AB1408" s="40"/>
      <c r="AC1408" s="40"/>
      <c r="AD1408" s="40" t="s">
        <v>2939</v>
      </c>
      <c r="AE1408" s="40"/>
      <c r="AF1408" s="40"/>
      <c r="AG1408" s="40"/>
      <c r="AH1408" s="40"/>
      <c r="AI1408" s="40"/>
      <c r="AJ1408" s="38" t="s">
        <v>3074</v>
      </c>
      <c r="AK1408" s="162"/>
      <c r="AL1408" s="54" t="s">
        <v>2908</v>
      </c>
      <c r="AM1408" s="167">
        <v>113</v>
      </c>
    </row>
    <row r="1409" spans="1:48" x14ac:dyDescent="0.3">
      <c r="A1409" s="15">
        <v>1408</v>
      </c>
      <c r="B1409" s="40" t="s">
        <v>1203</v>
      </c>
      <c r="C1409" s="40">
        <v>322</v>
      </c>
      <c r="D1409" s="38" t="s">
        <v>1192</v>
      </c>
      <c r="E1409" s="40" t="s">
        <v>2963</v>
      </c>
      <c r="F1409" s="40" t="s">
        <v>4555</v>
      </c>
      <c r="G1409" s="223" t="s">
        <v>5604</v>
      </c>
      <c r="H1409" s="150" t="s">
        <v>5607</v>
      </c>
      <c r="I1409" s="223" t="s">
        <v>5609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306</v>
      </c>
      <c r="U1409" s="2" t="s">
        <v>3</v>
      </c>
      <c r="V1409" s="150" t="s">
        <v>1193</v>
      </c>
      <c r="W1409" s="39">
        <v>113</v>
      </c>
      <c r="X1409" s="40"/>
      <c r="Y1409" s="40"/>
      <c r="Z1409" s="40" t="s">
        <v>2939</v>
      </c>
      <c r="AA1409" s="40"/>
      <c r="AB1409" s="40"/>
      <c r="AC1409" s="40"/>
      <c r="AD1409" s="40" t="s">
        <v>2898</v>
      </c>
      <c r="AE1409" s="40"/>
      <c r="AF1409" s="40"/>
      <c r="AG1409" s="40"/>
      <c r="AH1409" s="40"/>
      <c r="AI1409" s="40"/>
      <c r="AJ1409" s="38" t="s">
        <v>3074</v>
      </c>
      <c r="AK1409" s="162"/>
      <c r="AL1409" s="54" t="s">
        <v>2908</v>
      </c>
      <c r="AM1409" s="167">
        <v>113</v>
      </c>
    </row>
    <row r="1410" spans="1:48" ht="14.4" thickBot="1" x14ac:dyDescent="0.35">
      <c r="A1410" s="15">
        <v>1409</v>
      </c>
      <c r="B1410" s="58" t="s">
        <v>1204</v>
      </c>
      <c r="C1410" s="58">
        <v>367</v>
      </c>
      <c r="D1410" s="56" t="s">
        <v>1192</v>
      </c>
      <c r="E1410" s="58" t="s">
        <v>2963</v>
      </c>
      <c r="F1410" s="58" t="s">
        <v>4556</v>
      </c>
      <c r="G1410" s="127"/>
      <c r="H1410" s="226" t="s">
        <v>5607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1193</v>
      </c>
      <c r="W1410" s="57">
        <v>106</v>
      </c>
      <c r="X1410" s="58"/>
      <c r="Y1410" s="58"/>
      <c r="Z1410" s="58"/>
      <c r="AA1410" s="58"/>
      <c r="AB1410" s="58" t="s">
        <v>2939</v>
      </c>
      <c r="AC1410" s="58" t="s">
        <v>2939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2908</v>
      </c>
      <c r="AM1410" s="175">
        <v>113</v>
      </c>
    </row>
    <row r="1411" spans="1:48" x14ac:dyDescent="0.3">
      <c r="A1411" s="15">
        <v>1410</v>
      </c>
      <c r="B1411" s="40" t="s">
        <v>1399</v>
      </c>
      <c r="C1411" s="40">
        <v>2219</v>
      </c>
      <c r="D1411" s="38" t="s">
        <v>1396</v>
      </c>
      <c r="E1411" s="40" t="s">
        <v>2915</v>
      </c>
      <c r="F1411" s="40" t="s">
        <v>4557</v>
      </c>
      <c r="G1411" s="41" t="s">
        <v>5604</v>
      </c>
      <c r="H1411" s="340" t="s">
        <v>5608</v>
      </c>
      <c r="I1411" s="41" t="s">
        <v>5609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708</v>
      </c>
      <c r="U1411" s="2" t="s">
        <v>56</v>
      </c>
      <c r="V1411" s="343" t="s">
        <v>1193</v>
      </c>
      <c r="W1411" s="39">
        <v>109</v>
      </c>
      <c r="X1411" s="40"/>
      <c r="Y1411" s="106"/>
      <c r="Z1411" s="40"/>
      <c r="AA1411" s="40"/>
      <c r="AB1411" s="40" t="s">
        <v>2939</v>
      </c>
      <c r="AC1411" s="40"/>
      <c r="AD1411" s="40"/>
      <c r="AE1411" s="40"/>
      <c r="AF1411" s="40" t="s">
        <v>2943</v>
      </c>
      <c r="AG1411" s="40"/>
      <c r="AH1411" s="40"/>
      <c r="AI1411" s="40"/>
      <c r="AJ1411" s="39"/>
      <c r="AK1411" s="125"/>
      <c r="AL1411" s="54" t="s">
        <v>2908</v>
      </c>
      <c r="AM1411" s="167">
        <v>113</v>
      </c>
    </row>
    <row r="1412" spans="1:48" ht="14.4" thickBot="1" x14ac:dyDescent="0.35">
      <c r="A1412" s="15">
        <v>1411</v>
      </c>
      <c r="B1412" s="83" t="s">
        <v>1401</v>
      </c>
      <c r="C1412" s="83">
        <v>2281</v>
      </c>
      <c r="D1412" s="113" t="s">
        <v>1396</v>
      </c>
      <c r="E1412" s="83" t="s">
        <v>2915</v>
      </c>
      <c r="F1412" s="83" t="s">
        <v>4558</v>
      </c>
      <c r="G1412" s="138"/>
      <c r="H1412" s="340" t="s">
        <v>5606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73</v>
      </c>
      <c r="V1412" s="337" t="s">
        <v>1193</v>
      </c>
      <c r="W1412" s="86">
        <v>113</v>
      </c>
      <c r="X1412" s="83"/>
      <c r="Y1412" s="83"/>
      <c r="Z1412" s="83"/>
      <c r="AA1412" s="83" t="s">
        <v>2939</v>
      </c>
      <c r="AB1412" s="83"/>
      <c r="AC1412" s="83"/>
      <c r="AD1412" s="83" t="s">
        <v>2939</v>
      </c>
      <c r="AE1412" s="83"/>
      <c r="AF1412" s="83"/>
      <c r="AG1412" s="83"/>
      <c r="AH1412" s="83"/>
      <c r="AI1412" s="83"/>
      <c r="AJ1412" s="341" t="s">
        <v>2917</v>
      </c>
      <c r="AK1412" s="342"/>
      <c r="AL1412" s="157" t="s">
        <v>2908</v>
      </c>
      <c r="AM1412" s="252">
        <v>113</v>
      </c>
    </row>
    <row r="1413" spans="1:48" x14ac:dyDescent="0.3">
      <c r="A1413" s="15">
        <v>1412</v>
      </c>
      <c r="B1413" s="29" t="s">
        <v>1492</v>
      </c>
      <c r="C1413" s="29">
        <v>597</v>
      </c>
      <c r="D1413" s="27" t="s">
        <v>1491</v>
      </c>
      <c r="E1413" s="29" t="s">
        <v>2963</v>
      </c>
      <c r="F1413" s="29" t="s">
        <v>4559</v>
      </c>
      <c r="G1413" s="192"/>
      <c r="H1413" s="145" t="s">
        <v>5607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59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575</v>
      </c>
      <c r="W1413" s="28">
        <v>108</v>
      </c>
      <c r="X1413" s="29"/>
      <c r="Y1413" s="29"/>
      <c r="Z1413" s="29"/>
      <c r="AA1413" s="29" t="s">
        <v>2939</v>
      </c>
      <c r="AB1413" s="29"/>
      <c r="AC1413" s="29"/>
      <c r="AD1413" s="29"/>
      <c r="AE1413" s="29" t="s">
        <v>2939</v>
      </c>
      <c r="AF1413" s="29"/>
      <c r="AG1413" s="29"/>
      <c r="AH1413" s="29"/>
      <c r="AI1413" s="29"/>
      <c r="AJ1413" s="28"/>
      <c r="AK1413" s="190"/>
      <c r="AL1413" s="105" t="s">
        <v>2908</v>
      </c>
      <c r="AM1413" s="219">
        <v>113</v>
      </c>
      <c r="AO1413" s="220"/>
    </row>
    <row r="1414" spans="1:48" x14ac:dyDescent="0.3">
      <c r="A1414" s="15">
        <v>1413</v>
      </c>
      <c r="B1414" s="40" t="s">
        <v>1493</v>
      </c>
      <c r="C1414" s="40">
        <v>598</v>
      </c>
      <c r="D1414" s="38" t="s">
        <v>1491</v>
      </c>
      <c r="E1414" s="40" t="s">
        <v>2963</v>
      </c>
      <c r="F1414" s="40" t="s">
        <v>4560</v>
      </c>
      <c r="G1414" s="50"/>
      <c r="H1414" s="340" t="s">
        <v>5606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236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575</v>
      </c>
      <c r="W1414" s="39">
        <v>108</v>
      </c>
      <c r="X1414" s="40"/>
      <c r="Y1414" s="40"/>
      <c r="Z1414" s="40"/>
      <c r="AA1414" s="40" t="s">
        <v>2939</v>
      </c>
      <c r="AB1414" s="40"/>
      <c r="AC1414" s="40"/>
      <c r="AD1414" s="40"/>
      <c r="AE1414" s="40" t="s">
        <v>2898</v>
      </c>
      <c r="AF1414" s="40"/>
      <c r="AG1414" s="40"/>
      <c r="AH1414" s="40"/>
      <c r="AI1414" s="40"/>
      <c r="AJ1414" s="39"/>
      <c r="AK1414" s="125"/>
      <c r="AL1414" s="54" t="s">
        <v>2908</v>
      </c>
      <c r="AM1414" s="53">
        <v>113</v>
      </c>
      <c r="AO1414" s="220"/>
    </row>
    <row r="1415" spans="1:48" x14ac:dyDescent="0.3">
      <c r="A1415" s="15">
        <v>1414</v>
      </c>
      <c r="B1415" s="40" t="s">
        <v>1495</v>
      </c>
      <c r="C1415" s="40">
        <v>600</v>
      </c>
      <c r="D1415" s="38" t="s">
        <v>1491</v>
      </c>
      <c r="E1415" s="40" t="s">
        <v>2963</v>
      </c>
      <c r="F1415" s="40" t="s">
        <v>4561</v>
      </c>
      <c r="G1415" s="50"/>
      <c r="H1415" s="150" t="s">
        <v>5607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55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575</v>
      </c>
      <c r="W1415" s="39">
        <v>108</v>
      </c>
      <c r="X1415" s="40"/>
      <c r="Y1415" s="40"/>
      <c r="Z1415" s="40"/>
      <c r="AA1415" s="40" t="s">
        <v>2939</v>
      </c>
      <c r="AB1415" s="40"/>
      <c r="AC1415" s="40"/>
      <c r="AD1415" s="40"/>
      <c r="AE1415" s="40" t="s">
        <v>2939</v>
      </c>
      <c r="AF1415" s="40"/>
      <c r="AG1415" s="40"/>
      <c r="AH1415" s="40"/>
      <c r="AI1415" s="40"/>
      <c r="AJ1415" s="39"/>
      <c r="AK1415" s="125"/>
      <c r="AL1415" s="54" t="s">
        <v>2908</v>
      </c>
      <c r="AM1415" s="53">
        <v>113</v>
      </c>
      <c r="AO1415" s="220"/>
    </row>
    <row r="1416" spans="1:48" x14ac:dyDescent="0.3">
      <c r="A1416" s="15">
        <v>1415</v>
      </c>
      <c r="B1416" s="40" t="s">
        <v>1735</v>
      </c>
      <c r="C1416" s="40">
        <v>2070</v>
      </c>
      <c r="D1416" s="40" t="s">
        <v>1734</v>
      </c>
      <c r="E1416" s="40" t="s">
        <v>2963</v>
      </c>
      <c r="F1416" s="40" t="s">
        <v>4562</v>
      </c>
      <c r="G1416" s="344" t="s">
        <v>5604</v>
      </c>
      <c r="H1416" s="150" t="s">
        <v>5606</v>
      </c>
      <c r="I1416" s="344" t="s">
        <v>5609</v>
      </c>
      <c r="J1416" s="43">
        <v>201375.80300000001</v>
      </c>
      <c r="K1416" s="43">
        <v>2664765.338</v>
      </c>
      <c r="L1416" s="43" t="s">
        <v>40</v>
      </c>
      <c r="M1416" s="44">
        <v>10</v>
      </c>
      <c r="N1416" s="43">
        <v>70</v>
      </c>
      <c r="O1416" s="43">
        <v>96</v>
      </c>
      <c r="P1416" s="43" t="s">
        <v>41</v>
      </c>
      <c r="Q1416" s="43">
        <v>36</v>
      </c>
      <c r="R1416" s="43">
        <v>152</v>
      </c>
      <c r="S1416" s="43">
        <v>166</v>
      </c>
      <c r="T1416" s="2" t="s">
        <v>575</v>
      </c>
      <c r="U1416" s="2" t="s">
        <v>8</v>
      </c>
      <c r="V1416" s="150" t="s">
        <v>575</v>
      </c>
      <c r="W1416" s="39">
        <v>113</v>
      </c>
      <c r="X1416" s="40"/>
      <c r="Y1416" s="106"/>
      <c r="Z1416" s="40"/>
      <c r="AA1416" s="40"/>
      <c r="AB1416" s="40"/>
      <c r="AC1416" s="40" t="s">
        <v>2939</v>
      </c>
      <c r="AD1416" s="40"/>
      <c r="AE1416" s="40"/>
      <c r="AF1416" s="40"/>
      <c r="AG1416" s="40"/>
      <c r="AH1416" s="40"/>
      <c r="AI1416" s="40"/>
      <c r="AJ1416" s="39" t="s">
        <v>2968</v>
      </c>
      <c r="AK1416" s="125"/>
      <c r="AL1416" s="189" t="s">
        <v>2967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1497</v>
      </c>
      <c r="C1417" s="40">
        <v>605</v>
      </c>
      <c r="D1417" s="38" t="s">
        <v>1491</v>
      </c>
      <c r="E1417" s="40" t="s">
        <v>2963</v>
      </c>
      <c r="F1417" s="40" t="s">
        <v>4563</v>
      </c>
      <c r="G1417" s="50"/>
      <c r="H1417" s="150" t="s">
        <v>5607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575</v>
      </c>
      <c r="W1417" s="39">
        <v>108</v>
      </c>
      <c r="X1417" s="40"/>
      <c r="Y1417" s="40"/>
      <c r="Z1417" s="40"/>
      <c r="AA1417" s="40" t="s">
        <v>2939</v>
      </c>
      <c r="AB1417" s="40"/>
      <c r="AC1417" s="40"/>
      <c r="AD1417" s="40"/>
      <c r="AE1417" s="40" t="s">
        <v>2939</v>
      </c>
      <c r="AF1417" s="40"/>
      <c r="AG1417" s="40"/>
      <c r="AH1417" s="40"/>
      <c r="AI1417" s="40"/>
      <c r="AJ1417" s="39"/>
      <c r="AK1417" s="125"/>
      <c r="AL1417" s="54" t="s">
        <v>2908</v>
      </c>
      <c r="AM1417" s="53">
        <v>113</v>
      </c>
      <c r="AO1417" s="220"/>
    </row>
    <row r="1418" spans="1:48" x14ac:dyDescent="0.3">
      <c r="A1418" s="15">
        <v>1417</v>
      </c>
      <c r="B1418" s="40" t="s">
        <v>1498</v>
      </c>
      <c r="C1418" s="40">
        <v>606</v>
      </c>
      <c r="D1418" s="38" t="s">
        <v>1491</v>
      </c>
      <c r="E1418" s="40" t="s">
        <v>2963</v>
      </c>
      <c r="F1418" s="40" t="s">
        <v>4564</v>
      </c>
      <c r="G1418" s="41" t="s">
        <v>5604</v>
      </c>
      <c r="H1418" s="340" t="s">
        <v>5606</v>
      </c>
      <c r="I1418" s="41" t="s">
        <v>5609</v>
      </c>
      <c r="J1418" s="43">
        <v>198148.26800000001</v>
      </c>
      <c r="K1418" s="43">
        <v>2664415.4939999999</v>
      </c>
      <c r="L1418" s="43" t="s">
        <v>40</v>
      </c>
      <c r="M1418" s="43">
        <v>14</v>
      </c>
      <c r="N1418" s="43">
        <v>68</v>
      </c>
      <c r="O1418" s="43">
        <v>95</v>
      </c>
      <c r="P1418" s="43" t="s">
        <v>41</v>
      </c>
      <c r="Q1418" s="43">
        <v>35</v>
      </c>
      <c r="R1418" s="43">
        <v>211</v>
      </c>
      <c r="S1418" s="43">
        <v>53</v>
      </c>
      <c r="T1418" s="2" t="s">
        <v>306</v>
      </c>
      <c r="U1418" s="2" t="s">
        <v>3</v>
      </c>
      <c r="V1418" s="150" t="s">
        <v>575</v>
      </c>
      <c r="W1418" s="39">
        <v>113</v>
      </c>
      <c r="X1418" s="40"/>
      <c r="Y1418" s="40"/>
      <c r="Z1418" s="40"/>
      <c r="AA1418" s="40" t="s">
        <v>2939</v>
      </c>
      <c r="AB1418" s="40"/>
      <c r="AC1418" s="40"/>
      <c r="AD1418" s="40"/>
      <c r="AE1418" s="40" t="s">
        <v>2939</v>
      </c>
      <c r="AF1418" s="40"/>
      <c r="AG1418" s="40"/>
      <c r="AH1418" s="40"/>
      <c r="AI1418" s="40"/>
      <c r="AJ1418" s="39" t="s">
        <v>2965</v>
      </c>
      <c r="AK1418" s="125"/>
      <c r="AL1418" s="189" t="s">
        <v>2964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1501</v>
      </c>
      <c r="C1419" s="83">
        <v>595</v>
      </c>
      <c r="D1419" s="113" t="s">
        <v>1491</v>
      </c>
      <c r="E1419" s="83" t="s">
        <v>2963</v>
      </c>
      <c r="F1419" s="83" t="s">
        <v>4565</v>
      </c>
      <c r="G1419" s="138"/>
      <c r="H1419" s="340" t="s">
        <v>5607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575</v>
      </c>
      <c r="W1419" s="86">
        <v>104</v>
      </c>
      <c r="X1419" s="83"/>
      <c r="Y1419" s="83"/>
      <c r="Z1419" s="83"/>
      <c r="AA1419" s="83" t="s">
        <v>2939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2908</v>
      </c>
      <c r="AM1419" s="252">
        <v>113</v>
      </c>
      <c r="AO1419" s="220"/>
    </row>
    <row r="1420" spans="1:48" x14ac:dyDescent="0.3">
      <c r="A1420" s="15">
        <v>1419</v>
      </c>
      <c r="B1420" s="29" t="s">
        <v>1532</v>
      </c>
      <c r="C1420" s="29">
        <v>345</v>
      </c>
      <c r="D1420" s="27" t="s">
        <v>1531</v>
      </c>
      <c r="E1420" s="29" t="s">
        <v>2963</v>
      </c>
      <c r="F1420" s="29" t="s">
        <v>4566</v>
      </c>
      <c r="G1420" s="31" t="s">
        <v>5604</v>
      </c>
      <c r="H1420" s="145" t="s">
        <v>5608</v>
      </c>
      <c r="I1420" s="31" t="s">
        <v>5609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708</v>
      </c>
      <c r="U1420" s="30" t="s">
        <v>56</v>
      </c>
      <c r="V1420" s="145" t="s">
        <v>575</v>
      </c>
      <c r="W1420" s="28">
        <v>110</v>
      </c>
      <c r="X1420" s="29"/>
      <c r="Y1420" s="29"/>
      <c r="Z1420" s="345" t="s">
        <v>2939</v>
      </c>
      <c r="AA1420" s="29"/>
      <c r="AB1420" s="29"/>
      <c r="AC1420" s="29" t="s">
        <v>2939</v>
      </c>
      <c r="AD1420" s="29"/>
      <c r="AE1420" s="29"/>
      <c r="AF1420" s="29" t="s">
        <v>2939</v>
      </c>
      <c r="AG1420" s="29" t="s">
        <v>2943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1533</v>
      </c>
      <c r="C1421" s="40">
        <v>346</v>
      </c>
      <c r="D1421" s="38" t="s">
        <v>1531</v>
      </c>
      <c r="E1421" s="40" t="s">
        <v>2963</v>
      </c>
      <c r="F1421" s="40" t="s">
        <v>4567</v>
      </c>
      <c r="G1421" s="41" t="s">
        <v>5604</v>
      </c>
      <c r="H1421" s="150" t="s">
        <v>5608</v>
      </c>
      <c r="I1421" s="41" t="s">
        <v>5609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708</v>
      </c>
      <c r="U1421" s="2" t="s">
        <v>56</v>
      </c>
      <c r="V1421" s="150" t="s">
        <v>575</v>
      </c>
      <c r="W1421" s="39">
        <v>110</v>
      </c>
      <c r="X1421" s="40"/>
      <c r="Y1421" s="40"/>
      <c r="Z1421" s="199" t="s">
        <v>2939</v>
      </c>
      <c r="AA1421" s="40"/>
      <c r="AB1421" s="40"/>
      <c r="AC1421" s="40" t="s">
        <v>2939</v>
      </c>
      <c r="AD1421" s="40"/>
      <c r="AE1421" s="40"/>
      <c r="AF1421" s="40" t="s">
        <v>2939</v>
      </c>
      <c r="AG1421" s="40" t="s">
        <v>2943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1537</v>
      </c>
      <c r="C1422" s="40">
        <v>347</v>
      </c>
      <c r="D1422" s="38" t="s">
        <v>1531</v>
      </c>
      <c r="E1422" s="40" t="s">
        <v>2963</v>
      </c>
      <c r="F1422" s="40" t="s">
        <v>4568</v>
      </c>
      <c r="G1422" s="41" t="s">
        <v>5604</v>
      </c>
      <c r="H1422" s="150" t="s">
        <v>5608</v>
      </c>
      <c r="I1422" s="41" t="s">
        <v>5609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708</v>
      </c>
      <c r="U1422" s="2" t="s">
        <v>56</v>
      </c>
      <c r="V1422" s="150" t="s">
        <v>575</v>
      </c>
      <c r="W1422" s="39">
        <v>109</v>
      </c>
      <c r="X1422" s="40"/>
      <c r="Y1422" s="40"/>
      <c r="Z1422" s="40" t="s">
        <v>2939</v>
      </c>
      <c r="AA1422" s="40"/>
      <c r="AB1422" s="40"/>
      <c r="AC1422" s="40" t="s">
        <v>2898</v>
      </c>
      <c r="AD1422" s="40"/>
      <c r="AE1422" s="40"/>
      <c r="AF1422" s="40" t="s">
        <v>2943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1736</v>
      </c>
      <c r="C1423" s="83">
        <v>2087</v>
      </c>
      <c r="D1423" s="113" t="s">
        <v>1732</v>
      </c>
      <c r="E1423" s="83" t="s">
        <v>2963</v>
      </c>
      <c r="F1423" s="83" t="s">
        <v>4569</v>
      </c>
      <c r="G1423" s="346" t="s">
        <v>5604</v>
      </c>
      <c r="H1423" s="340" t="s">
        <v>5606</v>
      </c>
      <c r="I1423" s="346" t="s">
        <v>5609</v>
      </c>
      <c r="J1423" s="88">
        <v>201592.75</v>
      </c>
      <c r="K1423" s="88">
        <v>2664787.88</v>
      </c>
      <c r="L1423" s="88" t="s">
        <v>40</v>
      </c>
      <c r="M1423" s="89">
        <v>17</v>
      </c>
      <c r="N1423" s="88">
        <v>64</v>
      </c>
      <c r="O1423" s="88">
        <v>103</v>
      </c>
      <c r="P1423" s="88" t="s">
        <v>41</v>
      </c>
      <c r="Q1423" s="88">
        <v>35</v>
      </c>
      <c r="R1423" s="88">
        <v>224</v>
      </c>
      <c r="S1423" s="88">
        <v>136</v>
      </c>
      <c r="T1423" s="85" t="s">
        <v>575</v>
      </c>
      <c r="U1423" s="85" t="s">
        <v>8</v>
      </c>
      <c r="V1423" s="340" t="s">
        <v>575</v>
      </c>
      <c r="W1423" s="86">
        <v>113</v>
      </c>
      <c r="X1423" s="83"/>
      <c r="Y1423" s="83"/>
      <c r="Z1423" s="83"/>
      <c r="AA1423" s="83"/>
      <c r="AB1423" s="83"/>
      <c r="AC1423" s="83" t="s">
        <v>2898</v>
      </c>
      <c r="AD1423" s="83"/>
      <c r="AE1423" s="83"/>
      <c r="AF1423" s="83"/>
      <c r="AG1423" s="83"/>
      <c r="AH1423" s="83"/>
      <c r="AI1423" s="83"/>
      <c r="AJ1423" s="86" t="s">
        <v>2968</v>
      </c>
      <c r="AK1423" s="191"/>
      <c r="AL1423" s="347" t="s">
        <v>2967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1774</v>
      </c>
      <c r="C1424" s="40">
        <v>1474</v>
      </c>
      <c r="D1424" s="38" t="s">
        <v>1776</v>
      </c>
      <c r="E1424" s="40" t="s">
        <v>2929</v>
      </c>
      <c r="F1424" s="40" t="s">
        <v>4570</v>
      </c>
      <c r="G1424" s="50" t="s">
        <v>5604</v>
      </c>
      <c r="H1424" s="150" t="s">
        <v>5606</v>
      </c>
      <c r="I1424" s="50" t="s">
        <v>5609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575</v>
      </c>
      <c r="U1424" s="2" t="s">
        <v>8</v>
      </c>
      <c r="V1424" s="97" t="s">
        <v>575</v>
      </c>
      <c r="W1424" s="39">
        <v>113</v>
      </c>
      <c r="X1424" s="40"/>
      <c r="Y1424" s="106"/>
      <c r="Z1424" s="40" t="s">
        <v>2939</v>
      </c>
      <c r="AA1424" s="40"/>
      <c r="AB1424" s="40"/>
      <c r="AC1424" s="40"/>
      <c r="AD1424" s="40"/>
      <c r="AE1424" s="40" t="s">
        <v>2939</v>
      </c>
      <c r="AF1424" s="40"/>
      <c r="AG1424" s="40"/>
      <c r="AH1424" s="40"/>
      <c r="AI1424" s="40"/>
      <c r="AJ1424" s="39" t="s">
        <v>2968</v>
      </c>
      <c r="AK1424" s="125"/>
      <c r="AL1424" s="54" t="s">
        <v>2908</v>
      </c>
      <c r="AM1424" s="167">
        <v>113</v>
      </c>
    </row>
    <row r="1425" spans="1:56" x14ac:dyDescent="0.3">
      <c r="A1425" s="15">
        <v>1424</v>
      </c>
      <c r="B1425" s="40" t="s">
        <v>1544</v>
      </c>
      <c r="C1425" s="40">
        <v>334</v>
      </c>
      <c r="D1425" s="38" t="s">
        <v>1541</v>
      </c>
      <c r="E1425" s="40" t="s">
        <v>2963</v>
      </c>
      <c r="F1425" s="40" t="s">
        <v>4571</v>
      </c>
      <c r="G1425" s="50"/>
      <c r="H1425" s="150" t="s">
        <v>5606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73</v>
      </c>
      <c r="V1425" s="150" t="s">
        <v>575</v>
      </c>
      <c r="W1425" s="39">
        <v>113</v>
      </c>
      <c r="X1425" s="40"/>
      <c r="Y1425" s="40"/>
      <c r="Z1425" s="40" t="s">
        <v>2939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2917</v>
      </c>
      <c r="AK1425" s="125"/>
      <c r="AL1425" s="54" t="s">
        <v>2908</v>
      </c>
      <c r="AM1425" s="53">
        <v>113</v>
      </c>
      <c r="AO1425" s="220"/>
    </row>
    <row r="1426" spans="1:56" x14ac:dyDescent="0.3">
      <c r="A1426" s="15">
        <v>1425</v>
      </c>
      <c r="B1426" s="40" t="s">
        <v>1788</v>
      </c>
      <c r="C1426" s="40">
        <v>1478</v>
      </c>
      <c r="D1426" s="38" t="s">
        <v>1772</v>
      </c>
      <c r="E1426" s="40" t="s">
        <v>2929</v>
      </c>
      <c r="F1426" s="40" t="s">
        <v>4572</v>
      </c>
      <c r="G1426" s="223" t="s">
        <v>5604</v>
      </c>
      <c r="H1426" s="150" t="s">
        <v>5606</v>
      </c>
      <c r="I1426" s="223" t="s">
        <v>5609</v>
      </c>
      <c r="J1426" s="43">
        <v>197842</v>
      </c>
      <c r="K1426" s="43">
        <v>2664811</v>
      </c>
      <c r="L1426" s="43" t="s">
        <v>412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575</v>
      </c>
      <c r="U1426" s="2" t="s">
        <v>303</v>
      </c>
      <c r="V1426" s="97" t="s">
        <v>575</v>
      </c>
      <c r="W1426" s="39">
        <v>113</v>
      </c>
      <c r="X1426" s="106"/>
      <c r="Y1426" s="106"/>
      <c r="Z1426" s="40" t="s">
        <v>2898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2968</v>
      </c>
      <c r="AK1426" s="125"/>
      <c r="AL1426" s="54" t="s">
        <v>2908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1868</v>
      </c>
      <c r="C1427" s="40">
        <v>2076</v>
      </c>
      <c r="D1427" s="38" t="s">
        <v>1866</v>
      </c>
      <c r="E1427" s="40" t="s">
        <v>2963</v>
      </c>
      <c r="F1427" s="40" t="s">
        <v>4573</v>
      </c>
      <c r="G1427" s="50" t="s">
        <v>5604</v>
      </c>
      <c r="H1427" s="150" t="s">
        <v>5606</v>
      </c>
      <c r="I1427" s="50" t="s">
        <v>5609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575</v>
      </c>
      <c r="U1427" s="2" t="s">
        <v>8</v>
      </c>
      <c r="V1427" s="97" t="s">
        <v>575</v>
      </c>
      <c r="W1427" s="39">
        <v>113</v>
      </c>
      <c r="X1427" s="40"/>
      <c r="Y1427" s="106"/>
      <c r="Z1427" s="40"/>
      <c r="AA1427" s="40"/>
      <c r="AB1427" s="40"/>
      <c r="AC1427" s="40" t="s">
        <v>2939</v>
      </c>
      <c r="AD1427" s="40"/>
      <c r="AE1427" s="40"/>
      <c r="AF1427" s="40"/>
      <c r="AG1427" s="40"/>
      <c r="AH1427" s="40"/>
      <c r="AI1427" s="40"/>
      <c r="AJ1427" s="39" t="s">
        <v>2968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1553</v>
      </c>
      <c r="C1428" s="83">
        <v>340</v>
      </c>
      <c r="D1428" s="113" t="s">
        <v>1672</v>
      </c>
      <c r="E1428" s="83" t="s">
        <v>2963</v>
      </c>
      <c r="F1428" s="83" t="s">
        <v>4574</v>
      </c>
      <c r="G1428" s="227" t="s">
        <v>5604</v>
      </c>
      <c r="H1428" s="340" t="s">
        <v>5607</v>
      </c>
      <c r="I1428" s="227" t="s">
        <v>5609</v>
      </c>
      <c r="J1428" s="88">
        <v>199965.24600000001</v>
      </c>
      <c r="K1428" s="88">
        <v>2664368.9870000002</v>
      </c>
      <c r="L1428" s="88" t="s">
        <v>40</v>
      </c>
      <c r="M1428" s="89">
        <v>10</v>
      </c>
      <c r="N1428" s="88">
        <v>39</v>
      </c>
      <c r="O1428" s="88">
        <v>89</v>
      </c>
      <c r="P1428" s="88" t="s">
        <v>41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575</v>
      </c>
      <c r="W1428" s="86">
        <v>113</v>
      </c>
      <c r="X1428" s="83"/>
      <c r="Y1428" s="83"/>
      <c r="Z1428" s="83" t="s">
        <v>2943</v>
      </c>
      <c r="AA1428" s="83"/>
      <c r="AB1428" s="83"/>
      <c r="AC1428" s="83"/>
      <c r="AD1428" s="83" t="s">
        <v>2898</v>
      </c>
      <c r="AE1428" s="83"/>
      <c r="AF1428" s="83"/>
      <c r="AG1428" s="83"/>
      <c r="AH1428" s="83"/>
      <c r="AI1428" s="83"/>
      <c r="AJ1428" s="86" t="s">
        <v>2965</v>
      </c>
      <c r="AK1428" s="191"/>
      <c r="AL1428" s="157" t="s">
        <v>2908</v>
      </c>
      <c r="AM1428" s="252">
        <v>113</v>
      </c>
      <c r="AO1428" s="220"/>
    </row>
    <row r="1429" spans="1:56" x14ac:dyDescent="0.3">
      <c r="A1429" s="15">
        <v>1428</v>
      </c>
      <c r="B1429" s="29" t="s">
        <v>1567</v>
      </c>
      <c r="C1429" s="29">
        <v>2096</v>
      </c>
      <c r="D1429" s="27" t="s">
        <v>1565</v>
      </c>
      <c r="E1429" s="29" t="s">
        <v>2963</v>
      </c>
      <c r="F1429" s="29" t="s">
        <v>4575</v>
      </c>
      <c r="G1429" s="200" t="s">
        <v>5604</v>
      </c>
      <c r="H1429" s="145" t="s">
        <v>5606</v>
      </c>
      <c r="I1429" s="200" t="s">
        <v>5609</v>
      </c>
      <c r="J1429" s="187">
        <v>200420.3</v>
      </c>
      <c r="K1429" s="187">
        <v>2664502.9700000002</v>
      </c>
      <c r="L1429" s="43" t="s">
        <v>40</v>
      </c>
      <c r="M1429" s="43">
        <v>11</v>
      </c>
      <c r="N1429" s="43">
        <v>85</v>
      </c>
      <c r="O1429" s="43">
        <v>98</v>
      </c>
      <c r="P1429" s="43" t="s">
        <v>41</v>
      </c>
      <c r="Q1429" s="43">
        <v>35</v>
      </c>
      <c r="R1429" s="43">
        <v>196</v>
      </c>
      <c r="S1429" s="43">
        <v>91</v>
      </c>
      <c r="T1429" s="141" t="s">
        <v>306</v>
      </c>
      <c r="U1429" s="30" t="s">
        <v>3</v>
      </c>
      <c r="V1429" s="145" t="s">
        <v>2397</v>
      </c>
      <c r="W1429" s="28">
        <v>113</v>
      </c>
      <c r="X1429" s="29"/>
      <c r="Y1429" s="102"/>
      <c r="Z1429" s="29"/>
      <c r="AA1429" s="29"/>
      <c r="AB1429" s="29"/>
      <c r="AC1429" s="29" t="s">
        <v>2898</v>
      </c>
      <c r="AD1429" s="29"/>
      <c r="AE1429" s="29"/>
      <c r="AF1429" s="29"/>
      <c r="AG1429" s="29"/>
      <c r="AH1429" s="29"/>
      <c r="AI1429" s="29"/>
      <c r="AJ1429" s="28" t="s">
        <v>2965</v>
      </c>
      <c r="AK1429" s="190"/>
      <c r="AL1429" s="348" t="s">
        <v>2964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2017</v>
      </c>
      <c r="C1430" s="40">
        <v>303</v>
      </c>
      <c r="D1430" s="38" t="s">
        <v>2015</v>
      </c>
      <c r="E1430" s="40" t="s">
        <v>2963</v>
      </c>
      <c r="F1430" s="40" t="s">
        <v>4576</v>
      </c>
      <c r="G1430" s="50" t="s">
        <v>5604</v>
      </c>
      <c r="H1430" s="150" t="s">
        <v>5606</v>
      </c>
      <c r="I1430" s="50" t="s">
        <v>5609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575</v>
      </c>
      <c r="U1430" s="2" t="s">
        <v>8</v>
      </c>
      <c r="V1430" s="97" t="s">
        <v>575</v>
      </c>
      <c r="W1430" s="39">
        <v>113</v>
      </c>
      <c r="X1430" s="40"/>
      <c r="Y1430" s="40"/>
      <c r="Z1430" s="40"/>
      <c r="AA1430" s="40" t="s">
        <v>2939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2968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1731</v>
      </c>
      <c r="C1431" s="83">
        <v>2135</v>
      </c>
      <c r="D1431" s="113" t="s">
        <v>3075</v>
      </c>
      <c r="E1431" s="83" t="s">
        <v>2963</v>
      </c>
      <c r="F1431" s="83" t="s">
        <v>4577</v>
      </c>
      <c r="G1431" s="138"/>
      <c r="H1431" s="340" t="s">
        <v>5606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306</v>
      </c>
      <c r="U1431" s="85" t="s">
        <v>3</v>
      </c>
      <c r="V1431" s="340" t="s">
        <v>1193</v>
      </c>
      <c r="W1431" s="86">
        <v>113</v>
      </c>
      <c r="X1431" s="83"/>
      <c r="Y1431" s="83"/>
      <c r="Z1431" s="83"/>
      <c r="AA1431" s="83"/>
      <c r="AB1431" s="83" t="s">
        <v>2939</v>
      </c>
      <c r="AC1431" s="83" t="s">
        <v>2898</v>
      </c>
      <c r="AD1431" s="83"/>
      <c r="AE1431" s="83"/>
      <c r="AF1431" s="83"/>
      <c r="AG1431" s="83"/>
      <c r="AH1431" s="83"/>
      <c r="AI1431" s="83"/>
      <c r="AJ1431" s="86" t="s">
        <v>2965</v>
      </c>
      <c r="AK1431" s="191"/>
      <c r="AL1431" s="157" t="s">
        <v>2908</v>
      </c>
      <c r="AM1431" s="82">
        <v>113</v>
      </c>
      <c r="AO1431" s="220"/>
    </row>
    <row r="1432" spans="1:56" x14ac:dyDescent="0.3">
      <c r="A1432" s="15">
        <v>1431</v>
      </c>
      <c r="B1432" s="29" t="s">
        <v>1733</v>
      </c>
      <c r="C1432" s="29">
        <v>2066</v>
      </c>
      <c r="D1432" s="27" t="s">
        <v>1857</v>
      </c>
      <c r="E1432" s="29" t="s">
        <v>2963</v>
      </c>
      <c r="F1432" s="29" t="s">
        <v>4578</v>
      </c>
      <c r="G1432" s="349" t="s">
        <v>5604</v>
      </c>
      <c r="H1432" s="145" t="s">
        <v>5606</v>
      </c>
      <c r="I1432" s="349" t="s">
        <v>5609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306</v>
      </c>
      <c r="U1432" s="30" t="s">
        <v>3</v>
      </c>
      <c r="V1432" s="145" t="s">
        <v>575</v>
      </c>
      <c r="W1432" s="28">
        <v>113</v>
      </c>
      <c r="X1432" s="29" t="s">
        <v>2898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2965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2035</v>
      </c>
      <c r="C1433" s="40">
        <v>218</v>
      </c>
      <c r="D1433" s="38" t="s">
        <v>2034</v>
      </c>
      <c r="E1433" s="40" t="s">
        <v>2963</v>
      </c>
      <c r="F1433" s="40" t="s">
        <v>4579</v>
      </c>
      <c r="G1433" s="50" t="s">
        <v>5604</v>
      </c>
      <c r="H1433" s="150" t="s">
        <v>5606</v>
      </c>
      <c r="I1433" s="50" t="s">
        <v>5609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2991</v>
      </c>
      <c r="Q1433" s="43">
        <v>25.7</v>
      </c>
      <c r="R1433" s="43">
        <v>287</v>
      </c>
      <c r="S1433" s="43">
        <v>137</v>
      </c>
      <c r="T1433" s="2" t="s">
        <v>575</v>
      </c>
      <c r="U1433" s="2" t="s">
        <v>8</v>
      </c>
      <c r="V1433" s="150" t="s">
        <v>575</v>
      </c>
      <c r="W1433" s="39">
        <v>113</v>
      </c>
      <c r="X1433" s="40"/>
      <c r="Y1433" s="40"/>
      <c r="Z1433" s="40"/>
      <c r="AA1433" s="40" t="s">
        <v>2939</v>
      </c>
      <c r="AB1433" s="40"/>
      <c r="AC1433" s="40"/>
      <c r="AD1433" s="40"/>
      <c r="AE1433" s="40" t="s">
        <v>2939</v>
      </c>
      <c r="AF1433" s="40"/>
      <c r="AG1433" s="40"/>
      <c r="AH1433" s="40"/>
      <c r="AI1433" s="40"/>
      <c r="AJ1433" s="39" t="s">
        <v>2968</v>
      </c>
      <c r="AK1433" s="125"/>
      <c r="AL1433" s="189" t="s">
        <v>2967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2036</v>
      </c>
      <c r="C1434" s="40">
        <v>226</v>
      </c>
      <c r="D1434" s="38" t="s">
        <v>3076</v>
      </c>
      <c r="E1434" s="40" t="s">
        <v>2963</v>
      </c>
      <c r="F1434" s="40" t="s">
        <v>4580</v>
      </c>
      <c r="G1434" s="50" t="s">
        <v>5604</v>
      </c>
      <c r="H1434" s="150" t="s">
        <v>5606</v>
      </c>
      <c r="I1434" s="50" t="s">
        <v>5609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575</v>
      </c>
      <c r="U1434" s="2" t="s">
        <v>8</v>
      </c>
      <c r="V1434" s="150" t="s">
        <v>575</v>
      </c>
      <c r="W1434" s="39">
        <v>113</v>
      </c>
      <c r="X1434" s="40"/>
      <c r="Y1434" s="40"/>
      <c r="Z1434" s="40"/>
      <c r="AA1434" s="40" t="s">
        <v>2939</v>
      </c>
      <c r="AB1434" s="40"/>
      <c r="AC1434" s="40"/>
      <c r="AD1434" s="40"/>
      <c r="AE1434" s="40" t="s">
        <v>2939</v>
      </c>
      <c r="AF1434" s="40"/>
      <c r="AG1434" s="40"/>
      <c r="AH1434" s="40"/>
      <c r="AI1434" s="40"/>
      <c r="AJ1434" s="39" t="s">
        <v>2968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1855</v>
      </c>
      <c r="C1435" s="29">
        <v>225</v>
      </c>
      <c r="D1435" s="27" t="s">
        <v>1854</v>
      </c>
      <c r="E1435" s="29" t="s">
        <v>2963</v>
      </c>
      <c r="F1435" s="29" t="s">
        <v>4581</v>
      </c>
      <c r="G1435" s="349" t="s">
        <v>5604</v>
      </c>
      <c r="H1435" s="145" t="s">
        <v>5606</v>
      </c>
      <c r="I1435" s="349" t="s">
        <v>5609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566</v>
      </c>
      <c r="Q1435" s="33">
        <v>30.6</v>
      </c>
      <c r="R1435" s="33">
        <v>380</v>
      </c>
      <c r="S1435" s="33">
        <v>156</v>
      </c>
      <c r="T1435" s="2" t="s">
        <v>575</v>
      </c>
      <c r="U1435" s="30" t="s">
        <v>8</v>
      </c>
      <c r="V1435" s="145" t="s">
        <v>575</v>
      </c>
      <c r="W1435" s="28">
        <v>113</v>
      </c>
      <c r="X1435" s="29"/>
      <c r="Y1435" s="29"/>
      <c r="Z1435" s="29"/>
      <c r="AA1435" s="29" t="s">
        <v>2943</v>
      </c>
      <c r="AB1435" s="29"/>
      <c r="AC1435" s="29"/>
      <c r="AD1435" s="29"/>
      <c r="AE1435" s="29" t="s">
        <v>2939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1856</v>
      </c>
      <c r="C1436" s="40">
        <v>229</v>
      </c>
      <c r="D1436" s="38" t="s">
        <v>3077</v>
      </c>
      <c r="E1436" s="40" t="s">
        <v>2963</v>
      </c>
      <c r="F1436" s="40" t="s">
        <v>4582</v>
      </c>
      <c r="G1436" s="344" t="s">
        <v>5604</v>
      </c>
      <c r="H1436" s="150" t="s">
        <v>5606</v>
      </c>
      <c r="I1436" s="344" t="s">
        <v>5609</v>
      </c>
      <c r="J1436" s="43">
        <v>200688.63</v>
      </c>
      <c r="K1436" s="43">
        <v>2665023.2250000001</v>
      </c>
      <c r="L1436" s="43" t="s">
        <v>40</v>
      </c>
      <c r="M1436" s="44">
        <v>13</v>
      </c>
      <c r="N1436" s="43">
        <v>74</v>
      </c>
      <c r="O1436" s="43">
        <v>105</v>
      </c>
      <c r="P1436" s="43" t="s">
        <v>41</v>
      </c>
      <c r="Q1436" s="43">
        <v>32</v>
      </c>
      <c r="R1436" s="43">
        <v>188</v>
      </c>
      <c r="S1436" s="43">
        <v>125</v>
      </c>
      <c r="T1436" s="2" t="s">
        <v>306</v>
      </c>
      <c r="U1436" s="2" t="s">
        <v>3</v>
      </c>
      <c r="V1436" s="150" t="s">
        <v>575</v>
      </c>
      <c r="W1436" s="39">
        <v>113</v>
      </c>
      <c r="X1436" s="40"/>
      <c r="Y1436" s="40"/>
      <c r="Z1436" s="40"/>
      <c r="AA1436" s="40" t="s">
        <v>2939</v>
      </c>
      <c r="AB1436" s="40"/>
      <c r="AC1436" s="40"/>
      <c r="AD1436" s="40"/>
      <c r="AE1436" s="40" t="s">
        <v>2898</v>
      </c>
      <c r="AF1436" s="40" t="s">
        <v>2898</v>
      </c>
      <c r="AG1436" s="40" t="s">
        <v>2898</v>
      </c>
      <c r="AH1436" s="40"/>
      <c r="AI1436" s="40"/>
      <c r="AJ1436" s="39"/>
      <c r="AK1436" s="125"/>
      <c r="AL1436" s="189" t="s">
        <v>2967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1859</v>
      </c>
      <c r="C1437" s="58">
        <v>230</v>
      </c>
      <c r="D1437" s="56" t="s">
        <v>1854</v>
      </c>
      <c r="E1437" s="58" t="s">
        <v>2963</v>
      </c>
      <c r="F1437" s="58" t="s">
        <v>4583</v>
      </c>
      <c r="G1437" s="127" t="s">
        <v>5604</v>
      </c>
      <c r="H1437" s="226" t="s">
        <v>5608</v>
      </c>
      <c r="I1437" s="127" t="s">
        <v>5609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306</v>
      </c>
      <c r="U1437" s="59" t="s">
        <v>3</v>
      </c>
      <c r="V1437" s="226" t="s">
        <v>575</v>
      </c>
      <c r="W1437" s="57">
        <v>113</v>
      </c>
      <c r="X1437" s="58"/>
      <c r="Y1437" s="58"/>
      <c r="Z1437" s="58"/>
      <c r="AA1437" s="58" t="s">
        <v>2939</v>
      </c>
      <c r="AB1437" s="58"/>
      <c r="AC1437" s="58"/>
      <c r="AD1437" s="58"/>
      <c r="AE1437" s="58"/>
      <c r="AF1437" s="58" t="s">
        <v>2898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1911</v>
      </c>
      <c r="C1438" s="29">
        <v>1719</v>
      </c>
      <c r="D1438" s="27" t="s">
        <v>1910</v>
      </c>
      <c r="E1438" s="29" t="s">
        <v>2929</v>
      </c>
      <c r="F1438" s="29" t="s">
        <v>4584</v>
      </c>
      <c r="G1438" s="192" t="s">
        <v>5604</v>
      </c>
      <c r="H1438" s="145" t="s">
        <v>5606</v>
      </c>
      <c r="I1438" s="192" t="s">
        <v>5609</v>
      </c>
      <c r="J1438" s="33">
        <v>196042</v>
      </c>
      <c r="K1438" s="33">
        <v>2665124</v>
      </c>
      <c r="L1438" s="33" t="s">
        <v>1185</v>
      </c>
      <c r="M1438" s="34">
        <v>9.3000000000000007</v>
      </c>
      <c r="N1438" s="33">
        <v>155</v>
      </c>
      <c r="O1438" s="33">
        <v>103</v>
      </c>
      <c r="P1438" s="33" t="s">
        <v>41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92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2939</v>
      </c>
      <c r="AE1438" s="29"/>
      <c r="AF1438" s="29"/>
      <c r="AG1438" s="29"/>
      <c r="AH1438" s="29"/>
      <c r="AI1438" s="29"/>
      <c r="AJ1438" s="28"/>
      <c r="AK1438" s="190"/>
      <c r="AL1438" s="105" t="s">
        <v>2908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1913</v>
      </c>
      <c r="C1439" s="40">
        <v>1722</v>
      </c>
      <c r="D1439" s="38" t="s">
        <v>1910</v>
      </c>
      <c r="E1439" s="40" t="s">
        <v>2929</v>
      </c>
      <c r="F1439" s="40" t="s">
        <v>4585</v>
      </c>
      <c r="G1439" s="50" t="s">
        <v>5604</v>
      </c>
      <c r="H1439" s="150" t="s">
        <v>5606</v>
      </c>
      <c r="I1439" s="50" t="s">
        <v>5609</v>
      </c>
      <c r="J1439" s="43">
        <v>196101.35</v>
      </c>
      <c r="K1439" s="43">
        <v>2665179.9</v>
      </c>
      <c r="L1439" s="43" t="s">
        <v>40</v>
      </c>
      <c r="M1439" s="44">
        <v>8</v>
      </c>
      <c r="N1439" s="43">
        <v>60</v>
      </c>
      <c r="O1439" s="43">
        <v>77</v>
      </c>
      <c r="P1439" s="43" t="s">
        <v>41</v>
      </c>
      <c r="Q1439" s="43">
        <v>20</v>
      </c>
      <c r="R1439" s="43">
        <v>127</v>
      </c>
      <c r="S1439" s="43">
        <v>58</v>
      </c>
      <c r="T1439" s="2" t="s">
        <v>306</v>
      </c>
      <c r="U1439" s="2" t="s">
        <v>306</v>
      </c>
      <c r="V1439" s="150" t="s">
        <v>92</v>
      </c>
      <c r="W1439" s="39">
        <v>113</v>
      </c>
      <c r="X1439" s="40"/>
      <c r="Y1439" s="40"/>
      <c r="Z1439" s="40" t="s">
        <v>2943</v>
      </c>
      <c r="AA1439" s="40"/>
      <c r="AB1439" s="40"/>
      <c r="AC1439" s="40"/>
      <c r="AD1439" s="40"/>
      <c r="AE1439" s="40"/>
      <c r="AF1439" s="40" t="s">
        <v>2939</v>
      </c>
      <c r="AG1439" s="40"/>
      <c r="AH1439" s="40"/>
      <c r="AI1439" s="40"/>
      <c r="AJ1439" s="39" t="s">
        <v>2965</v>
      </c>
      <c r="AK1439" s="125"/>
      <c r="AL1439" s="189" t="s">
        <v>2964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1950</v>
      </c>
      <c r="C1440" s="29">
        <v>1604</v>
      </c>
      <c r="D1440" s="27" t="s">
        <v>3078</v>
      </c>
      <c r="E1440" s="29" t="s">
        <v>2929</v>
      </c>
      <c r="F1440" s="29" t="s">
        <v>4586</v>
      </c>
      <c r="G1440" s="192" t="s">
        <v>5604</v>
      </c>
      <c r="H1440" s="145" t="s">
        <v>5608</v>
      </c>
      <c r="I1440" s="192" t="s">
        <v>5609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306</v>
      </c>
      <c r="U1440" s="30" t="s">
        <v>3</v>
      </c>
      <c r="V1440" s="145" t="s">
        <v>1193</v>
      </c>
      <c r="W1440" s="28">
        <v>109</v>
      </c>
      <c r="X1440" s="29"/>
      <c r="Y1440" s="29"/>
      <c r="Z1440" s="29" t="s">
        <v>2939</v>
      </c>
      <c r="AA1440" s="29"/>
      <c r="AB1440" s="29"/>
      <c r="AC1440" s="29" t="s">
        <v>2898</v>
      </c>
      <c r="AD1440" s="29"/>
      <c r="AE1440" s="29"/>
      <c r="AF1440" s="29" t="s">
        <v>2898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1954</v>
      </c>
      <c r="C1441" s="83">
        <v>2498</v>
      </c>
      <c r="D1441" s="113" t="s">
        <v>1947</v>
      </c>
      <c r="E1441" s="83" t="s">
        <v>2915</v>
      </c>
      <c r="F1441" s="83" t="s">
        <v>4587</v>
      </c>
      <c r="G1441" s="138" t="s">
        <v>5604</v>
      </c>
      <c r="H1441" s="340" t="s">
        <v>5606</v>
      </c>
      <c r="I1441" s="138" t="s">
        <v>5609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306</v>
      </c>
      <c r="U1441" s="85" t="s">
        <v>3</v>
      </c>
      <c r="V1441" s="340" t="s">
        <v>1193</v>
      </c>
      <c r="W1441" s="86">
        <v>113</v>
      </c>
      <c r="X1441" s="83"/>
      <c r="Y1441" s="83"/>
      <c r="Z1441" s="83"/>
      <c r="AA1441" s="83"/>
      <c r="AB1441" s="83"/>
      <c r="AC1441" s="83" t="s">
        <v>2898</v>
      </c>
      <c r="AD1441" s="83"/>
      <c r="AE1441" s="83"/>
      <c r="AF1441" s="83" t="s">
        <v>2898</v>
      </c>
      <c r="AG1441" s="83"/>
      <c r="AH1441" s="83"/>
      <c r="AI1441" s="83"/>
      <c r="AJ1441" s="83" t="s">
        <v>2898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2135</v>
      </c>
      <c r="C1442" s="29">
        <v>1644</v>
      </c>
      <c r="D1442" s="27" t="s">
        <v>3079</v>
      </c>
      <c r="E1442" s="29" t="s">
        <v>2929</v>
      </c>
      <c r="F1442" s="29" t="s">
        <v>4588</v>
      </c>
      <c r="G1442" s="192" t="s">
        <v>5604</v>
      </c>
      <c r="H1442" s="145" t="s">
        <v>5606</v>
      </c>
      <c r="I1442" s="192" t="s">
        <v>5609</v>
      </c>
      <c r="J1442" s="33">
        <v>197140.57</v>
      </c>
      <c r="K1442" s="33">
        <v>2665430.5499999998</v>
      </c>
      <c r="L1442" s="43" t="s">
        <v>831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575</v>
      </c>
      <c r="U1442" s="30" t="s">
        <v>8</v>
      </c>
      <c r="V1442" s="95" t="s">
        <v>575</v>
      </c>
      <c r="W1442" s="28">
        <v>113</v>
      </c>
      <c r="X1442" s="29"/>
      <c r="Y1442" s="29"/>
      <c r="Z1442" s="29"/>
      <c r="AA1442" s="29"/>
      <c r="AB1442" s="29" t="s">
        <v>2939</v>
      </c>
      <c r="AC1442" s="29"/>
      <c r="AD1442" s="29"/>
      <c r="AE1442" s="29"/>
      <c r="AF1442" s="29"/>
      <c r="AG1442" s="29"/>
      <c r="AH1442" s="29"/>
      <c r="AI1442" s="29"/>
      <c r="AJ1442" s="40" t="s">
        <v>2939</v>
      </c>
      <c r="AK1442" s="51"/>
      <c r="AL1442" s="54" t="s">
        <v>2908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2161</v>
      </c>
      <c r="C1443" s="40">
        <v>459</v>
      </c>
      <c r="D1443" s="38" t="s">
        <v>2160</v>
      </c>
      <c r="E1443" s="40" t="s">
        <v>2963</v>
      </c>
      <c r="F1443" s="40" t="s">
        <v>4589</v>
      </c>
      <c r="G1443" s="50" t="s">
        <v>5604</v>
      </c>
      <c r="H1443" s="150" t="s">
        <v>5606</v>
      </c>
      <c r="I1443" s="50" t="s">
        <v>5609</v>
      </c>
      <c r="J1443" s="43">
        <v>199110.24600000001</v>
      </c>
      <c r="K1443" s="43">
        <v>2665386.3930000002</v>
      </c>
      <c r="L1443" s="43" t="s">
        <v>40</v>
      </c>
      <c r="M1443" s="43">
        <v>10</v>
      </c>
      <c r="N1443" s="43">
        <v>106</v>
      </c>
      <c r="O1443" s="43">
        <v>129</v>
      </c>
      <c r="P1443" s="43" t="s">
        <v>41</v>
      </c>
      <c r="Q1443" s="43">
        <v>36</v>
      </c>
      <c r="R1443" s="43">
        <v>321</v>
      </c>
      <c r="S1443" s="43">
        <v>172</v>
      </c>
      <c r="T1443" s="2" t="s">
        <v>575</v>
      </c>
      <c r="U1443" s="2" t="s">
        <v>8</v>
      </c>
      <c r="V1443" s="38" t="s">
        <v>3039</v>
      </c>
      <c r="W1443" s="39">
        <v>113</v>
      </c>
      <c r="X1443" s="40"/>
      <c r="Y1443" s="40"/>
      <c r="Z1443" s="40"/>
      <c r="AA1443" s="40" t="s">
        <v>2939</v>
      </c>
      <c r="AB1443" s="40"/>
      <c r="AC1443" s="40"/>
      <c r="AD1443" s="40"/>
      <c r="AE1443" s="40" t="s">
        <v>2939</v>
      </c>
      <c r="AF1443" s="40"/>
      <c r="AG1443" s="40"/>
      <c r="AH1443" s="40"/>
      <c r="AI1443" s="40"/>
      <c r="AJ1443" s="40" t="s">
        <v>2939</v>
      </c>
      <c r="AK1443" s="51"/>
      <c r="AL1443" s="153" t="s">
        <v>2950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2037</v>
      </c>
      <c r="C1444" s="40">
        <v>227</v>
      </c>
      <c r="D1444" s="38" t="s">
        <v>2034</v>
      </c>
      <c r="E1444" s="40" t="s">
        <v>2963</v>
      </c>
      <c r="F1444" s="40" t="s">
        <v>4590</v>
      </c>
      <c r="G1444" s="50" t="s">
        <v>5604</v>
      </c>
      <c r="H1444" s="150" t="s">
        <v>5608</v>
      </c>
      <c r="I1444" s="50" t="s">
        <v>5609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708</v>
      </c>
      <c r="U1444" s="2" t="s">
        <v>56</v>
      </c>
      <c r="V1444" s="150" t="s">
        <v>575</v>
      </c>
      <c r="W1444" s="39">
        <v>110</v>
      </c>
      <c r="X1444" s="40"/>
      <c r="Y1444" s="40"/>
      <c r="Z1444" s="40"/>
      <c r="AA1444" s="40" t="s">
        <v>2939</v>
      </c>
      <c r="AB1444" s="40"/>
      <c r="AC1444" s="40"/>
      <c r="AD1444" s="40"/>
      <c r="AE1444" s="40" t="s">
        <v>2939</v>
      </c>
      <c r="AF1444" s="40" t="s">
        <v>2939</v>
      </c>
      <c r="AG1444" s="40" t="s">
        <v>2943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2040</v>
      </c>
      <c r="C1445" s="83">
        <v>228</v>
      </c>
      <c r="D1445" s="113" t="s">
        <v>2034</v>
      </c>
      <c r="E1445" s="83" t="s">
        <v>2963</v>
      </c>
      <c r="F1445" s="83" t="s">
        <v>4591</v>
      </c>
      <c r="G1445" s="138" t="s">
        <v>5604</v>
      </c>
      <c r="H1445" s="340" t="s">
        <v>5608</v>
      </c>
      <c r="I1445" s="138" t="s">
        <v>5609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708</v>
      </c>
      <c r="U1445" s="85" t="s">
        <v>56</v>
      </c>
      <c r="V1445" s="340" t="s">
        <v>575</v>
      </c>
      <c r="W1445" s="86">
        <v>110</v>
      </c>
      <c r="X1445" s="83"/>
      <c r="Y1445" s="83"/>
      <c r="Z1445" s="83"/>
      <c r="AA1445" s="83" t="s">
        <v>2939</v>
      </c>
      <c r="AB1445" s="83"/>
      <c r="AC1445" s="83"/>
      <c r="AD1445" s="83"/>
      <c r="AE1445" s="83"/>
      <c r="AF1445" s="83" t="s">
        <v>2939</v>
      </c>
      <c r="AG1445" s="83" t="s">
        <v>2943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2211</v>
      </c>
      <c r="C1446" s="29">
        <v>2045</v>
      </c>
      <c r="D1446" s="27" t="s">
        <v>3080</v>
      </c>
      <c r="E1446" s="29" t="s">
        <v>2963</v>
      </c>
      <c r="F1446" s="29" t="s">
        <v>4592</v>
      </c>
      <c r="G1446" s="192" t="s">
        <v>5604</v>
      </c>
      <c r="H1446" s="145" t="s">
        <v>5608</v>
      </c>
      <c r="I1446" s="192" t="s">
        <v>5609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708</v>
      </c>
      <c r="U1446" s="30" t="s">
        <v>56</v>
      </c>
      <c r="V1446" s="145" t="s">
        <v>92</v>
      </c>
      <c r="W1446" s="28">
        <v>105</v>
      </c>
      <c r="X1446" s="29"/>
      <c r="Y1446" s="102"/>
      <c r="Z1446" s="29"/>
      <c r="AA1446" s="29"/>
      <c r="AB1446" s="29" t="s">
        <v>2943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2908</v>
      </c>
      <c r="AM1446" s="219">
        <v>113</v>
      </c>
    </row>
    <row r="1447" spans="1:56" x14ac:dyDescent="0.3">
      <c r="A1447" s="15">
        <v>1446</v>
      </c>
      <c r="B1447" s="40" t="s">
        <v>2213</v>
      </c>
      <c r="C1447" s="40">
        <v>2059</v>
      </c>
      <c r="D1447" s="38" t="s">
        <v>2205</v>
      </c>
      <c r="E1447" s="40" t="s">
        <v>2963</v>
      </c>
      <c r="F1447" s="40" t="s">
        <v>4593</v>
      </c>
      <c r="G1447" s="50"/>
      <c r="H1447" s="150" t="s">
        <v>5606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92</v>
      </c>
      <c r="W1447" s="39">
        <v>106</v>
      </c>
      <c r="X1447" s="40"/>
      <c r="Y1447" s="40" t="s">
        <v>2943</v>
      </c>
      <c r="Z1447" s="40"/>
      <c r="AA1447" s="40"/>
      <c r="AB1447" s="40"/>
      <c r="AC1447" s="40" t="s">
        <v>2898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2908</v>
      </c>
      <c r="AM1447" s="53">
        <v>113</v>
      </c>
    </row>
    <row r="1448" spans="1:56" ht="14.4" thickBot="1" x14ac:dyDescent="0.35">
      <c r="A1448" s="15">
        <v>1447</v>
      </c>
      <c r="B1448" s="83" t="s">
        <v>2214</v>
      </c>
      <c r="C1448" s="83">
        <v>2064</v>
      </c>
      <c r="D1448" s="113" t="s">
        <v>2205</v>
      </c>
      <c r="E1448" s="83" t="s">
        <v>2963</v>
      </c>
      <c r="F1448" s="83" t="s">
        <v>4594</v>
      </c>
      <c r="G1448" s="138"/>
      <c r="H1448" s="340" t="s">
        <v>5606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2215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92</v>
      </c>
      <c r="W1448" s="86">
        <v>106</v>
      </c>
      <c r="X1448" s="83"/>
      <c r="Y1448" s="83"/>
      <c r="Z1448" s="83"/>
      <c r="AA1448" s="83"/>
      <c r="AB1448" s="83"/>
      <c r="AC1448" s="83" t="s">
        <v>2939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2908</v>
      </c>
      <c r="AM1448" s="252">
        <v>113</v>
      </c>
    </row>
    <row r="1449" spans="1:56" x14ac:dyDescent="0.3">
      <c r="A1449" s="15">
        <v>1448</v>
      </c>
      <c r="B1449" s="29" t="s">
        <v>2249</v>
      </c>
      <c r="C1449" s="29">
        <v>1730</v>
      </c>
      <c r="D1449" s="27" t="s">
        <v>3081</v>
      </c>
      <c r="E1449" s="29" t="s">
        <v>2929</v>
      </c>
      <c r="F1449" s="29" t="s">
        <v>4595</v>
      </c>
      <c r="G1449" s="192" t="s">
        <v>5604</v>
      </c>
      <c r="H1449" s="145" t="s">
        <v>5608</v>
      </c>
      <c r="I1449" s="192" t="s">
        <v>5609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306</v>
      </c>
      <c r="U1449" s="30" t="str">
        <f>U1450</f>
        <v>正常</v>
      </c>
      <c r="V1449" s="145" t="s">
        <v>1193</v>
      </c>
      <c r="W1449" s="28">
        <v>113</v>
      </c>
      <c r="X1449" s="29"/>
      <c r="Y1449" s="102"/>
      <c r="Z1449" s="29"/>
      <c r="AA1449" s="29" t="s">
        <v>2939</v>
      </c>
      <c r="AB1449" s="29"/>
      <c r="AC1449" s="29"/>
      <c r="AD1449" s="29"/>
      <c r="AE1449" s="29"/>
      <c r="AF1449" s="29" t="s">
        <v>2898</v>
      </c>
      <c r="AG1449" s="29"/>
      <c r="AH1449" s="29"/>
      <c r="AI1449" s="29"/>
      <c r="AJ1449" s="40" t="s">
        <v>2898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2250</v>
      </c>
      <c r="C1450" s="40">
        <v>1731</v>
      </c>
      <c r="D1450" s="38" t="s">
        <v>2248</v>
      </c>
      <c r="E1450" s="40" t="s">
        <v>2929</v>
      </c>
      <c r="F1450" s="40" t="s">
        <v>4596</v>
      </c>
      <c r="G1450" s="50" t="s">
        <v>5604</v>
      </c>
      <c r="H1450" s="150" t="s">
        <v>5606</v>
      </c>
      <c r="I1450" s="50" t="s">
        <v>5609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306</v>
      </c>
      <c r="U1450" s="2" t="s">
        <v>3</v>
      </c>
      <c r="V1450" s="150" t="s">
        <v>1193</v>
      </c>
      <c r="W1450" s="39">
        <v>113</v>
      </c>
      <c r="X1450" s="40"/>
      <c r="Y1450" s="106"/>
      <c r="Z1450" s="40"/>
      <c r="AA1450" s="40" t="s">
        <v>2939</v>
      </c>
      <c r="AB1450" s="40"/>
      <c r="AC1450" s="40"/>
      <c r="AD1450" s="40"/>
      <c r="AE1450" s="40"/>
      <c r="AF1450" s="40" t="s">
        <v>2898</v>
      </c>
      <c r="AG1450" s="40"/>
      <c r="AH1450" s="40"/>
      <c r="AI1450" s="40"/>
      <c r="AJ1450" s="40" t="s">
        <v>2898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2251</v>
      </c>
      <c r="C1451" s="83">
        <v>1778</v>
      </c>
      <c r="D1451" s="113" t="s">
        <v>2248</v>
      </c>
      <c r="E1451" s="83" t="s">
        <v>2929</v>
      </c>
      <c r="F1451" s="83" t="s">
        <v>4597</v>
      </c>
      <c r="G1451" s="138"/>
      <c r="H1451" s="340" t="s">
        <v>5606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306</v>
      </c>
      <c r="U1451" s="85" t="s">
        <v>306</v>
      </c>
      <c r="V1451" s="340" t="s">
        <v>1193</v>
      </c>
      <c r="W1451" s="86">
        <v>113</v>
      </c>
      <c r="X1451" s="83"/>
      <c r="Y1451" s="83"/>
      <c r="Z1451" s="83" t="s">
        <v>2939</v>
      </c>
      <c r="AA1451" s="83"/>
      <c r="AB1451" s="83"/>
      <c r="AC1451" s="83"/>
      <c r="AD1451" s="83" t="s">
        <v>2939</v>
      </c>
      <c r="AE1451" s="83"/>
      <c r="AF1451" s="83"/>
      <c r="AG1451" s="83"/>
      <c r="AH1451" s="83"/>
      <c r="AI1451" s="83"/>
      <c r="AJ1451" s="83" t="s">
        <v>2898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2305</v>
      </c>
      <c r="C1452" s="29">
        <v>415</v>
      </c>
      <c r="D1452" s="27" t="s">
        <v>2304</v>
      </c>
      <c r="E1452" s="29" t="s">
        <v>2963</v>
      </c>
      <c r="F1452" s="29" t="s">
        <v>4598</v>
      </c>
      <c r="G1452" s="192"/>
      <c r="H1452" s="145" t="s">
        <v>5606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575</v>
      </c>
      <c r="W1452" s="28">
        <v>108</v>
      </c>
      <c r="X1452" s="29"/>
      <c r="Y1452" s="29"/>
      <c r="Z1452" s="29"/>
      <c r="AA1452" s="29" t="s">
        <v>2939</v>
      </c>
      <c r="AB1452" s="29"/>
      <c r="AC1452" s="29"/>
      <c r="AD1452" s="29"/>
      <c r="AE1452" s="29" t="s">
        <v>2898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2306</v>
      </c>
      <c r="C1453" s="40">
        <v>416</v>
      </c>
      <c r="D1453" s="38" t="s">
        <v>3082</v>
      </c>
      <c r="E1453" s="40" t="s">
        <v>2963</v>
      </c>
      <c r="F1453" s="40" t="s">
        <v>4599</v>
      </c>
      <c r="G1453" s="50"/>
      <c r="H1453" s="150" t="s">
        <v>5607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575</v>
      </c>
      <c r="W1453" s="39">
        <v>108</v>
      </c>
      <c r="X1453" s="40"/>
      <c r="Y1453" s="40"/>
      <c r="Z1453" s="40"/>
      <c r="AA1453" s="40" t="s">
        <v>2939</v>
      </c>
      <c r="AB1453" s="40"/>
      <c r="AC1453" s="40"/>
      <c r="AD1453" s="40"/>
      <c r="AE1453" s="40" t="s">
        <v>2939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2307</v>
      </c>
      <c r="C1454" s="40">
        <v>462</v>
      </c>
      <c r="D1454" s="38" t="s">
        <v>2304</v>
      </c>
      <c r="E1454" s="40" t="s">
        <v>2963</v>
      </c>
      <c r="F1454" s="40" t="s">
        <v>4600</v>
      </c>
      <c r="G1454" s="50"/>
      <c r="H1454" s="150" t="s">
        <v>5607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575</v>
      </c>
      <c r="W1454" s="39">
        <v>108</v>
      </c>
      <c r="X1454" s="40"/>
      <c r="Y1454" s="40"/>
      <c r="Z1454" s="40"/>
      <c r="AA1454" s="40" t="s">
        <v>2939</v>
      </c>
      <c r="AB1454" s="40"/>
      <c r="AC1454" s="40"/>
      <c r="AD1454" s="40"/>
      <c r="AE1454" s="40" t="s">
        <v>2898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2308</v>
      </c>
      <c r="C1455" s="40">
        <v>463</v>
      </c>
      <c r="D1455" s="38" t="s">
        <v>2304</v>
      </c>
      <c r="E1455" s="40" t="s">
        <v>2963</v>
      </c>
      <c r="F1455" s="40" t="s">
        <v>4601</v>
      </c>
      <c r="G1455" s="50"/>
      <c r="H1455" s="150" t="s">
        <v>5607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575</v>
      </c>
      <c r="W1455" s="39">
        <v>104</v>
      </c>
      <c r="X1455" s="40"/>
      <c r="Y1455" s="40"/>
      <c r="Z1455" s="40"/>
      <c r="AA1455" s="40" t="s">
        <v>2939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2309</v>
      </c>
      <c r="C1456" s="40">
        <v>464</v>
      </c>
      <c r="D1456" s="38" t="s">
        <v>2304</v>
      </c>
      <c r="E1456" s="40" t="s">
        <v>2963</v>
      </c>
      <c r="F1456" s="40" t="s">
        <v>4602</v>
      </c>
      <c r="G1456" s="50" t="s">
        <v>5604</v>
      </c>
      <c r="H1456" s="150" t="s">
        <v>5606</v>
      </c>
      <c r="I1456" s="50" t="s">
        <v>5609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575</v>
      </c>
      <c r="U1456" s="2" t="s">
        <v>303</v>
      </c>
      <c r="V1456" s="150" t="s">
        <v>575</v>
      </c>
      <c r="W1456" s="39">
        <v>113</v>
      </c>
      <c r="X1456" s="40"/>
      <c r="Y1456" s="40"/>
      <c r="Z1456" s="40"/>
      <c r="AA1456" s="40" t="s">
        <v>2939</v>
      </c>
      <c r="AB1456" s="40"/>
      <c r="AC1456" s="40"/>
      <c r="AD1456" s="40"/>
      <c r="AE1456" s="40" t="s">
        <v>2898</v>
      </c>
      <c r="AF1456" s="40"/>
      <c r="AG1456" s="40"/>
      <c r="AH1456" s="40"/>
      <c r="AI1456" s="40"/>
      <c r="AJ1456" s="39" t="s">
        <v>2968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2310</v>
      </c>
      <c r="C1457" s="40">
        <v>465</v>
      </c>
      <c r="D1457" s="38" t="s">
        <v>3082</v>
      </c>
      <c r="E1457" s="40" t="s">
        <v>2963</v>
      </c>
      <c r="F1457" s="40" t="s">
        <v>4603</v>
      </c>
      <c r="G1457" s="50"/>
      <c r="H1457" s="150" t="s">
        <v>5607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209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575</v>
      </c>
      <c r="W1457" s="39">
        <v>108</v>
      </c>
      <c r="X1457" s="40"/>
      <c r="Y1457" s="40"/>
      <c r="Z1457" s="40"/>
      <c r="AA1457" s="40" t="s">
        <v>2939</v>
      </c>
      <c r="AB1457" s="40"/>
      <c r="AC1457" s="40"/>
      <c r="AD1457" s="40"/>
      <c r="AE1457" s="40" t="s">
        <v>2939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2311</v>
      </c>
      <c r="C1458" s="40">
        <v>466</v>
      </c>
      <c r="D1458" s="38" t="s">
        <v>2304</v>
      </c>
      <c r="E1458" s="40" t="s">
        <v>2963</v>
      </c>
      <c r="F1458" s="40" t="s">
        <v>4604</v>
      </c>
      <c r="G1458" s="50"/>
      <c r="H1458" s="150" t="s">
        <v>5607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575</v>
      </c>
      <c r="W1458" s="39">
        <v>108</v>
      </c>
      <c r="X1458" s="40"/>
      <c r="Y1458" s="40"/>
      <c r="Z1458" s="40"/>
      <c r="AA1458" s="40" t="s">
        <v>2939</v>
      </c>
      <c r="AB1458" s="40"/>
      <c r="AC1458" s="40"/>
      <c r="AD1458" s="40"/>
      <c r="AE1458" s="40" t="s">
        <v>2939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2312</v>
      </c>
      <c r="C1459" s="40">
        <v>473</v>
      </c>
      <c r="D1459" s="38" t="s">
        <v>2304</v>
      </c>
      <c r="E1459" s="40" t="s">
        <v>2963</v>
      </c>
      <c r="F1459" s="40" t="s">
        <v>4605</v>
      </c>
      <c r="G1459" s="50"/>
      <c r="H1459" s="150" t="s">
        <v>5607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575</v>
      </c>
      <c r="W1459" s="39">
        <v>104</v>
      </c>
      <c r="X1459" s="40"/>
      <c r="Y1459" s="40"/>
      <c r="Z1459" s="40"/>
      <c r="AA1459" s="40" t="s">
        <v>2939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2313</v>
      </c>
      <c r="C1460" s="40">
        <v>474</v>
      </c>
      <c r="D1460" s="38" t="s">
        <v>2304</v>
      </c>
      <c r="E1460" s="40" t="s">
        <v>2963</v>
      </c>
      <c r="F1460" s="40" t="s">
        <v>4606</v>
      </c>
      <c r="G1460" s="50"/>
      <c r="H1460" s="150" t="s">
        <v>5607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575</v>
      </c>
      <c r="W1460" s="39">
        <v>108</v>
      </c>
      <c r="X1460" s="40"/>
      <c r="Y1460" s="40"/>
      <c r="Z1460" s="40"/>
      <c r="AA1460" s="40" t="s">
        <v>2939</v>
      </c>
      <c r="AB1460" s="40"/>
      <c r="AC1460" s="40"/>
      <c r="AD1460" s="40"/>
      <c r="AE1460" s="40" t="s">
        <v>2939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2314</v>
      </c>
      <c r="C1461" s="40">
        <v>475</v>
      </c>
      <c r="D1461" s="38" t="s">
        <v>2304</v>
      </c>
      <c r="E1461" s="40" t="s">
        <v>2963</v>
      </c>
      <c r="F1461" s="40" t="s">
        <v>4607</v>
      </c>
      <c r="G1461" s="50" t="s">
        <v>5604</v>
      </c>
      <c r="H1461" s="150" t="s">
        <v>5607</v>
      </c>
      <c r="I1461" s="50" t="s">
        <v>5609</v>
      </c>
      <c r="J1461" s="43">
        <v>199385.71</v>
      </c>
      <c r="K1461" s="43">
        <v>2665757.7200000002</v>
      </c>
      <c r="L1461" s="43" t="s">
        <v>40</v>
      </c>
      <c r="M1461" s="43">
        <v>16</v>
      </c>
      <c r="N1461" s="43">
        <v>84</v>
      </c>
      <c r="O1461" s="43">
        <v>121</v>
      </c>
      <c r="P1461" s="43" t="s">
        <v>41</v>
      </c>
      <c r="Q1461" s="43">
        <v>33</v>
      </c>
      <c r="R1461" s="43">
        <v>265</v>
      </c>
      <c r="S1461" s="43">
        <v>187</v>
      </c>
      <c r="T1461" s="2" t="s">
        <v>575</v>
      </c>
      <c r="U1461" s="2" t="s">
        <v>8</v>
      </c>
      <c r="V1461" s="150" t="s">
        <v>575</v>
      </c>
      <c r="W1461" s="39">
        <v>113</v>
      </c>
      <c r="X1461" s="40"/>
      <c r="Y1461" s="40"/>
      <c r="Z1461" s="40"/>
      <c r="AA1461" s="40" t="s">
        <v>2939</v>
      </c>
      <c r="AB1461" s="40"/>
      <c r="AC1461" s="40"/>
      <c r="AD1461" s="40"/>
      <c r="AE1461" s="40" t="s">
        <v>2939</v>
      </c>
      <c r="AF1461" s="40"/>
      <c r="AG1461" s="40"/>
      <c r="AH1461" s="40"/>
      <c r="AI1461" s="40"/>
      <c r="AJ1461" s="39" t="s">
        <v>2968</v>
      </c>
      <c r="AK1461" s="125"/>
      <c r="AL1461" s="189" t="s">
        <v>2967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2315</v>
      </c>
      <c r="C1462" s="40">
        <v>476</v>
      </c>
      <c r="D1462" s="38" t="s">
        <v>2304</v>
      </c>
      <c r="E1462" s="40" t="s">
        <v>2963</v>
      </c>
      <c r="F1462" s="40" t="s">
        <v>4608</v>
      </c>
      <c r="G1462" s="50"/>
      <c r="H1462" s="150" t="s">
        <v>5607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575</v>
      </c>
      <c r="W1462" s="39">
        <v>108</v>
      </c>
      <c r="X1462" s="40"/>
      <c r="Y1462" s="40"/>
      <c r="Z1462" s="40"/>
      <c r="AA1462" s="40" t="s">
        <v>2939</v>
      </c>
      <c r="AB1462" s="40"/>
      <c r="AC1462" s="40"/>
      <c r="AD1462" s="40"/>
      <c r="AE1462" s="40" t="s">
        <v>2898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2316</v>
      </c>
      <c r="C1463" s="40">
        <v>477</v>
      </c>
      <c r="D1463" s="38" t="s">
        <v>2304</v>
      </c>
      <c r="E1463" s="40" t="s">
        <v>2963</v>
      </c>
      <c r="F1463" s="40" t="s">
        <v>4609</v>
      </c>
      <c r="G1463" s="50" t="s">
        <v>5604</v>
      </c>
      <c r="H1463" s="150" t="s">
        <v>5606</v>
      </c>
      <c r="I1463" s="50" t="s">
        <v>5609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214</v>
      </c>
      <c r="Q1463" s="43">
        <v>26.6</v>
      </c>
      <c r="R1463" s="43">
        <v>285</v>
      </c>
      <c r="S1463" s="43">
        <v>113</v>
      </c>
      <c r="T1463" s="2" t="s">
        <v>306</v>
      </c>
      <c r="U1463" s="2" t="s">
        <v>3</v>
      </c>
      <c r="V1463" s="150" t="s">
        <v>575</v>
      </c>
      <c r="W1463" s="39">
        <v>113</v>
      </c>
      <c r="X1463" s="40"/>
      <c r="Y1463" s="40"/>
      <c r="Z1463" s="40"/>
      <c r="AA1463" s="40" t="s">
        <v>2939</v>
      </c>
      <c r="AB1463" s="40"/>
      <c r="AC1463" s="40"/>
      <c r="AD1463" s="40"/>
      <c r="AE1463" s="40" t="s">
        <v>2898</v>
      </c>
      <c r="AF1463" s="40"/>
      <c r="AG1463" s="40"/>
      <c r="AH1463" s="40"/>
      <c r="AI1463" s="40"/>
      <c r="AJ1463" s="40" t="s">
        <v>2898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2317</v>
      </c>
      <c r="C1464" s="83">
        <v>417</v>
      </c>
      <c r="D1464" s="113" t="s">
        <v>2304</v>
      </c>
      <c r="E1464" s="83" t="s">
        <v>2963</v>
      </c>
      <c r="F1464" s="83" t="s">
        <v>4610</v>
      </c>
      <c r="G1464" s="138"/>
      <c r="H1464" s="340" t="s">
        <v>5607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575</v>
      </c>
      <c r="W1464" s="86">
        <v>109</v>
      </c>
      <c r="X1464" s="83"/>
      <c r="Y1464" s="83"/>
      <c r="Z1464" s="83"/>
      <c r="AA1464" s="83" t="s">
        <v>2939</v>
      </c>
      <c r="AB1464" s="83"/>
      <c r="AC1464" s="83"/>
      <c r="AD1464" s="83"/>
      <c r="AE1464" s="83" t="s">
        <v>2939</v>
      </c>
      <c r="AF1464" s="83" t="s">
        <v>2939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2346</v>
      </c>
      <c r="C1465" s="29">
        <v>1992</v>
      </c>
      <c r="D1465" s="27" t="s">
        <v>3083</v>
      </c>
      <c r="E1465" s="29" t="s">
        <v>2963</v>
      </c>
      <c r="F1465" s="29" t="s">
        <v>4611</v>
      </c>
      <c r="G1465" s="192"/>
      <c r="H1465" s="145" t="s">
        <v>5608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1193</v>
      </c>
      <c r="W1465" s="28">
        <v>112</v>
      </c>
      <c r="X1465" s="29"/>
      <c r="Y1465" s="102"/>
      <c r="Z1465" s="29" t="s">
        <v>2939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3045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2347</v>
      </c>
      <c r="C1466" s="40">
        <v>1989</v>
      </c>
      <c r="D1466" s="38" t="s">
        <v>2345</v>
      </c>
      <c r="E1466" s="40" t="s">
        <v>2963</v>
      </c>
      <c r="F1466" s="40" t="s">
        <v>4612</v>
      </c>
      <c r="G1466" s="50" t="s">
        <v>5604</v>
      </c>
      <c r="H1466" s="340" t="s">
        <v>5606</v>
      </c>
      <c r="I1466" s="50" t="s">
        <v>5609</v>
      </c>
      <c r="J1466" s="43">
        <v>202010</v>
      </c>
      <c r="K1466" s="43">
        <v>2665620</v>
      </c>
      <c r="L1466" s="43" t="s">
        <v>831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306</v>
      </c>
      <c r="U1466" s="2" t="s">
        <v>3</v>
      </c>
      <c r="V1466" s="150" t="s">
        <v>1193</v>
      </c>
      <c r="W1466" s="39">
        <v>109</v>
      </c>
      <c r="X1466" s="40"/>
      <c r="Y1466" s="106"/>
      <c r="Z1466" s="40" t="s">
        <v>2939</v>
      </c>
      <c r="AA1466" s="40"/>
      <c r="AB1466" s="40"/>
      <c r="AC1466" s="40" t="s">
        <v>2898</v>
      </c>
      <c r="AD1466" s="40"/>
      <c r="AE1466" s="40"/>
      <c r="AF1466" s="40" t="s">
        <v>2898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2348</v>
      </c>
      <c r="C1467" s="40">
        <v>1991</v>
      </c>
      <c r="D1467" s="38" t="s">
        <v>2345</v>
      </c>
      <c r="E1467" s="40" t="s">
        <v>2963</v>
      </c>
      <c r="F1467" s="40" t="s">
        <v>4613</v>
      </c>
      <c r="G1467" s="50" t="s">
        <v>5604</v>
      </c>
      <c r="H1467" s="150" t="s">
        <v>5606</v>
      </c>
      <c r="I1467" s="50" t="s">
        <v>5609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306</v>
      </c>
      <c r="U1467" s="2" t="s">
        <v>3</v>
      </c>
      <c r="V1467" s="150" t="s">
        <v>1193</v>
      </c>
      <c r="W1467" s="39">
        <v>113</v>
      </c>
      <c r="X1467" s="40"/>
      <c r="Y1467" s="106"/>
      <c r="Z1467" s="40" t="s">
        <v>2939</v>
      </c>
      <c r="AA1467" s="40"/>
      <c r="AB1467" s="40"/>
      <c r="AC1467" s="40" t="s">
        <v>2939</v>
      </c>
      <c r="AD1467" s="40"/>
      <c r="AE1467" s="40"/>
      <c r="AF1467" s="40"/>
      <c r="AG1467" s="40"/>
      <c r="AH1467" s="40"/>
      <c r="AI1467" s="40"/>
      <c r="AJ1467" s="40" t="s">
        <v>2898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2491</v>
      </c>
      <c r="C1468" s="40">
        <v>20</v>
      </c>
      <c r="D1468" s="38" t="s">
        <v>3084</v>
      </c>
      <c r="E1468" s="40" t="s">
        <v>2963</v>
      </c>
      <c r="F1468" s="351" t="s">
        <v>4614</v>
      </c>
      <c r="G1468" s="50"/>
      <c r="H1468" s="150" t="s">
        <v>5606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1193</v>
      </c>
      <c r="W1468" s="39">
        <v>106</v>
      </c>
      <c r="X1468" s="40"/>
      <c r="Y1468" s="40" t="s">
        <v>2943</v>
      </c>
      <c r="Z1468" s="40"/>
      <c r="AA1468" s="40"/>
      <c r="AB1468" s="40" t="s">
        <v>2943</v>
      </c>
      <c r="AC1468" s="40" t="s">
        <v>2898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2492</v>
      </c>
      <c r="C1469" s="83">
        <v>1988</v>
      </c>
      <c r="D1469" s="113" t="s">
        <v>3084</v>
      </c>
      <c r="E1469" s="83" t="s">
        <v>2963</v>
      </c>
      <c r="F1469" s="83" t="s">
        <v>4615</v>
      </c>
      <c r="G1469" s="50" t="s">
        <v>5604</v>
      </c>
      <c r="H1469" s="150" t="s">
        <v>5607</v>
      </c>
      <c r="I1469" s="50" t="s">
        <v>5609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306</v>
      </c>
      <c r="U1469" s="85" t="s">
        <v>3</v>
      </c>
      <c r="V1469" s="340" t="s">
        <v>1193</v>
      </c>
      <c r="W1469" s="86">
        <v>113</v>
      </c>
      <c r="X1469" s="83"/>
      <c r="Y1469" s="137"/>
      <c r="Z1469" s="83"/>
      <c r="AA1469" s="83"/>
      <c r="AB1469" s="83"/>
      <c r="AC1469" s="83" t="s">
        <v>2898</v>
      </c>
      <c r="AD1469" s="83"/>
      <c r="AE1469" s="83"/>
      <c r="AF1469" s="83"/>
      <c r="AG1469" s="83"/>
      <c r="AH1469" s="83"/>
      <c r="AI1469" s="83"/>
      <c r="AJ1469" s="40" t="s">
        <v>2898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2524</v>
      </c>
      <c r="C1470" s="29">
        <v>1555</v>
      </c>
      <c r="D1470" s="27" t="s">
        <v>2523</v>
      </c>
      <c r="E1470" s="29" t="s">
        <v>2929</v>
      </c>
      <c r="F1470" s="29" t="s">
        <v>4616</v>
      </c>
      <c r="G1470" s="192"/>
      <c r="H1470" s="145" t="s">
        <v>5606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306</v>
      </c>
      <c r="U1470" s="30" t="s">
        <v>3</v>
      </c>
      <c r="V1470" s="145" t="s">
        <v>1193</v>
      </c>
      <c r="W1470" s="28">
        <v>106</v>
      </c>
      <c r="X1470" s="29"/>
      <c r="Y1470" s="102"/>
      <c r="Z1470" s="29"/>
      <c r="AA1470" s="29"/>
      <c r="AB1470" s="29"/>
      <c r="AC1470" s="29" t="s">
        <v>2898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2525</v>
      </c>
      <c r="C1471" s="83">
        <v>1556</v>
      </c>
      <c r="D1471" s="113" t="s">
        <v>2523</v>
      </c>
      <c r="E1471" s="83" t="s">
        <v>2929</v>
      </c>
      <c r="F1471" s="83" t="s">
        <v>4617</v>
      </c>
      <c r="G1471" s="138" t="s">
        <v>5604</v>
      </c>
      <c r="H1471" s="340" t="s">
        <v>5606</v>
      </c>
      <c r="I1471" s="138" t="s">
        <v>5609</v>
      </c>
      <c r="J1471" s="88">
        <v>193700</v>
      </c>
      <c r="K1471" s="88">
        <v>2666124</v>
      </c>
      <c r="L1471" s="88" t="s">
        <v>831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306</v>
      </c>
      <c r="U1471" s="85" t="s">
        <v>3</v>
      </c>
      <c r="V1471" s="340" t="s">
        <v>1193</v>
      </c>
      <c r="W1471" s="86">
        <v>112</v>
      </c>
      <c r="X1471" s="83"/>
      <c r="Y1471" s="137"/>
      <c r="Z1471" s="83" t="s">
        <v>2898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2959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1937</v>
      </c>
      <c r="C1472" s="29">
        <v>1969</v>
      </c>
      <c r="D1472" s="27" t="s">
        <v>1936</v>
      </c>
      <c r="E1472" s="29" t="s">
        <v>2963</v>
      </c>
      <c r="F1472" s="29" t="s">
        <v>4618</v>
      </c>
      <c r="G1472" s="200" t="s">
        <v>5604</v>
      </c>
      <c r="H1472" s="145" t="s">
        <v>5606</v>
      </c>
      <c r="I1472" s="200" t="s">
        <v>5609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575</v>
      </c>
      <c r="U1472" s="30" t="s">
        <v>303</v>
      </c>
      <c r="V1472" s="145" t="s">
        <v>575</v>
      </c>
      <c r="W1472" s="28">
        <v>113</v>
      </c>
      <c r="X1472" s="29"/>
      <c r="Y1472" s="29"/>
      <c r="Z1472" s="29" t="s">
        <v>2939</v>
      </c>
      <c r="AA1472" s="29"/>
      <c r="AB1472" s="29"/>
      <c r="AC1472" s="29" t="s">
        <v>2898</v>
      </c>
      <c r="AD1472" s="29"/>
      <c r="AE1472" s="29"/>
      <c r="AF1472" s="29"/>
      <c r="AG1472" s="29"/>
      <c r="AH1472" s="29"/>
      <c r="AI1472" s="29"/>
      <c r="AJ1472" s="79" t="s">
        <v>303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2612</v>
      </c>
      <c r="C1473" s="58">
        <v>1963</v>
      </c>
      <c r="D1473" s="56" t="s">
        <v>2611</v>
      </c>
      <c r="E1473" s="58" t="s">
        <v>2963</v>
      </c>
      <c r="F1473" s="58" t="s">
        <v>4619</v>
      </c>
      <c r="G1473" s="127" t="s">
        <v>5604</v>
      </c>
      <c r="H1473" s="226" t="s">
        <v>5606</v>
      </c>
      <c r="I1473" s="127" t="s">
        <v>5609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575</v>
      </c>
      <c r="U1473" s="59" t="s">
        <v>303</v>
      </c>
      <c r="V1473" s="226" t="s">
        <v>575</v>
      </c>
      <c r="W1473" s="57">
        <v>113</v>
      </c>
      <c r="X1473" s="58"/>
      <c r="Y1473" s="58"/>
      <c r="Z1473" s="58" t="s">
        <v>2939</v>
      </c>
      <c r="AA1473" s="58"/>
      <c r="AB1473" s="58"/>
      <c r="AC1473" s="58"/>
      <c r="AD1473" s="58"/>
      <c r="AE1473" s="58"/>
      <c r="AF1473" s="58" t="s">
        <v>2898</v>
      </c>
      <c r="AG1473" s="58"/>
      <c r="AH1473" s="58"/>
      <c r="AI1473" s="58"/>
      <c r="AJ1473" s="79" t="s">
        <v>303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2361</v>
      </c>
      <c r="C1474" s="29">
        <v>1635</v>
      </c>
      <c r="D1474" s="27" t="s">
        <v>3085</v>
      </c>
      <c r="E1474" s="29" t="s">
        <v>2929</v>
      </c>
      <c r="F1474" s="29" t="s">
        <v>4620</v>
      </c>
      <c r="G1474" s="138" t="s">
        <v>5604</v>
      </c>
      <c r="H1474" s="145" t="s">
        <v>5606</v>
      </c>
      <c r="I1474" s="138" t="s">
        <v>5609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306</v>
      </c>
      <c r="U1474" s="30" t="s">
        <v>3</v>
      </c>
      <c r="V1474" s="145" t="s">
        <v>1193</v>
      </c>
      <c r="W1474" s="28">
        <v>113</v>
      </c>
      <c r="X1474" s="33"/>
      <c r="Y1474" s="29"/>
      <c r="Z1474" s="29" t="s">
        <v>2939</v>
      </c>
      <c r="AA1474" s="29"/>
      <c r="AB1474" s="29"/>
      <c r="AC1474" s="29"/>
      <c r="AD1474" s="29" t="s">
        <v>2898</v>
      </c>
      <c r="AE1474" s="29"/>
      <c r="AF1474" s="29"/>
      <c r="AG1474" s="29" t="s">
        <v>2898</v>
      </c>
      <c r="AH1474" s="29"/>
      <c r="AI1474" s="29"/>
      <c r="AJ1474" s="141" t="s">
        <v>306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2362</v>
      </c>
      <c r="C1475" s="58">
        <v>1636</v>
      </c>
      <c r="D1475" s="56" t="s">
        <v>2360</v>
      </c>
      <c r="E1475" s="58" t="s">
        <v>2929</v>
      </c>
      <c r="F1475" s="58" t="s">
        <v>4621</v>
      </c>
      <c r="G1475" s="127"/>
      <c r="H1475" s="226" t="s">
        <v>5606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73</v>
      </c>
      <c r="V1475" s="226" t="s">
        <v>1193</v>
      </c>
      <c r="W1475" s="57">
        <v>113</v>
      </c>
      <c r="X1475" s="58"/>
      <c r="Y1475" s="58"/>
      <c r="Z1475" s="58" t="s">
        <v>2939</v>
      </c>
      <c r="AA1475" s="58"/>
      <c r="AB1475" s="58"/>
      <c r="AC1475" s="58"/>
      <c r="AD1475" s="58" t="s">
        <v>2898</v>
      </c>
      <c r="AE1475" s="58"/>
      <c r="AF1475" s="58"/>
      <c r="AG1475" s="58"/>
      <c r="AH1475" s="58"/>
      <c r="AI1475" s="58"/>
      <c r="AJ1475" s="143" t="s">
        <v>73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32</v>
      </c>
      <c r="E1476" s="19" t="s">
        <v>2901</v>
      </c>
      <c r="F1476" s="19" t="s">
        <v>4622</v>
      </c>
      <c r="G1476" s="21" t="s">
        <v>5604</v>
      </c>
      <c r="H1476" s="434" t="s">
        <v>5608</v>
      </c>
      <c r="I1476" s="21" t="s">
        <v>5609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33</v>
      </c>
      <c r="Q1476" s="23">
        <v>37.5</v>
      </c>
      <c r="R1476" s="23">
        <v>153</v>
      </c>
      <c r="S1476" s="23">
        <v>35.4</v>
      </c>
      <c r="T1476" s="20" t="s">
        <v>306</v>
      </c>
      <c r="U1476" s="20" t="s">
        <v>3</v>
      </c>
      <c r="V1476" s="17" t="s">
        <v>3069</v>
      </c>
      <c r="W1476" s="17">
        <v>112</v>
      </c>
      <c r="X1476" s="19"/>
      <c r="Y1476" s="19"/>
      <c r="Z1476" s="19"/>
      <c r="AA1476" s="19"/>
      <c r="AB1476" s="19"/>
      <c r="AC1476" s="19" t="s">
        <v>2894</v>
      </c>
      <c r="AD1476" s="19"/>
      <c r="AE1476" s="19" t="s">
        <v>2898</v>
      </c>
      <c r="AF1476" s="19"/>
      <c r="AG1476" s="19"/>
      <c r="AH1476" s="19"/>
      <c r="AI1476" s="19" t="s">
        <v>2959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43</v>
      </c>
      <c r="C1477" s="29">
        <v>2196</v>
      </c>
      <c r="D1477" s="27" t="s">
        <v>42</v>
      </c>
      <c r="E1477" s="29" t="s">
        <v>2901</v>
      </c>
      <c r="F1477" s="29" t="s">
        <v>4623</v>
      </c>
      <c r="G1477" s="31" t="s">
        <v>5604</v>
      </c>
      <c r="H1477" s="145" t="s">
        <v>5608</v>
      </c>
      <c r="I1477" s="31" t="s">
        <v>5609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33</v>
      </c>
      <c r="Q1477" s="33">
        <v>43.6</v>
      </c>
      <c r="R1477" s="33">
        <v>188</v>
      </c>
      <c r="S1477" s="33">
        <v>48.2</v>
      </c>
      <c r="T1477" s="30" t="s">
        <v>306</v>
      </c>
      <c r="U1477" s="30" t="s">
        <v>3</v>
      </c>
      <c r="V1477" s="28" t="s">
        <v>3086</v>
      </c>
      <c r="W1477" s="27">
        <v>111</v>
      </c>
      <c r="X1477" s="29"/>
      <c r="Y1477" s="29"/>
      <c r="Z1477" s="29"/>
      <c r="AA1477" s="29"/>
      <c r="AB1477" s="29" t="s">
        <v>2894</v>
      </c>
      <c r="AC1477" s="29"/>
      <c r="AD1477" s="29"/>
      <c r="AE1477" s="29" t="s">
        <v>2939</v>
      </c>
      <c r="AF1477" s="29"/>
      <c r="AG1477" s="29"/>
      <c r="AH1477" s="29" t="s">
        <v>2898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44</v>
      </c>
      <c r="C1478" s="58">
        <v>2197</v>
      </c>
      <c r="D1478" s="56" t="s">
        <v>42</v>
      </c>
      <c r="E1478" s="58" t="s">
        <v>2901</v>
      </c>
      <c r="F1478" s="58" t="s">
        <v>4624</v>
      </c>
      <c r="G1478" s="60" t="s">
        <v>5604</v>
      </c>
      <c r="H1478" s="226" t="s">
        <v>5608</v>
      </c>
      <c r="I1478" s="60" t="s">
        <v>5609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33</v>
      </c>
      <c r="Q1478" s="62">
        <v>39.700000000000003</v>
      </c>
      <c r="R1478" s="62">
        <v>157</v>
      </c>
      <c r="S1478" s="62">
        <v>41.3</v>
      </c>
      <c r="T1478" s="59" t="s">
        <v>306</v>
      </c>
      <c r="U1478" s="59" t="s">
        <v>3</v>
      </c>
      <c r="V1478" s="57" t="s">
        <v>3086</v>
      </c>
      <c r="W1478" s="56">
        <v>111</v>
      </c>
      <c r="X1478" s="58"/>
      <c r="Y1478" s="58"/>
      <c r="Z1478" s="58"/>
      <c r="AA1478" s="58"/>
      <c r="AB1478" s="58" t="s">
        <v>2894</v>
      </c>
      <c r="AC1478" s="58"/>
      <c r="AD1478" s="58"/>
      <c r="AE1478" s="58" t="s">
        <v>2939</v>
      </c>
      <c r="AF1478" s="58"/>
      <c r="AG1478" s="58"/>
      <c r="AH1478" s="58" t="s">
        <v>2898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128</v>
      </c>
      <c r="C1479" s="67">
        <v>2192</v>
      </c>
      <c r="D1479" s="67" t="s">
        <v>127</v>
      </c>
      <c r="E1479" s="67" t="s">
        <v>3087</v>
      </c>
      <c r="F1479" s="67" t="s">
        <v>4625</v>
      </c>
      <c r="G1479" s="76" t="s">
        <v>5604</v>
      </c>
      <c r="H1479" s="414" t="s">
        <v>5608</v>
      </c>
      <c r="I1479" s="76" t="s">
        <v>5609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306</v>
      </c>
      <c r="U1479" s="69" t="s">
        <v>3</v>
      </c>
      <c r="V1479" s="70" t="s">
        <v>3086</v>
      </c>
      <c r="W1479" s="67">
        <v>111</v>
      </c>
      <c r="X1479" s="75"/>
      <c r="Y1479" s="75"/>
      <c r="Z1479" s="75" t="s">
        <v>2894</v>
      </c>
      <c r="AA1479" s="75"/>
      <c r="AB1479" s="75"/>
      <c r="AC1479" s="75"/>
      <c r="AD1479" s="75" t="s">
        <v>2898</v>
      </c>
      <c r="AE1479" s="75"/>
      <c r="AF1479" s="75"/>
      <c r="AG1479" s="75"/>
      <c r="AH1479" s="75" t="s">
        <v>2898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127</v>
      </c>
      <c r="E1480" s="113" t="s">
        <v>3087</v>
      </c>
      <c r="F1480" s="113" t="s">
        <v>4626</v>
      </c>
      <c r="G1480" s="47" t="s">
        <v>5604</v>
      </c>
      <c r="H1480" s="340" t="s">
        <v>5608</v>
      </c>
      <c r="I1480" s="47" t="s">
        <v>5609</v>
      </c>
      <c r="J1480" s="88">
        <v>193046</v>
      </c>
      <c r="K1480" s="88">
        <v>2658680</v>
      </c>
      <c r="L1480" s="355" t="s">
        <v>40</v>
      </c>
      <c r="M1480" s="113">
        <v>7</v>
      </c>
      <c r="N1480" s="113">
        <v>31</v>
      </c>
      <c r="O1480" s="113">
        <v>106</v>
      </c>
      <c r="P1480" s="355" t="s">
        <v>41</v>
      </c>
      <c r="Q1480" s="113">
        <v>25</v>
      </c>
      <c r="R1480" s="113">
        <v>114</v>
      </c>
      <c r="S1480" s="113">
        <v>96</v>
      </c>
      <c r="T1480" s="85" t="s">
        <v>306</v>
      </c>
      <c r="U1480" s="85" t="s">
        <v>3</v>
      </c>
      <c r="V1480" s="86" t="s">
        <v>3086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2898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143</v>
      </c>
      <c r="C1481" s="27">
        <v>2186</v>
      </c>
      <c r="D1481" s="27" t="s">
        <v>142</v>
      </c>
      <c r="E1481" s="29" t="s">
        <v>3087</v>
      </c>
      <c r="F1481" s="29" t="s">
        <v>4627</v>
      </c>
      <c r="G1481" s="27"/>
      <c r="H1481" s="145" t="s">
        <v>5608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105</v>
      </c>
      <c r="U1481" s="30" t="s">
        <v>4</v>
      </c>
      <c r="V1481" s="28" t="s">
        <v>3086</v>
      </c>
      <c r="W1481" s="27">
        <v>112</v>
      </c>
      <c r="X1481" s="29"/>
      <c r="Y1481" s="29"/>
      <c r="Z1481" s="29" t="s">
        <v>2894</v>
      </c>
      <c r="AA1481" s="29"/>
      <c r="AB1481" s="29"/>
      <c r="AC1481" s="29"/>
      <c r="AD1481" s="29" t="s">
        <v>2898</v>
      </c>
      <c r="AE1481" s="29"/>
      <c r="AF1481" s="29"/>
      <c r="AG1481" s="29"/>
      <c r="AH1481" s="29"/>
      <c r="AI1481" s="359" t="s">
        <v>3088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144</v>
      </c>
      <c r="C1482" s="56">
        <v>2187</v>
      </c>
      <c r="D1482" s="56" t="s">
        <v>142</v>
      </c>
      <c r="E1482" s="58" t="s">
        <v>3087</v>
      </c>
      <c r="F1482" s="58" t="s">
        <v>4628</v>
      </c>
      <c r="G1482" s="60" t="s">
        <v>5604</v>
      </c>
      <c r="H1482" s="226" t="s">
        <v>5608</v>
      </c>
      <c r="I1482" s="60" t="s">
        <v>5609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3086</v>
      </c>
      <c r="W1482" s="56">
        <v>112</v>
      </c>
      <c r="X1482" s="58"/>
      <c r="Y1482" s="58"/>
      <c r="Z1482" s="58" t="s">
        <v>2894</v>
      </c>
      <c r="AA1482" s="58"/>
      <c r="AB1482" s="58"/>
      <c r="AC1482" s="58"/>
      <c r="AD1482" s="58" t="s">
        <v>2898</v>
      </c>
      <c r="AE1482" s="58"/>
      <c r="AF1482" s="58"/>
      <c r="AG1482" s="58"/>
      <c r="AH1482" s="58"/>
      <c r="AI1482" s="58" t="s">
        <v>2898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265</v>
      </c>
      <c r="C1483" s="231">
        <v>1453</v>
      </c>
      <c r="D1483" s="229" t="s">
        <v>264</v>
      </c>
      <c r="E1483" s="231" t="s">
        <v>3042</v>
      </c>
      <c r="F1483" s="231" t="s">
        <v>4629</v>
      </c>
      <c r="G1483" s="291" t="s">
        <v>5604</v>
      </c>
      <c r="H1483" s="435" t="s">
        <v>5608</v>
      </c>
      <c r="I1483" s="291" t="s">
        <v>5609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306</v>
      </c>
      <c r="U1483" s="232" t="s">
        <v>3</v>
      </c>
      <c r="V1483" s="361" t="s">
        <v>3086</v>
      </c>
      <c r="W1483" s="229">
        <v>111</v>
      </c>
      <c r="X1483" s="231"/>
      <c r="Y1483" s="231"/>
      <c r="Z1483" s="231"/>
      <c r="AA1483" s="231"/>
      <c r="AB1483" s="231"/>
      <c r="AC1483" s="231" t="s">
        <v>2939</v>
      </c>
      <c r="AD1483" s="231"/>
      <c r="AE1483" s="231" t="s">
        <v>2939</v>
      </c>
      <c r="AF1483" s="231"/>
      <c r="AG1483" s="231"/>
      <c r="AH1483" s="231" t="s">
        <v>2898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274</v>
      </c>
      <c r="C1484" s="205">
        <v>9</v>
      </c>
      <c r="D1484" s="203" t="s">
        <v>273</v>
      </c>
      <c r="E1484" s="205" t="s">
        <v>2893</v>
      </c>
      <c r="F1484" s="205" t="s">
        <v>4630</v>
      </c>
      <c r="G1484" s="207" t="s">
        <v>5604</v>
      </c>
      <c r="H1484" s="453" t="s">
        <v>5608</v>
      </c>
      <c r="I1484" s="207" t="s">
        <v>5609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77</v>
      </c>
      <c r="Q1484" s="209">
        <v>44.6</v>
      </c>
      <c r="R1484" s="209">
        <v>269</v>
      </c>
      <c r="S1484" s="209">
        <v>90.1</v>
      </c>
      <c r="T1484" s="362" t="s">
        <v>708</v>
      </c>
      <c r="U1484" s="206" t="s">
        <v>56</v>
      </c>
      <c r="V1484" s="361" t="s">
        <v>3086</v>
      </c>
      <c r="W1484" s="203">
        <v>109</v>
      </c>
      <c r="X1484" s="205"/>
      <c r="Y1484" s="205"/>
      <c r="Z1484" s="205"/>
      <c r="AA1484" s="205"/>
      <c r="AB1484" s="205"/>
      <c r="AC1484" s="205" t="s">
        <v>2939</v>
      </c>
      <c r="AD1484" s="205"/>
      <c r="AE1484" s="205"/>
      <c r="AF1484" s="205" t="s">
        <v>2905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283</v>
      </c>
      <c r="C1485" s="75">
        <v>5</v>
      </c>
      <c r="D1485" s="67" t="s">
        <v>282</v>
      </c>
      <c r="E1485" s="75" t="s">
        <v>2893</v>
      </c>
      <c r="F1485" s="75" t="s">
        <v>4631</v>
      </c>
      <c r="G1485" s="76" t="s">
        <v>5604</v>
      </c>
      <c r="H1485" s="414" t="s">
        <v>5608</v>
      </c>
      <c r="I1485" s="76" t="s">
        <v>5609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219</v>
      </c>
      <c r="Q1485" s="72">
        <v>39.4</v>
      </c>
      <c r="R1485" s="72">
        <v>271</v>
      </c>
      <c r="S1485" s="72">
        <v>82.5</v>
      </c>
      <c r="T1485" s="69" t="s">
        <v>306</v>
      </c>
      <c r="U1485" s="69" t="s">
        <v>3</v>
      </c>
      <c r="V1485" s="70" t="s">
        <v>3086</v>
      </c>
      <c r="W1485" s="67">
        <v>109</v>
      </c>
      <c r="X1485" s="75"/>
      <c r="Y1485" s="75"/>
      <c r="Z1485" s="75"/>
      <c r="AA1485" s="75"/>
      <c r="AB1485" s="75"/>
      <c r="AC1485" s="75" t="s">
        <v>2939</v>
      </c>
      <c r="AD1485" s="75"/>
      <c r="AE1485" s="75"/>
      <c r="AF1485" s="75" t="s">
        <v>2898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284</v>
      </c>
      <c r="C1486" s="83">
        <v>690</v>
      </c>
      <c r="D1486" s="113" t="s">
        <v>282</v>
      </c>
      <c r="E1486" s="83" t="s">
        <v>2893</v>
      </c>
      <c r="F1486" s="83" t="s">
        <v>4632</v>
      </c>
      <c r="G1486" s="47" t="s">
        <v>5604</v>
      </c>
      <c r="H1486" s="340" t="s">
        <v>5608</v>
      </c>
      <c r="I1486" s="47" t="s">
        <v>5609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2996</v>
      </c>
      <c r="U1486" s="85" t="str">
        <f>U623</f>
        <v>監測</v>
      </c>
      <c r="V1486" s="86" t="s">
        <v>3086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2939</v>
      </c>
      <c r="AF1486" s="83" t="s">
        <v>2939</v>
      </c>
      <c r="AG1486" s="83"/>
      <c r="AH1486" s="83"/>
      <c r="AI1486" s="83"/>
      <c r="AJ1486" s="113"/>
      <c r="AK1486" s="287"/>
      <c r="AL1486" s="157" t="s">
        <v>3089</v>
      </c>
      <c r="AM1486" s="252"/>
    </row>
    <row r="1487" spans="1:39" ht="14.4" thickBot="1" x14ac:dyDescent="0.35">
      <c r="A1487" s="15">
        <v>1486</v>
      </c>
      <c r="B1487" s="205" t="s">
        <v>289</v>
      </c>
      <c r="C1487" s="205">
        <v>1452</v>
      </c>
      <c r="D1487" s="203" t="s">
        <v>288</v>
      </c>
      <c r="E1487" s="205" t="s">
        <v>3042</v>
      </c>
      <c r="F1487" s="205" t="s">
        <v>4633</v>
      </c>
      <c r="G1487" s="207" t="s">
        <v>5604</v>
      </c>
      <c r="H1487" s="453" t="s">
        <v>5608</v>
      </c>
      <c r="I1487" s="207" t="s">
        <v>5609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306</v>
      </c>
      <c r="U1487" s="206" t="s">
        <v>3</v>
      </c>
      <c r="V1487" s="208" t="s">
        <v>3086</v>
      </c>
      <c r="W1487" s="203">
        <v>111</v>
      </c>
      <c r="X1487" s="205"/>
      <c r="Y1487" s="205"/>
      <c r="Z1487" s="205"/>
      <c r="AA1487" s="205"/>
      <c r="AB1487" s="205"/>
      <c r="AC1487" s="205" t="s">
        <v>2939</v>
      </c>
      <c r="AD1487" s="205"/>
      <c r="AE1487" s="205" t="s">
        <v>2939</v>
      </c>
      <c r="AF1487" s="205"/>
      <c r="AG1487" s="205"/>
      <c r="AH1487" s="205" t="s">
        <v>2898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405</v>
      </c>
      <c r="C1488" s="364">
        <v>1071</v>
      </c>
      <c r="D1488" s="365" t="s">
        <v>404</v>
      </c>
      <c r="E1488" s="364" t="s">
        <v>2915</v>
      </c>
      <c r="F1488" s="364" t="s">
        <v>4634</v>
      </c>
      <c r="G1488" s="366"/>
      <c r="H1488" s="453" t="s">
        <v>5608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306</v>
      </c>
      <c r="U1488" s="288" t="s">
        <v>3</v>
      </c>
      <c r="V1488" s="361" t="s">
        <v>3086</v>
      </c>
      <c r="W1488" s="365">
        <v>109</v>
      </c>
      <c r="X1488" s="364"/>
      <c r="Y1488" s="364"/>
      <c r="Z1488" s="364"/>
      <c r="AA1488" s="364"/>
      <c r="AB1488" s="364"/>
      <c r="AC1488" s="364" t="s">
        <v>2939</v>
      </c>
      <c r="AD1488" s="364"/>
      <c r="AE1488" s="364"/>
      <c r="AF1488" s="364" t="s">
        <v>2898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462</v>
      </c>
      <c r="C1489" s="29">
        <v>1888</v>
      </c>
      <c r="D1489" s="27" t="s">
        <v>461</v>
      </c>
      <c r="E1489" s="29" t="s">
        <v>2915</v>
      </c>
      <c r="F1489" s="29" t="s">
        <v>4635</v>
      </c>
      <c r="G1489" s="31" t="s">
        <v>5604</v>
      </c>
      <c r="H1489" s="453" t="s">
        <v>5608</v>
      </c>
      <c r="I1489" s="31" t="s">
        <v>5609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306</v>
      </c>
      <c r="U1489" s="30" t="s">
        <v>3</v>
      </c>
      <c r="V1489" s="28" t="s">
        <v>3086</v>
      </c>
      <c r="W1489" s="31">
        <v>110</v>
      </c>
      <c r="X1489" s="29"/>
      <c r="Y1489" s="29"/>
      <c r="Z1489" s="29"/>
      <c r="AA1489" s="29"/>
      <c r="AB1489" s="29"/>
      <c r="AC1489" s="29" t="s">
        <v>2894</v>
      </c>
      <c r="AD1489" s="29"/>
      <c r="AE1489" s="29" t="s">
        <v>2898</v>
      </c>
      <c r="AF1489" s="29"/>
      <c r="AG1489" s="29" t="s">
        <v>2898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463</v>
      </c>
      <c r="C1490" s="231">
        <v>1887</v>
      </c>
      <c r="D1490" s="229" t="s">
        <v>461</v>
      </c>
      <c r="E1490" s="231" t="s">
        <v>2915</v>
      </c>
      <c r="F1490" s="231" t="s">
        <v>4636</v>
      </c>
      <c r="G1490" s="291" t="s">
        <v>5604</v>
      </c>
      <c r="H1490" s="435" t="s">
        <v>5608</v>
      </c>
      <c r="I1490" s="291" t="s">
        <v>5609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102</v>
      </c>
      <c r="Q1490" s="235">
        <v>28.1</v>
      </c>
      <c r="R1490" s="235">
        <v>188</v>
      </c>
      <c r="S1490" s="235">
        <v>71.599999999999994</v>
      </c>
      <c r="T1490" s="232" t="s">
        <v>575</v>
      </c>
      <c r="U1490" s="232" t="str">
        <f>U688</f>
        <v>監測</v>
      </c>
      <c r="V1490" s="234" t="s">
        <v>3086</v>
      </c>
      <c r="W1490" s="291">
        <v>110</v>
      </c>
      <c r="X1490" s="231"/>
      <c r="Y1490" s="231"/>
      <c r="Z1490" s="231"/>
      <c r="AA1490" s="231"/>
      <c r="AB1490" s="231"/>
      <c r="AC1490" s="231" t="s">
        <v>2894</v>
      </c>
      <c r="AD1490" s="231"/>
      <c r="AE1490" s="231" t="s">
        <v>2898</v>
      </c>
      <c r="AF1490" s="231"/>
      <c r="AG1490" s="231" t="s">
        <v>2894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487</v>
      </c>
      <c r="C1491" s="19">
        <v>989</v>
      </c>
      <c r="D1491" s="17" t="s">
        <v>485</v>
      </c>
      <c r="E1491" s="19" t="s">
        <v>2915</v>
      </c>
      <c r="F1491" s="19" t="s">
        <v>4637</v>
      </c>
      <c r="G1491" s="21" t="s">
        <v>5604</v>
      </c>
      <c r="H1491" s="453" t="s">
        <v>5608</v>
      </c>
      <c r="I1491" s="21" t="s">
        <v>5609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306</v>
      </c>
      <c r="U1491" s="20" t="s">
        <v>3</v>
      </c>
      <c r="V1491" s="222" t="s">
        <v>3086</v>
      </c>
      <c r="W1491" s="21">
        <v>111</v>
      </c>
      <c r="X1491" s="19"/>
      <c r="Y1491" s="19"/>
      <c r="Z1491" s="19" t="s">
        <v>2894</v>
      </c>
      <c r="AA1491" s="19"/>
      <c r="AB1491" s="19"/>
      <c r="AC1491" s="19"/>
      <c r="AD1491" s="19" t="s">
        <v>2898</v>
      </c>
      <c r="AE1491" s="19"/>
      <c r="AF1491" s="19"/>
      <c r="AG1491" s="19"/>
      <c r="AH1491" s="19" t="s">
        <v>2898</v>
      </c>
      <c r="AI1491" s="19"/>
      <c r="AJ1491" s="21"/>
      <c r="AK1491" s="293"/>
      <c r="AL1491" s="257" t="s">
        <v>2908</v>
      </c>
      <c r="AM1491" s="16"/>
    </row>
    <row r="1492" spans="1:39" ht="14.4" thickBot="1" x14ac:dyDescent="0.35">
      <c r="A1492" s="15">
        <v>1491</v>
      </c>
      <c r="B1492" s="19" t="s">
        <v>516</v>
      </c>
      <c r="C1492" s="19">
        <v>1872</v>
      </c>
      <c r="D1492" s="17" t="s">
        <v>515</v>
      </c>
      <c r="E1492" s="19" t="s">
        <v>2915</v>
      </c>
      <c r="F1492" s="19" t="s">
        <v>4638</v>
      </c>
      <c r="G1492" s="21" t="s">
        <v>5604</v>
      </c>
      <c r="H1492" s="434" t="s">
        <v>5608</v>
      </c>
      <c r="I1492" s="21" t="s">
        <v>5609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708</v>
      </c>
      <c r="U1492" s="20" t="s">
        <v>56</v>
      </c>
      <c r="V1492" s="222" t="s">
        <v>3086</v>
      </c>
      <c r="W1492" s="21">
        <v>109</v>
      </c>
      <c r="X1492" s="19"/>
      <c r="Y1492" s="130"/>
      <c r="Z1492" s="19"/>
      <c r="AA1492" s="19" t="s">
        <v>2894</v>
      </c>
      <c r="AB1492" s="19"/>
      <c r="AC1492" s="19"/>
      <c r="AD1492" s="19"/>
      <c r="AE1492" s="19"/>
      <c r="AF1492" s="19" t="s">
        <v>2905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528</v>
      </c>
      <c r="C1493" s="29">
        <v>1823</v>
      </c>
      <c r="D1493" s="27" t="s">
        <v>526</v>
      </c>
      <c r="E1493" s="29" t="s">
        <v>2915</v>
      </c>
      <c r="F1493" s="29" t="s">
        <v>4639</v>
      </c>
      <c r="G1493" s="31" t="s">
        <v>5604</v>
      </c>
      <c r="H1493" s="145" t="s">
        <v>5608</v>
      </c>
      <c r="I1493" s="31" t="s">
        <v>5609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708</v>
      </c>
      <c r="U1493" s="30" t="s">
        <v>56</v>
      </c>
      <c r="V1493" s="28" t="s">
        <v>3086</v>
      </c>
      <c r="W1493" s="31">
        <v>109</v>
      </c>
      <c r="X1493" s="29"/>
      <c r="Y1493" s="102"/>
      <c r="Z1493" s="29"/>
      <c r="AA1493" s="29"/>
      <c r="AB1493" s="29" t="s">
        <v>2894</v>
      </c>
      <c r="AC1493" s="29"/>
      <c r="AD1493" s="29"/>
      <c r="AE1493" s="29"/>
      <c r="AF1493" s="29" t="s">
        <v>2905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530</v>
      </c>
      <c r="C1494" s="83">
        <v>2510</v>
      </c>
      <c r="D1494" s="113" t="s">
        <v>526</v>
      </c>
      <c r="E1494" s="83" t="s">
        <v>2915</v>
      </c>
      <c r="F1494" s="83" t="s">
        <v>4640</v>
      </c>
      <c r="G1494" s="47" t="s">
        <v>5604</v>
      </c>
      <c r="H1494" s="340" t="s">
        <v>5608</v>
      </c>
      <c r="I1494" s="47" t="s">
        <v>5609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306</v>
      </c>
      <c r="U1494" s="85" t="s">
        <v>3</v>
      </c>
      <c r="V1494" s="86" t="s">
        <v>3086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2898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532</v>
      </c>
      <c r="C1495" s="29">
        <v>969</v>
      </c>
      <c r="D1495" s="27" t="s">
        <v>531</v>
      </c>
      <c r="E1495" s="29" t="s">
        <v>2915</v>
      </c>
      <c r="F1495" s="29" t="s">
        <v>4641</v>
      </c>
      <c r="G1495" s="31" t="s">
        <v>5604</v>
      </c>
      <c r="H1495" s="145" t="s">
        <v>5608</v>
      </c>
      <c r="I1495" s="31" t="s">
        <v>5609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331</v>
      </c>
      <c r="Q1495" s="33">
        <v>57.8</v>
      </c>
      <c r="R1495" s="33">
        <v>282</v>
      </c>
      <c r="S1495" s="33">
        <v>115</v>
      </c>
      <c r="T1495" s="141" t="s">
        <v>708</v>
      </c>
      <c r="U1495" s="30" t="s">
        <v>56</v>
      </c>
      <c r="V1495" s="28" t="s">
        <v>3086</v>
      </c>
      <c r="W1495" s="31">
        <v>110</v>
      </c>
      <c r="X1495" s="29"/>
      <c r="Y1495" s="102"/>
      <c r="Z1495" s="29"/>
      <c r="AA1495" s="29"/>
      <c r="AB1495" s="29" t="s">
        <v>2894</v>
      </c>
      <c r="AC1495" s="29"/>
      <c r="AD1495" s="29"/>
      <c r="AE1495" s="29"/>
      <c r="AF1495" s="29"/>
      <c r="AG1495" s="29" t="s">
        <v>2905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533</v>
      </c>
      <c r="C1496" s="40">
        <v>97</v>
      </c>
      <c r="D1496" s="38" t="s">
        <v>531</v>
      </c>
      <c r="E1496" s="40" t="s">
        <v>2915</v>
      </c>
      <c r="F1496" s="40" t="s">
        <v>4642</v>
      </c>
      <c r="G1496" s="50"/>
      <c r="H1496" s="150" t="s">
        <v>5608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2916</v>
      </c>
      <c r="U1496" s="2" t="s">
        <v>2916</v>
      </c>
      <c r="V1496" s="39" t="s">
        <v>3086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534</v>
      </c>
      <c r="C1497" s="40">
        <v>2440</v>
      </c>
      <c r="D1497" s="38" t="s">
        <v>531</v>
      </c>
      <c r="E1497" s="40" t="s">
        <v>2915</v>
      </c>
      <c r="F1497" s="40" t="s">
        <v>4643</v>
      </c>
      <c r="G1497" s="41" t="s">
        <v>5604</v>
      </c>
      <c r="H1497" s="150" t="s">
        <v>5608</v>
      </c>
      <c r="I1497" s="41" t="s">
        <v>5609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41</v>
      </c>
      <c r="Q1497" s="43">
        <v>54</v>
      </c>
      <c r="R1497" s="43">
        <v>284</v>
      </c>
      <c r="S1497" s="43">
        <v>84</v>
      </c>
      <c r="T1497" s="79" t="s">
        <v>708</v>
      </c>
      <c r="U1497" s="2" t="s">
        <v>56</v>
      </c>
      <c r="V1497" s="39" t="s">
        <v>3086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2894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535</v>
      </c>
      <c r="C1498" s="38">
        <v>2441</v>
      </c>
      <c r="D1498" s="38" t="s">
        <v>531</v>
      </c>
      <c r="E1498" s="40" t="s">
        <v>2915</v>
      </c>
      <c r="F1498" s="40" t="s">
        <v>4644</v>
      </c>
      <c r="G1498" s="41" t="s">
        <v>5604</v>
      </c>
      <c r="H1498" s="150" t="s">
        <v>5608</v>
      </c>
      <c r="I1498" s="41" t="s">
        <v>5609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41</v>
      </c>
      <c r="Q1498" s="43">
        <v>54</v>
      </c>
      <c r="R1498" s="43">
        <v>284</v>
      </c>
      <c r="S1498" s="43">
        <v>84</v>
      </c>
      <c r="T1498" s="79" t="s">
        <v>708</v>
      </c>
      <c r="U1498" s="2" t="s">
        <v>56</v>
      </c>
      <c r="V1498" s="39" t="s">
        <v>3086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2894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536</v>
      </c>
      <c r="C1499" s="58">
        <v>2442</v>
      </c>
      <c r="D1499" s="56" t="s">
        <v>531</v>
      </c>
      <c r="E1499" s="58" t="s">
        <v>2915</v>
      </c>
      <c r="F1499" s="58" t="s">
        <v>4645</v>
      </c>
      <c r="G1499" s="60" t="s">
        <v>5604</v>
      </c>
      <c r="H1499" s="226" t="s">
        <v>5608</v>
      </c>
      <c r="I1499" s="60" t="s">
        <v>5609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708</v>
      </c>
      <c r="U1499" s="59" t="s">
        <v>56</v>
      </c>
      <c r="V1499" s="57" t="s">
        <v>3086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2894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556</v>
      </c>
      <c r="C1500" s="75">
        <v>1416</v>
      </c>
      <c r="D1500" s="67" t="s">
        <v>555</v>
      </c>
      <c r="E1500" s="75" t="s">
        <v>2929</v>
      </c>
      <c r="F1500" s="75" t="s">
        <v>4646</v>
      </c>
      <c r="G1500" s="76" t="s">
        <v>5604</v>
      </c>
      <c r="H1500" s="414" t="s">
        <v>5608</v>
      </c>
      <c r="I1500" s="76" t="s">
        <v>5609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306</v>
      </c>
      <c r="U1500" s="69" t="s">
        <v>3</v>
      </c>
      <c r="V1500" s="70" t="s">
        <v>3086</v>
      </c>
      <c r="W1500" s="76">
        <v>109</v>
      </c>
      <c r="X1500" s="75"/>
      <c r="Y1500" s="75"/>
      <c r="Z1500" s="75"/>
      <c r="AA1500" s="75"/>
      <c r="AB1500" s="75"/>
      <c r="AC1500" s="75" t="s">
        <v>2894</v>
      </c>
      <c r="AD1500" s="75"/>
      <c r="AE1500" s="75"/>
      <c r="AF1500" s="75" t="s">
        <v>2898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555</v>
      </c>
      <c r="E1501" s="58" t="s">
        <v>2929</v>
      </c>
      <c r="F1501" s="58" t="s">
        <v>4647</v>
      </c>
      <c r="G1501" s="60" t="s">
        <v>5604</v>
      </c>
      <c r="H1501" s="150" t="s">
        <v>5608</v>
      </c>
      <c r="I1501" s="60" t="s">
        <v>5609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306</v>
      </c>
      <c r="U1501" s="59" t="str">
        <f>U1500</f>
        <v>正常</v>
      </c>
      <c r="V1501" s="57" t="s">
        <v>3086</v>
      </c>
      <c r="W1501" s="60">
        <v>109</v>
      </c>
      <c r="X1501" s="58"/>
      <c r="Y1501" s="58"/>
      <c r="Z1501" s="58"/>
      <c r="AA1501" s="58"/>
      <c r="AB1501" s="58"/>
      <c r="AC1501" s="58" t="s">
        <v>2894</v>
      </c>
      <c r="AD1501" s="58"/>
      <c r="AE1501" s="58"/>
      <c r="AF1501" s="58" t="s">
        <v>2898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654</v>
      </c>
      <c r="C1502" s="135">
        <v>1412</v>
      </c>
      <c r="D1502" s="27" t="s">
        <v>653</v>
      </c>
      <c r="E1502" s="29" t="s">
        <v>2929</v>
      </c>
      <c r="F1502" s="29" t="s">
        <v>4648</v>
      </c>
      <c r="G1502" s="31" t="s">
        <v>5604</v>
      </c>
      <c r="H1502" s="145" t="s">
        <v>5608</v>
      </c>
      <c r="I1502" s="31" t="s">
        <v>5609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306</v>
      </c>
      <c r="U1502" s="30" t="s">
        <v>3</v>
      </c>
      <c r="V1502" s="28" t="s">
        <v>3086</v>
      </c>
      <c r="W1502" s="31">
        <v>109</v>
      </c>
      <c r="X1502" s="29"/>
      <c r="Y1502" s="29"/>
      <c r="Z1502" s="29"/>
      <c r="AA1502" s="29"/>
      <c r="AB1502" s="29"/>
      <c r="AC1502" s="29" t="s">
        <v>2894</v>
      </c>
      <c r="AD1502" s="29"/>
      <c r="AE1502" s="29"/>
      <c r="AF1502" s="29" t="s">
        <v>2898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653</v>
      </c>
      <c r="E1503" s="40" t="s">
        <v>2929</v>
      </c>
      <c r="F1503" s="40" t="s">
        <v>4649</v>
      </c>
      <c r="G1503" s="41" t="s">
        <v>5604</v>
      </c>
      <c r="H1503" s="150" t="s">
        <v>5608</v>
      </c>
      <c r="I1503" s="41" t="s">
        <v>5609</v>
      </c>
      <c r="J1503" s="42">
        <v>195913</v>
      </c>
      <c r="K1503" s="42">
        <v>2662940</v>
      </c>
      <c r="L1503" s="43" t="s">
        <v>655</v>
      </c>
      <c r="M1503" s="44">
        <v>41.1</v>
      </c>
      <c r="N1503" s="43">
        <v>97.1</v>
      </c>
      <c r="O1503" s="43">
        <v>24.2</v>
      </c>
      <c r="P1503" s="43" t="s">
        <v>33</v>
      </c>
      <c r="Q1503" s="43">
        <v>29.1</v>
      </c>
      <c r="R1503" s="43">
        <v>214</v>
      </c>
      <c r="S1503" s="43">
        <v>24.6</v>
      </c>
      <c r="T1503" s="2" t="s">
        <v>306</v>
      </c>
      <c r="U1503" s="2" t="s">
        <v>3</v>
      </c>
      <c r="V1503" s="39" t="s">
        <v>3086</v>
      </c>
      <c r="W1503" s="41">
        <v>109</v>
      </c>
      <c r="X1503" s="40"/>
      <c r="Y1503" s="40"/>
      <c r="Z1503" s="40"/>
      <c r="AA1503" s="40"/>
      <c r="AB1503" s="40"/>
      <c r="AC1503" s="40" t="s">
        <v>2894</v>
      </c>
      <c r="AD1503" s="40"/>
      <c r="AE1503" s="40"/>
      <c r="AF1503" s="40" t="s">
        <v>2898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653</v>
      </c>
      <c r="E1504" s="40" t="s">
        <v>2929</v>
      </c>
      <c r="F1504" s="40" t="s">
        <v>4650</v>
      </c>
      <c r="G1504" s="41" t="s">
        <v>5604</v>
      </c>
      <c r="H1504" s="150" t="s">
        <v>5608</v>
      </c>
      <c r="I1504" s="41" t="s">
        <v>5609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306</v>
      </c>
      <c r="U1504" s="2" t="str">
        <f>U1502</f>
        <v>正常</v>
      </c>
      <c r="V1504" s="39" t="s">
        <v>3086</v>
      </c>
      <c r="W1504" s="41">
        <v>109</v>
      </c>
      <c r="X1504" s="40"/>
      <c r="Y1504" s="40"/>
      <c r="Z1504" s="40"/>
      <c r="AA1504" s="40"/>
      <c r="AB1504" s="40"/>
      <c r="AC1504" s="40" t="s">
        <v>2894</v>
      </c>
      <c r="AD1504" s="40"/>
      <c r="AE1504" s="40"/>
      <c r="AF1504" s="40" t="s">
        <v>2898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653</v>
      </c>
      <c r="E1505" s="83" t="s">
        <v>2929</v>
      </c>
      <c r="F1505" s="83" t="s">
        <v>4651</v>
      </c>
      <c r="G1505" s="47" t="s">
        <v>5604</v>
      </c>
      <c r="H1505" s="340" t="s">
        <v>5608</v>
      </c>
      <c r="I1505" s="47" t="s">
        <v>5609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306</v>
      </c>
      <c r="U1505" s="85" t="str">
        <f>U1502</f>
        <v>正常</v>
      </c>
      <c r="V1505" s="86" t="s">
        <v>3086</v>
      </c>
      <c r="W1505" s="47">
        <v>109</v>
      </c>
      <c r="X1505" s="83"/>
      <c r="Y1505" s="83"/>
      <c r="Z1505" s="83"/>
      <c r="AA1505" s="83"/>
      <c r="AB1505" s="83"/>
      <c r="AC1505" s="83" t="s">
        <v>2894</v>
      </c>
      <c r="AD1505" s="83"/>
      <c r="AE1505" s="83"/>
      <c r="AF1505" s="83" t="s">
        <v>2898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657</v>
      </c>
      <c r="C1506" s="135">
        <v>1249</v>
      </c>
      <c r="D1506" s="27" t="s">
        <v>656</v>
      </c>
      <c r="E1506" s="29" t="s">
        <v>2929</v>
      </c>
      <c r="F1506" s="29" t="s">
        <v>4652</v>
      </c>
      <c r="G1506" s="31" t="s">
        <v>5604</v>
      </c>
      <c r="H1506" s="145" t="s">
        <v>5608</v>
      </c>
      <c r="I1506" s="31" t="s">
        <v>5609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306</v>
      </c>
      <c r="U1506" s="30" t="s">
        <v>3</v>
      </c>
      <c r="V1506" s="28" t="s">
        <v>3086</v>
      </c>
      <c r="W1506" s="31">
        <v>111</v>
      </c>
      <c r="X1506" s="29"/>
      <c r="Y1506" s="102"/>
      <c r="Z1506" s="29"/>
      <c r="AA1506" s="29"/>
      <c r="AB1506" s="29"/>
      <c r="AC1506" s="29" t="s">
        <v>2898</v>
      </c>
      <c r="AD1506" s="29"/>
      <c r="AE1506" s="29"/>
      <c r="AF1506" s="29"/>
      <c r="AG1506" s="29"/>
      <c r="AH1506" s="29" t="s">
        <v>2898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658</v>
      </c>
      <c r="C1507" s="133">
        <v>2470</v>
      </c>
      <c r="D1507" s="38" t="s">
        <v>656</v>
      </c>
      <c r="E1507" s="40" t="s">
        <v>2929</v>
      </c>
      <c r="F1507" s="40" t="s">
        <v>4653</v>
      </c>
      <c r="G1507" s="50"/>
      <c r="H1507" s="150" t="s">
        <v>5608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306</v>
      </c>
      <c r="U1507" s="2" t="s">
        <v>3</v>
      </c>
      <c r="V1507" s="39" t="s">
        <v>3086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2898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659</v>
      </c>
      <c r="C1508" s="134">
        <v>2471</v>
      </c>
      <c r="D1508" s="113" t="s">
        <v>656</v>
      </c>
      <c r="E1508" s="83" t="s">
        <v>2929</v>
      </c>
      <c r="F1508" s="83" t="s">
        <v>4654</v>
      </c>
      <c r="G1508" s="138"/>
      <c r="H1508" s="340" t="s">
        <v>5608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306</v>
      </c>
      <c r="U1508" s="85" t="s">
        <v>3</v>
      </c>
      <c r="V1508" s="86" t="s">
        <v>3086</v>
      </c>
      <c r="W1508" s="47">
        <v>111</v>
      </c>
      <c r="X1508" s="83"/>
      <c r="Y1508" s="137"/>
      <c r="Z1508" s="83"/>
      <c r="AA1508" s="83" t="s">
        <v>2898</v>
      </c>
      <c r="AB1508" s="83"/>
      <c r="AC1508" s="83" t="s">
        <v>2898</v>
      </c>
      <c r="AD1508" s="83"/>
      <c r="AE1508" s="83"/>
      <c r="AF1508" s="83"/>
      <c r="AG1508" s="83"/>
      <c r="AH1508" s="83" t="s">
        <v>2898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670</v>
      </c>
      <c r="C1509" s="135">
        <v>2380</v>
      </c>
      <c r="D1509" s="27" t="s">
        <v>669</v>
      </c>
      <c r="E1509" s="29" t="s">
        <v>2915</v>
      </c>
      <c r="F1509" s="29" t="s">
        <v>4655</v>
      </c>
      <c r="G1509" s="27"/>
      <c r="H1509" s="145" t="s">
        <v>5608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2916</v>
      </c>
      <c r="U1509" s="30" t="s">
        <v>2916</v>
      </c>
      <c r="V1509" s="28" t="s">
        <v>3086</v>
      </c>
      <c r="W1509" s="31">
        <v>103</v>
      </c>
      <c r="X1509" s="27"/>
      <c r="Y1509" s="27"/>
      <c r="Z1509" s="29" t="s">
        <v>2894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670</v>
      </c>
      <c r="C1510" s="133">
        <v>709</v>
      </c>
      <c r="D1510" s="38" t="s">
        <v>669</v>
      </c>
      <c r="E1510" s="40" t="s">
        <v>2915</v>
      </c>
      <c r="F1510" s="40" t="s">
        <v>4656</v>
      </c>
      <c r="G1510" s="50"/>
      <c r="H1510" s="150" t="s">
        <v>5608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2916</v>
      </c>
      <c r="U1510" s="2" t="s">
        <v>2916</v>
      </c>
      <c r="V1510" s="39" t="s">
        <v>3086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671</v>
      </c>
      <c r="C1511" s="133">
        <v>1860</v>
      </c>
      <c r="D1511" s="38" t="s">
        <v>669</v>
      </c>
      <c r="E1511" s="40" t="s">
        <v>2915</v>
      </c>
      <c r="F1511" s="40" t="s">
        <v>4657</v>
      </c>
      <c r="G1511" s="41" t="s">
        <v>5604</v>
      </c>
      <c r="H1511" s="150" t="s">
        <v>5608</v>
      </c>
      <c r="I1511" s="41" t="s">
        <v>5609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306</v>
      </c>
      <c r="U1511" s="2" t="s">
        <v>3</v>
      </c>
      <c r="V1511" s="39" t="s">
        <v>3086</v>
      </c>
      <c r="W1511" s="41">
        <v>111</v>
      </c>
      <c r="X1511" s="40"/>
      <c r="Y1511" s="106"/>
      <c r="Z1511" s="40"/>
      <c r="AA1511" s="40"/>
      <c r="AB1511" s="40"/>
      <c r="AC1511" s="40" t="s">
        <v>2898</v>
      </c>
      <c r="AD1511" s="40"/>
      <c r="AE1511" s="40"/>
      <c r="AF1511" s="40"/>
      <c r="AG1511" s="40"/>
      <c r="AH1511" s="40" t="s">
        <v>2898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672</v>
      </c>
      <c r="C1512" s="133">
        <v>1861</v>
      </c>
      <c r="D1512" s="38" t="s">
        <v>669</v>
      </c>
      <c r="E1512" s="40" t="s">
        <v>2915</v>
      </c>
      <c r="F1512" s="40" t="s">
        <v>4658</v>
      </c>
      <c r="G1512" s="41" t="s">
        <v>5604</v>
      </c>
      <c r="H1512" s="150" t="s">
        <v>5608</v>
      </c>
      <c r="I1512" s="41" t="s">
        <v>5609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306</v>
      </c>
      <c r="U1512" s="2" t="str">
        <f>U1511</f>
        <v>正常</v>
      </c>
      <c r="V1512" s="39" t="s">
        <v>3086</v>
      </c>
      <c r="W1512" s="41">
        <v>111</v>
      </c>
      <c r="X1512" s="40"/>
      <c r="Y1512" s="106"/>
      <c r="Z1512" s="40"/>
      <c r="AA1512" s="40"/>
      <c r="AB1512" s="40"/>
      <c r="AC1512" s="40" t="s">
        <v>2898</v>
      </c>
      <c r="AD1512" s="40"/>
      <c r="AE1512" s="40"/>
      <c r="AF1512" s="40"/>
      <c r="AG1512" s="40"/>
      <c r="AH1512" s="40" t="s">
        <v>2898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673</v>
      </c>
      <c r="C1513" s="134">
        <v>2478</v>
      </c>
      <c r="D1513" s="113" t="s">
        <v>669</v>
      </c>
      <c r="E1513" s="83" t="s">
        <v>2915</v>
      </c>
      <c r="F1513" s="83" t="s">
        <v>4659</v>
      </c>
      <c r="G1513" s="138"/>
      <c r="H1513" s="340" t="s">
        <v>5608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306</v>
      </c>
      <c r="U1513" s="85" t="str">
        <f>U1511</f>
        <v>正常</v>
      </c>
      <c r="V1513" s="86" t="s">
        <v>3086</v>
      </c>
      <c r="W1513" s="47">
        <v>111</v>
      </c>
      <c r="X1513" s="83"/>
      <c r="Y1513" s="137"/>
      <c r="Z1513" s="83"/>
      <c r="AA1513" s="83" t="s">
        <v>2898</v>
      </c>
      <c r="AB1513" s="83"/>
      <c r="AC1513" s="83"/>
      <c r="AD1513" s="83"/>
      <c r="AE1513" s="83"/>
      <c r="AF1513" s="83"/>
      <c r="AG1513" s="83"/>
      <c r="AH1513" s="83" t="s">
        <v>2898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678</v>
      </c>
      <c r="C1514" s="29">
        <v>733</v>
      </c>
      <c r="D1514" s="27" t="s">
        <v>676</v>
      </c>
      <c r="E1514" s="29" t="s">
        <v>2915</v>
      </c>
      <c r="F1514" s="29" t="s">
        <v>4660</v>
      </c>
      <c r="G1514" s="31" t="s">
        <v>5604</v>
      </c>
      <c r="H1514" s="145" t="s">
        <v>5608</v>
      </c>
      <c r="I1514" s="31" t="s">
        <v>5609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306</v>
      </c>
      <c r="U1514" s="30" t="s">
        <v>3</v>
      </c>
      <c r="V1514" s="28" t="s">
        <v>3086</v>
      </c>
      <c r="W1514" s="28">
        <v>111</v>
      </c>
      <c r="X1514" s="29"/>
      <c r="Y1514" s="29"/>
      <c r="Z1514" s="29" t="s">
        <v>2894</v>
      </c>
      <c r="AA1514" s="29"/>
      <c r="AB1514" s="29"/>
      <c r="AC1514" s="29"/>
      <c r="AD1514" s="29" t="s">
        <v>2898</v>
      </c>
      <c r="AE1514" s="29"/>
      <c r="AF1514" s="29"/>
      <c r="AG1514" s="29"/>
      <c r="AH1514" s="29" t="s">
        <v>2898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679</v>
      </c>
      <c r="C1515" s="83">
        <v>2477</v>
      </c>
      <c r="D1515" s="113" t="s">
        <v>676</v>
      </c>
      <c r="E1515" s="83" t="s">
        <v>2915</v>
      </c>
      <c r="F1515" s="83" t="s">
        <v>4661</v>
      </c>
      <c r="G1515" s="138"/>
      <c r="H1515" s="340" t="s">
        <v>5608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306</v>
      </c>
      <c r="U1515" s="85" t="str">
        <f>U1514</f>
        <v>正常</v>
      </c>
      <c r="V1515" s="39" t="s">
        <v>3086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2898</v>
      </c>
      <c r="AE1515" s="83"/>
      <c r="AF1515" s="83"/>
      <c r="AG1515" s="83"/>
      <c r="AH1515" s="83" t="s">
        <v>2898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698</v>
      </c>
      <c r="C1516" s="29">
        <v>1337</v>
      </c>
      <c r="D1516" s="27" t="s">
        <v>697</v>
      </c>
      <c r="E1516" s="29" t="s">
        <v>2929</v>
      </c>
      <c r="F1516" s="29" t="s">
        <v>4662</v>
      </c>
      <c r="G1516" s="31" t="s">
        <v>5604</v>
      </c>
      <c r="H1516" s="145" t="s">
        <v>5608</v>
      </c>
      <c r="I1516" s="31" t="s">
        <v>5609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306</v>
      </c>
      <c r="U1516" s="30" t="s">
        <v>3</v>
      </c>
      <c r="V1516" s="28" t="s">
        <v>3086</v>
      </c>
      <c r="W1516" s="28">
        <v>109</v>
      </c>
      <c r="X1516" s="29"/>
      <c r="Y1516" s="29"/>
      <c r="Z1516" s="29"/>
      <c r="AA1516" s="29"/>
      <c r="AB1516" s="29"/>
      <c r="AC1516" s="29" t="s">
        <v>2939</v>
      </c>
      <c r="AD1516" s="29"/>
      <c r="AE1516" s="29" t="s">
        <v>2898</v>
      </c>
      <c r="AF1516" s="29" t="s">
        <v>2898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699</v>
      </c>
      <c r="C1517" s="40">
        <v>1421</v>
      </c>
      <c r="D1517" s="38" t="s">
        <v>697</v>
      </c>
      <c r="E1517" s="40" t="s">
        <v>2929</v>
      </c>
      <c r="F1517" s="40" t="s">
        <v>4663</v>
      </c>
      <c r="G1517" s="41" t="s">
        <v>5604</v>
      </c>
      <c r="H1517" s="150" t="s">
        <v>5608</v>
      </c>
      <c r="I1517" s="41" t="s">
        <v>5609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306</v>
      </c>
      <c r="U1517" s="2" t="s">
        <v>3</v>
      </c>
      <c r="V1517" s="39" t="s">
        <v>3086</v>
      </c>
      <c r="W1517" s="39">
        <v>109</v>
      </c>
      <c r="X1517" s="40"/>
      <c r="Y1517" s="40"/>
      <c r="Z1517" s="40"/>
      <c r="AA1517" s="40"/>
      <c r="AB1517" s="40"/>
      <c r="AC1517" s="40" t="s">
        <v>2939</v>
      </c>
      <c r="AD1517" s="40"/>
      <c r="AE1517" s="40"/>
      <c r="AF1517" s="40" t="s">
        <v>2898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697</v>
      </c>
      <c r="E1518" s="83" t="s">
        <v>2929</v>
      </c>
      <c r="F1518" s="83" t="s">
        <v>4664</v>
      </c>
      <c r="G1518" s="47" t="s">
        <v>5604</v>
      </c>
      <c r="H1518" s="340" t="s">
        <v>5608</v>
      </c>
      <c r="I1518" s="47" t="s">
        <v>5609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102</v>
      </c>
      <c r="Q1518" s="88">
        <v>17.5</v>
      </c>
      <c r="R1518" s="88">
        <v>195</v>
      </c>
      <c r="S1518" s="88">
        <v>44</v>
      </c>
      <c r="T1518" s="85" t="s">
        <v>306</v>
      </c>
      <c r="U1518" s="85" t="str">
        <f>U1516</f>
        <v>正常</v>
      </c>
      <c r="V1518" s="86" t="s">
        <v>3086</v>
      </c>
      <c r="W1518" s="86">
        <v>109</v>
      </c>
      <c r="X1518" s="83"/>
      <c r="Y1518" s="83"/>
      <c r="Z1518" s="83"/>
      <c r="AA1518" s="83"/>
      <c r="AB1518" s="83"/>
      <c r="AC1518" s="83" t="s">
        <v>2939</v>
      </c>
      <c r="AD1518" s="83"/>
      <c r="AE1518" s="83" t="s">
        <v>2898</v>
      </c>
      <c r="AF1518" s="83" t="s">
        <v>2898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722</v>
      </c>
      <c r="C1519" s="19">
        <v>1279</v>
      </c>
      <c r="D1519" s="17" t="s">
        <v>721</v>
      </c>
      <c r="E1519" s="19" t="s">
        <v>2929</v>
      </c>
      <c r="F1519" s="19" t="s">
        <v>4665</v>
      </c>
      <c r="G1519" s="21" t="s">
        <v>5604</v>
      </c>
      <c r="H1519" s="434" t="s">
        <v>5608</v>
      </c>
      <c r="I1519" s="21" t="s">
        <v>5609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306</v>
      </c>
      <c r="U1519" s="20" t="s">
        <v>3</v>
      </c>
      <c r="V1519" s="28" t="s">
        <v>3086</v>
      </c>
      <c r="W1519" s="222">
        <v>111</v>
      </c>
      <c r="X1519" s="19"/>
      <c r="Y1519" s="19"/>
      <c r="Z1519" s="19"/>
      <c r="AA1519" s="19"/>
      <c r="AB1519" s="19" t="s">
        <v>2939</v>
      </c>
      <c r="AC1519" s="19"/>
      <c r="AD1519" s="19" t="s">
        <v>2898</v>
      </c>
      <c r="AE1519" s="19"/>
      <c r="AF1519" s="19"/>
      <c r="AG1519" s="19"/>
      <c r="AH1519" s="19" t="s">
        <v>2898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723</v>
      </c>
      <c r="E1520" s="29" t="s">
        <v>2929</v>
      </c>
      <c r="F1520" s="29" t="s">
        <v>4666</v>
      </c>
      <c r="G1520" s="192"/>
      <c r="H1520" s="145" t="s">
        <v>5608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306</v>
      </c>
      <c r="U1520" s="30" t="s">
        <v>3</v>
      </c>
      <c r="V1520" s="28" t="s">
        <v>3086</v>
      </c>
      <c r="W1520" s="28">
        <v>112</v>
      </c>
      <c r="X1520" s="29"/>
      <c r="Y1520" s="29"/>
      <c r="Z1520" s="29"/>
      <c r="AA1520" s="29"/>
      <c r="AB1520" s="29" t="s">
        <v>2939</v>
      </c>
      <c r="AC1520" s="29"/>
      <c r="AD1520" s="29" t="s">
        <v>2898</v>
      </c>
      <c r="AE1520" s="29"/>
      <c r="AF1520" s="29"/>
      <c r="AG1520" s="29"/>
      <c r="AH1520" s="29"/>
      <c r="AI1520" s="29" t="s">
        <v>2959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723</v>
      </c>
      <c r="E1521" s="83" t="s">
        <v>2929</v>
      </c>
      <c r="F1521" s="83" t="s">
        <v>4667</v>
      </c>
      <c r="G1521" s="138"/>
      <c r="H1521" s="340" t="s">
        <v>5608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306</v>
      </c>
      <c r="U1521" s="85" t="s">
        <v>3</v>
      </c>
      <c r="V1521" s="39" t="s">
        <v>3086</v>
      </c>
      <c r="W1521" s="86">
        <v>112</v>
      </c>
      <c r="X1521" s="83"/>
      <c r="Y1521" s="83"/>
      <c r="Z1521" s="83"/>
      <c r="AA1521" s="83"/>
      <c r="AB1521" s="83" t="s">
        <v>2939</v>
      </c>
      <c r="AC1521" s="83"/>
      <c r="AD1521" s="83" t="s">
        <v>2898</v>
      </c>
      <c r="AE1521" s="83"/>
      <c r="AF1521" s="83"/>
      <c r="AG1521" s="83"/>
      <c r="AH1521" s="83"/>
      <c r="AI1521" s="83" t="s">
        <v>2959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949</v>
      </c>
      <c r="C1522" s="29">
        <v>1318</v>
      </c>
      <c r="D1522" s="27" t="s">
        <v>948</v>
      </c>
      <c r="E1522" s="29" t="s">
        <v>2929</v>
      </c>
      <c r="F1522" s="29" t="s">
        <v>4668</v>
      </c>
      <c r="G1522" s="31" t="s">
        <v>5604</v>
      </c>
      <c r="H1522" s="145" t="s">
        <v>5608</v>
      </c>
      <c r="I1522" s="31" t="s">
        <v>5609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306</v>
      </c>
      <c r="U1522" s="30" t="s">
        <v>3</v>
      </c>
      <c r="V1522" s="28" t="s">
        <v>3086</v>
      </c>
      <c r="W1522" s="28">
        <v>110</v>
      </c>
      <c r="X1522" s="29"/>
      <c r="Y1522" s="29"/>
      <c r="Z1522" s="29"/>
      <c r="AA1522" s="29"/>
      <c r="AB1522" s="29"/>
      <c r="AC1522" s="29" t="s">
        <v>2939</v>
      </c>
      <c r="AD1522" s="29"/>
      <c r="AE1522" s="29" t="s">
        <v>2898</v>
      </c>
      <c r="AF1522" s="29"/>
      <c r="AG1522" s="29" t="s">
        <v>2898</v>
      </c>
      <c r="AH1522" s="192" t="s">
        <v>3090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950</v>
      </c>
      <c r="C1523" s="40">
        <v>1319</v>
      </c>
      <c r="D1523" s="38" t="s">
        <v>948</v>
      </c>
      <c r="E1523" s="40" t="s">
        <v>2929</v>
      </c>
      <c r="F1523" s="40" t="s">
        <v>4669</v>
      </c>
      <c r="G1523" s="50"/>
      <c r="H1523" s="150" t="s">
        <v>5608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306</v>
      </c>
      <c r="U1523" s="2" t="s">
        <v>3</v>
      </c>
      <c r="V1523" s="39" t="s">
        <v>3086</v>
      </c>
      <c r="W1523" s="39">
        <v>112</v>
      </c>
      <c r="X1523" s="40"/>
      <c r="Y1523" s="40"/>
      <c r="Z1523" s="40"/>
      <c r="AA1523" s="40"/>
      <c r="AB1523" s="40"/>
      <c r="AC1523" s="40" t="s">
        <v>2939</v>
      </c>
      <c r="AD1523" s="40"/>
      <c r="AE1523" s="40" t="s">
        <v>2898</v>
      </c>
      <c r="AF1523" s="40"/>
      <c r="AG1523" s="40"/>
      <c r="AH1523" s="40"/>
      <c r="AI1523" s="40" t="s">
        <v>2959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951</v>
      </c>
      <c r="C1524" s="40">
        <v>1321</v>
      </c>
      <c r="D1524" s="38" t="s">
        <v>948</v>
      </c>
      <c r="E1524" s="40" t="s">
        <v>2929</v>
      </c>
      <c r="F1524" s="40" t="s">
        <v>4670</v>
      </c>
      <c r="G1524" s="50"/>
      <c r="H1524" s="150" t="s">
        <v>5608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3086</v>
      </c>
      <c r="W1524" s="39">
        <v>108</v>
      </c>
      <c r="X1524" s="40"/>
      <c r="Y1524" s="40"/>
      <c r="Z1524" s="40"/>
      <c r="AA1524" s="40"/>
      <c r="AB1524" s="40"/>
      <c r="AC1524" s="40" t="s">
        <v>2939</v>
      </c>
      <c r="AD1524" s="40"/>
      <c r="AE1524" s="40" t="s">
        <v>2898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952</v>
      </c>
      <c r="C1525" s="40">
        <v>1329</v>
      </c>
      <c r="D1525" s="38" t="s">
        <v>948</v>
      </c>
      <c r="E1525" s="40" t="s">
        <v>2929</v>
      </c>
      <c r="F1525" s="40" t="s">
        <v>4671</v>
      </c>
      <c r="G1525" s="50"/>
      <c r="H1525" s="150" t="s">
        <v>5608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306</v>
      </c>
      <c r="U1525" s="2" t="s">
        <v>3</v>
      </c>
      <c r="V1525" s="39" t="s">
        <v>3086</v>
      </c>
      <c r="W1525" s="39">
        <v>112</v>
      </c>
      <c r="X1525" s="40"/>
      <c r="Y1525" s="40"/>
      <c r="Z1525" s="40"/>
      <c r="AA1525" s="40"/>
      <c r="AB1525" s="40"/>
      <c r="AC1525" s="40" t="s">
        <v>2939</v>
      </c>
      <c r="AD1525" s="40"/>
      <c r="AE1525" s="40" t="s">
        <v>2898</v>
      </c>
      <c r="AF1525" s="40"/>
      <c r="AG1525" s="40"/>
      <c r="AH1525" s="40"/>
      <c r="AI1525" s="40" t="s">
        <v>2959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953</v>
      </c>
      <c r="C1526" s="40">
        <v>1330</v>
      </c>
      <c r="D1526" s="38" t="s">
        <v>948</v>
      </c>
      <c r="E1526" s="40" t="s">
        <v>2929</v>
      </c>
      <c r="F1526" s="40" t="s">
        <v>4672</v>
      </c>
      <c r="G1526" s="50"/>
      <c r="H1526" s="150" t="s">
        <v>5608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3086</v>
      </c>
      <c r="W1526" s="39">
        <v>108</v>
      </c>
      <c r="X1526" s="40"/>
      <c r="Y1526" s="40"/>
      <c r="Z1526" s="40"/>
      <c r="AA1526" s="40"/>
      <c r="AB1526" s="40"/>
      <c r="AC1526" s="40" t="s">
        <v>2939</v>
      </c>
      <c r="AD1526" s="40"/>
      <c r="AE1526" s="40" t="s">
        <v>2898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948</v>
      </c>
      <c r="E1527" s="40" t="s">
        <v>2929</v>
      </c>
      <c r="F1527" s="40" t="s">
        <v>4673</v>
      </c>
      <c r="G1527" s="50"/>
      <c r="H1527" s="150" t="s">
        <v>5608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306</v>
      </c>
      <c r="U1527" s="2" t="s">
        <v>3</v>
      </c>
      <c r="V1527" s="39" t="s">
        <v>3086</v>
      </c>
      <c r="W1527" s="39">
        <v>112</v>
      </c>
      <c r="X1527" s="40"/>
      <c r="Y1527" s="40"/>
      <c r="Z1527" s="40"/>
      <c r="AA1527" s="40"/>
      <c r="AB1527" s="40"/>
      <c r="AC1527" s="40" t="s">
        <v>2939</v>
      </c>
      <c r="AD1527" s="40"/>
      <c r="AE1527" s="40"/>
      <c r="AF1527" s="40"/>
      <c r="AG1527" s="40"/>
      <c r="AH1527" s="40"/>
      <c r="AI1527" s="40" t="s">
        <v>2959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948</v>
      </c>
      <c r="E1528" s="40" t="s">
        <v>2929</v>
      </c>
      <c r="F1528" s="40" t="s">
        <v>4674</v>
      </c>
      <c r="G1528" s="50"/>
      <c r="H1528" s="150" t="s">
        <v>5608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3086</v>
      </c>
      <c r="W1528" s="39">
        <v>108</v>
      </c>
      <c r="X1528" s="40"/>
      <c r="Y1528" s="40"/>
      <c r="Z1528" s="40"/>
      <c r="AA1528" s="40"/>
      <c r="AB1528" s="40"/>
      <c r="AC1528" s="40" t="s">
        <v>2939</v>
      </c>
      <c r="AD1528" s="40"/>
      <c r="AE1528" s="40" t="s">
        <v>2898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948</v>
      </c>
      <c r="E1529" s="83" t="s">
        <v>2929</v>
      </c>
      <c r="F1529" s="83" t="s">
        <v>4675</v>
      </c>
      <c r="G1529" s="138"/>
      <c r="H1529" s="340" t="s">
        <v>5608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102</v>
      </c>
      <c r="Q1529" s="88">
        <v>22.2</v>
      </c>
      <c r="R1529" s="88">
        <v>198</v>
      </c>
      <c r="S1529" s="88">
        <v>76.599999999999994</v>
      </c>
      <c r="T1529" s="85" t="s">
        <v>306</v>
      </c>
      <c r="U1529" s="85" t="str">
        <f>U1523</f>
        <v>正常</v>
      </c>
      <c r="V1529" s="86" t="s">
        <v>3086</v>
      </c>
      <c r="W1529" s="86">
        <v>112</v>
      </c>
      <c r="X1529" s="83"/>
      <c r="Y1529" s="83"/>
      <c r="Z1529" s="83"/>
      <c r="AA1529" s="83"/>
      <c r="AB1529" s="83"/>
      <c r="AC1529" s="83" t="s">
        <v>2939</v>
      </c>
      <c r="AD1529" s="83"/>
      <c r="AE1529" s="83" t="s">
        <v>2898</v>
      </c>
      <c r="AF1529" s="83"/>
      <c r="AG1529" s="83"/>
      <c r="AH1529" s="83"/>
      <c r="AI1529" s="83" t="s">
        <v>2959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997</v>
      </c>
      <c r="C1530" s="29">
        <v>2160</v>
      </c>
      <c r="D1530" s="27" t="s">
        <v>996</v>
      </c>
      <c r="E1530" s="29" t="s">
        <v>2915</v>
      </c>
      <c r="F1530" s="29" t="s">
        <v>4676</v>
      </c>
      <c r="G1530" s="192"/>
      <c r="H1530" s="145" t="s">
        <v>5608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3086</v>
      </c>
      <c r="W1530" s="28">
        <v>112</v>
      </c>
      <c r="X1530" s="29"/>
      <c r="Y1530" s="29"/>
      <c r="Z1530" s="29"/>
      <c r="AA1530" s="29" t="s">
        <v>2939</v>
      </c>
      <c r="AB1530" s="29"/>
      <c r="AC1530" s="29"/>
      <c r="AD1530" s="29" t="s">
        <v>2939</v>
      </c>
      <c r="AE1530" s="29"/>
      <c r="AF1530" s="29"/>
      <c r="AG1530" s="29"/>
      <c r="AH1530" s="29"/>
      <c r="AI1530" s="29" t="s">
        <v>2977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998</v>
      </c>
      <c r="C1531" s="40">
        <v>2161</v>
      </c>
      <c r="D1531" s="38" t="s">
        <v>996</v>
      </c>
      <c r="E1531" s="40" t="s">
        <v>2915</v>
      </c>
      <c r="F1531" s="40" t="s">
        <v>4677</v>
      </c>
      <c r="G1531" s="50"/>
      <c r="H1531" s="150" t="s">
        <v>5608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306</v>
      </c>
      <c r="U1531" s="2" t="s">
        <v>3</v>
      </c>
      <c r="V1531" s="39" t="s">
        <v>3086</v>
      </c>
      <c r="W1531" s="39">
        <v>112</v>
      </c>
      <c r="X1531" s="40"/>
      <c r="Y1531" s="40"/>
      <c r="Z1531" s="40"/>
      <c r="AA1531" s="40" t="s">
        <v>2939</v>
      </c>
      <c r="AB1531" s="40"/>
      <c r="AC1531" s="40"/>
      <c r="AD1531" s="40" t="s">
        <v>2898</v>
      </c>
      <c r="AE1531" s="40"/>
      <c r="AF1531" s="40"/>
      <c r="AG1531" s="40"/>
      <c r="AH1531" s="40"/>
      <c r="AI1531" s="40" t="s">
        <v>2959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999</v>
      </c>
      <c r="C1532" s="83">
        <v>2162</v>
      </c>
      <c r="D1532" s="113" t="s">
        <v>996</v>
      </c>
      <c r="E1532" s="83" t="s">
        <v>2915</v>
      </c>
      <c r="F1532" s="83" t="s">
        <v>4678</v>
      </c>
      <c r="G1532" s="138"/>
      <c r="H1532" s="340" t="s">
        <v>5608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306</v>
      </c>
      <c r="U1532" s="85" t="s">
        <v>3</v>
      </c>
      <c r="V1532" s="86" t="s">
        <v>3086</v>
      </c>
      <c r="W1532" s="86">
        <v>112</v>
      </c>
      <c r="X1532" s="83"/>
      <c r="Y1532" s="83"/>
      <c r="Z1532" s="83"/>
      <c r="AA1532" s="83" t="s">
        <v>2939</v>
      </c>
      <c r="AB1532" s="83"/>
      <c r="AC1532" s="83"/>
      <c r="AD1532" s="83" t="s">
        <v>2898</v>
      </c>
      <c r="AE1532" s="83"/>
      <c r="AF1532" s="83"/>
      <c r="AG1532" s="83"/>
      <c r="AH1532" s="83"/>
      <c r="AI1532" s="83" t="s">
        <v>2959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1037</v>
      </c>
      <c r="C1533" s="29">
        <v>817</v>
      </c>
      <c r="D1533" s="27" t="s">
        <v>1036</v>
      </c>
      <c r="E1533" s="29" t="s">
        <v>2929</v>
      </c>
      <c r="F1533" s="29" t="s">
        <v>4679</v>
      </c>
      <c r="G1533" s="31" t="s">
        <v>5604</v>
      </c>
      <c r="H1533" s="145" t="s">
        <v>5608</v>
      </c>
      <c r="I1533" s="31" t="s">
        <v>5609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306</v>
      </c>
      <c r="U1533" s="30" t="s">
        <v>3</v>
      </c>
      <c r="V1533" s="28" t="s">
        <v>3086</v>
      </c>
      <c r="W1533" s="28">
        <v>109</v>
      </c>
      <c r="X1533" s="29"/>
      <c r="Y1533" s="29"/>
      <c r="Z1533" s="29"/>
      <c r="AA1533" s="29"/>
      <c r="AB1533" s="29"/>
      <c r="AC1533" s="29" t="s">
        <v>2939</v>
      </c>
      <c r="AD1533" s="29"/>
      <c r="AE1533" s="29"/>
      <c r="AF1533" s="29" t="s">
        <v>2898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1038</v>
      </c>
      <c r="C1534" s="40">
        <v>955</v>
      </c>
      <c r="D1534" s="38" t="s">
        <v>1036</v>
      </c>
      <c r="E1534" s="40" t="s">
        <v>2929</v>
      </c>
      <c r="F1534" s="40" t="s">
        <v>4680</v>
      </c>
      <c r="G1534" s="41" t="s">
        <v>5604</v>
      </c>
      <c r="H1534" s="150" t="s">
        <v>5608</v>
      </c>
      <c r="I1534" s="41" t="s">
        <v>5609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306</v>
      </c>
      <c r="U1534" s="2" t="s">
        <v>3</v>
      </c>
      <c r="V1534" s="39" t="s">
        <v>3086</v>
      </c>
      <c r="W1534" s="39">
        <v>109</v>
      </c>
      <c r="X1534" s="40"/>
      <c r="Y1534" s="40"/>
      <c r="Z1534" s="40"/>
      <c r="AA1534" s="40"/>
      <c r="AB1534" s="40"/>
      <c r="AC1534" s="40" t="s">
        <v>2939</v>
      </c>
      <c r="AD1534" s="40"/>
      <c r="AE1534" s="40"/>
      <c r="AF1534" s="40" t="s">
        <v>2898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1039</v>
      </c>
      <c r="C1535" s="40">
        <v>957</v>
      </c>
      <c r="D1535" s="38" t="s">
        <v>1036</v>
      </c>
      <c r="E1535" s="40" t="s">
        <v>2929</v>
      </c>
      <c r="F1535" s="40" t="s">
        <v>4681</v>
      </c>
      <c r="G1535" s="41" t="s">
        <v>5604</v>
      </c>
      <c r="H1535" s="150" t="s">
        <v>5608</v>
      </c>
      <c r="I1535" s="41" t="s">
        <v>5609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306</v>
      </c>
      <c r="U1535" s="2" t="s">
        <v>3</v>
      </c>
      <c r="V1535" s="39" t="s">
        <v>3086</v>
      </c>
      <c r="W1535" s="39">
        <v>109</v>
      </c>
      <c r="X1535" s="40"/>
      <c r="Y1535" s="40"/>
      <c r="Z1535" s="40"/>
      <c r="AA1535" s="40"/>
      <c r="AB1535" s="40"/>
      <c r="AC1535" s="40" t="s">
        <v>2939</v>
      </c>
      <c r="AD1535" s="40"/>
      <c r="AE1535" s="40"/>
      <c r="AF1535" s="40" t="s">
        <v>2898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1036</v>
      </c>
      <c r="E1536" s="40" t="s">
        <v>2929</v>
      </c>
      <c r="F1536" s="40" t="s">
        <v>4682</v>
      </c>
      <c r="G1536" s="41" t="s">
        <v>5604</v>
      </c>
      <c r="H1536" s="150" t="s">
        <v>5608</v>
      </c>
      <c r="I1536" s="41" t="s">
        <v>5609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306</v>
      </c>
      <c r="U1536" s="2" t="str">
        <f>U1533</f>
        <v>正常</v>
      </c>
      <c r="V1536" s="39" t="s">
        <v>3086</v>
      </c>
      <c r="W1536" s="39">
        <v>109</v>
      </c>
      <c r="X1536" s="40"/>
      <c r="Y1536" s="40"/>
      <c r="Z1536" s="40"/>
      <c r="AA1536" s="40"/>
      <c r="AB1536" s="40"/>
      <c r="AC1536" s="40" t="s">
        <v>2939</v>
      </c>
      <c r="AD1536" s="40"/>
      <c r="AE1536" s="40"/>
      <c r="AF1536" s="40" t="s">
        <v>2898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1036</v>
      </c>
      <c r="E1537" s="40" t="s">
        <v>2929</v>
      </c>
      <c r="F1537" s="40" t="s">
        <v>4683</v>
      </c>
      <c r="G1537" s="41" t="s">
        <v>5604</v>
      </c>
      <c r="H1537" s="150" t="s">
        <v>5608</v>
      </c>
      <c r="I1537" s="41" t="s">
        <v>5609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306</v>
      </c>
      <c r="U1537" s="2" t="str">
        <f>U1534</f>
        <v>正常</v>
      </c>
      <c r="V1537" s="39" t="s">
        <v>3086</v>
      </c>
      <c r="W1537" s="39">
        <v>109</v>
      </c>
      <c r="X1537" s="40"/>
      <c r="Y1537" s="40"/>
      <c r="Z1537" s="40"/>
      <c r="AA1537" s="40"/>
      <c r="AB1537" s="40"/>
      <c r="AC1537" s="40" t="s">
        <v>2939</v>
      </c>
      <c r="AD1537" s="40"/>
      <c r="AE1537" s="40"/>
      <c r="AF1537" s="40" t="s">
        <v>2898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1036</v>
      </c>
      <c r="E1538" s="83" t="s">
        <v>2929</v>
      </c>
      <c r="F1538" s="83" t="s">
        <v>4684</v>
      </c>
      <c r="G1538" s="47" t="s">
        <v>5604</v>
      </c>
      <c r="H1538" s="340" t="s">
        <v>5608</v>
      </c>
      <c r="I1538" s="47" t="s">
        <v>5609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306</v>
      </c>
      <c r="U1538" s="85" t="s">
        <v>3</v>
      </c>
      <c r="V1538" s="86" t="s">
        <v>3086</v>
      </c>
      <c r="W1538" s="86">
        <v>109</v>
      </c>
      <c r="X1538" s="83"/>
      <c r="Y1538" s="83"/>
      <c r="Z1538" s="83"/>
      <c r="AA1538" s="83"/>
      <c r="AB1538" s="83"/>
      <c r="AC1538" s="83" t="s">
        <v>2939</v>
      </c>
      <c r="AD1538" s="83"/>
      <c r="AE1538" s="83"/>
      <c r="AF1538" s="83" t="s">
        <v>2898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1236</v>
      </c>
      <c r="C1539" s="19">
        <v>2310</v>
      </c>
      <c r="D1539" s="17" t="s">
        <v>1235</v>
      </c>
      <c r="E1539" s="19" t="s">
        <v>2915</v>
      </c>
      <c r="F1539" s="19" t="s">
        <v>4685</v>
      </c>
      <c r="G1539" s="21" t="s">
        <v>5604</v>
      </c>
      <c r="H1539" s="434" t="s">
        <v>5608</v>
      </c>
      <c r="I1539" s="21" t="s">
        <v>5609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331</v>
      </c>
      <c r="Q1539" s="23">
        <v>39.4</v>
      </c>
      <c r="R1539" s="23">
        <v>353</v>
      </c>
      <c r="S1539" s="23">
        <v>158</v>
      </c>
      <c r="T1539" s="18" t="s">
        <v>708</v>
      </c>
      <c r="U1539" s="20" t="s">
        <v>56</v>
      </c>
      <c r="V1539" s="222" t="s">
        <v>3086</v>
      </c>
      <c r="W1539" s="222">
        <v>109</v>
      </c>
      <c r="X1539" s="19"/>
      <c r="Y1539" s="130"/>
      <c r="Z1539" s="19"/>
      <c r="AA1539" s="19" t="s">
        <v>2939</v>
      </c>
      <c r="AB1539" s="19"/>
      <c r="AC1539" s="19"/>
      <c r="AD1539" s="19"/>
      <c r="AE1539" s="19"/>
      <c r="AF1539" s="19" t="s">
        <v>2943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1527</v>
      </c>
      <c r="C1540" s="19">
        <v>337</v>
      </c>
      <c r="D1540" s="17" t="s">
        <v>1526</v>
      </c>
      <c r="E1540" s="19" t="s">
        <v>2963</v>
      </c>
      <c r="F1540" s="19" t="s">
        <v>4686</v>
      </c>
      <c r="G1540" s="21" t="s">
        <v>5604</v>
      </c>
      <c r="H1540" s="434" t="s">
        <v>5608</v>
      </c>
      <c r="I1540" s="21" t="s">
        <v>5609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708</v>
      </c>
      <c r="U1540" s="20" t="s">
        <v>56</v>
      </c>
      <c r="V1540" s="222" t="s">
        <v>3086</v>
      </c>
      <c r="W1540" s="222">
        <v>109</v>
      </c>
      <c r="X1540" s="19"/>
      <c r="Y1540" s="19"/>
      <c r="Z1540" s="19" t="s">
        <v>2943</v>
      </c>
      <c r="AA1540" s="19"/>
      <c r="AB1540" s="19"/>
      <c r="AC1540" s="19" t="s">
        <v>2939</v>
      </c>
      <c r="AD1540" s="19"/>
      <c r="AE1540" s="19"/>
      <c r="AF1540" s="19" t="s">
        <v>2943</v>
      </c>
      <c r="AG1540" s="19"/>
      <c r="AH1540" s="19"/>
      <c r="AI1540" s="19"/>
      <c r="AJ1540" s="222"/>
      <c r="AK1540" s="314"/>
      <c r="AL1540" s="257" t="s">
        <v>2908</v>
      </c>
      <c r="AM1540" s="7"/>
    </row>
    <row r="1541" spans="1:39" ht="14.4" thickBot="1" x14ac:dyDescent="0.35">
      <c r="A1541" s="15">
        <v>1540</v>
      </c>
      <c r="B1541" s="19" t="s">
        <v>1583</v>
      </c>
      <c r="C1541" s="19">
        <v>2126</v>
      </c>
      <c r="D1541" s="17" t="s">
        <v>1582</v>
      </c>
      <c r="E1541" s="19" t="s">
        <v>2963</v>
      </c>
      <c r="F1541" s="19" t="s">
        <v>4687</v>
      </c>
      <c r="G1541" s="21" t="s">
        <v>5604</v>
      </c>
      <c r="H1541" s="434" t="s">
        <v>5608</v>
      </c>
      <c r="I1541" s="21" t="s">
        <v>5609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708</v>
      </c>
      <c r="U1541" s="20" t="s">
        <v>56</v>
      </c>
      <c r="V1541" s="222" t="s">
        <v>3086</v>
      </c>
      <c r="W1541" s="222">
        <v>109</v>
      </c>
      <c r="X1541" s="19"/>
      <c r="Y1541" s="19"/>
      <c r="Z1541" s="19"/>
      <c r="AA1541" s="19" t="s">
        <v>2939</v>
      </c>
      <c r="AB1541" s="19"/>
      <c r="AC1541" s="19"/>
      <c r="AD1541" s="19"/>
      <c r="AE1541" s="19"/>
      <c r="AF1541" s="19" t="s">
        <v>2943</v>
      </c>
      <c r="AG1541" s="19"/>
      <c r="AH1541" s="19"/>
      <c r="AI1541" s="19"/>
      <c r="AJ1541" s="222"/>
      <c r="AK1541" s="314"/>
      <c r="AL1541" s="257" t="s">
        <v>2908</v>
      </c>
      <c r="AM1541" s="7"/>
    </row>
    <row r="1542" spans="1:39" ht="27.6" x14ac:dyDescent="0.3">
      <c r="A1542" s="15">
        <v>1541</v>
      </c>
      <c r="B1542" s="29" t="s">
        <v>1598</v>
      </c>
      <c r="C1542" s="29">
        <v>1048</v>
      </c>
      <c r="D1542" s="27" t="s">
        <v>1597</v>
      </c>
      <c r="E1542" s="29" t="s">
        <v>2915</v>
      </c>
      <c r="F1542" s="29" t="s">
        <v>4688</v>
      </c>
      <c r="G1542" s="192"/>
      <c r="H1542" s="145" t="s">
        <v>5608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3086</v>
      </c>
      <c r="W1542" s="28">
        <v>112</v>
      </c>
      <c r="X1542" s="29"/>
      <c r="Y1542" s="29"/>
      <c r="Z1542" s="29"/>
      <c r="AA1542" s="29" t="s">
        <v>2939</v>
      </c>
      <c r="AB1542" s="29"/>
      <c r="AC1542" s="29"/>
      <c r="AD1542" s="29" t="s">
        <v>2939</v>
      </c>
      <c r="AE1542" s="29"/>
      <c r="AF1542" s="29"/>
      <c r="AG1542" s="29"/>
      <c r="AH1542" s="29"/>
      <c r="AI1542" s="29" t="s">
        <v>3045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1599</v>
      </c>
      <c r="C1543" s="83">
        <v>1052</v>
      </c>
      <c r="D1543" s="113" t="s">
        <v>1597</v>
      </c>
      <c r="E1543" s="83" t="s">
        <v>2915</v>
      </c>
      <c r="F1543" s="83" t="s">
        <v>4689</v>
      </c>
      <c r="G1543" s="138"/>
      <c r="H1543" s="340" t="s">
        <v>5608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306</v>
      </c>
      <c r="U1543" s="85" t="s">
        <v>3</v>
      </c>
      <c r="V1543" s="86" t="s">
        <v>3086</v>
      </c>
      <c r="W1543" s="86">
        <v>112</v>
      </c>
      <c r="X1543" s="83"/>
      <c r="Y1543" s="83"/>
      <c r="Z1543" s="83"/>
      <c r="AA1543" s="83" t="s">
        <v>2939</v>
      </c>
      <c r="AB1543" s="83"/>
      <c r="AC1543" s="83"/>
      <c r="AD1543" s="83"/>
      <c r="AE1543" s="83" t="s">
        <v>2939</v>
      </c>
      <c r="AF1543" s="83"/>
      <c r="AG1543" s="83"/>
      <c r="AH1543" s="83"/>
      <c r="AI1543" s="83" t="s">
        <v>2959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1754</v>
      </c>
      <c r="C1544" s="19">
        <v>1530</v>
      </c>
      <c r="D1544" s="17" t="s">
        <v>1753</v>
      </c>
      <c r="E1544" s="315" t="s">
        <v>2929</v>
      </c>
      <c r="F1544" s="315" t="s">
        <v>4690</v>
      </c>
      <c r="G1544" s="255" t="s">
        <v>5604</v>
      </c>
      <c r="H1544" s="434" t="s">
        <v>5608</v>
      </c>
      <c r="I1544" s="255" t="s">
        <v>5609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1755</v>
      </c>
      <c r="Q1544" s="23">
        <v>42.6</v>
      </c>
      <c r="R1544" s="23">
        <v>317</v>
      </c>
      <c r="S1544" s="23">
        <v>109</v>
      </c>
      <c r="T1544" s="18" t="s">
        <v>708</v>
      </c>
      <c r="U1544" s="20" t="s">
        <v>56</v>
      </c>
      <c r="V1544" s="222" t="s">
        <v>3086</v>
      </c>
      <c r="W1544" s="222">
        <v>110</v>
      </c>
      <c r="X1544" s="19"/>
      <c r="Y1544" s="19"/>
      <c r="Z1544" s="19"/>
      <c r="AA1544" s="19"/>
      <c r="AB1544" s="19" t="s">
        <v>2939</v>
      </c>
      <c r="AC1544" s="19"/>
      <c r="AD1544" s="19"/>
      <c r="AE1544" s="19" t="s">
        <v>2939</v>
      </c>
      <c r="AF1544" s="19"/>
      <c r="AG1544" s="19" t="s">
        <v>2943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1829</v>
      </c>
      <c r="C1545" s="19">
        <v>553</v>
      </c>
      <c r="D1545" s="17" t="s">
        <v>1828</v>
      </c>
      <c r="E1545" s="19" t="s">
        <v>2963</v>
      </c>
      <c r="F1545" s="19" t="s">
        <v>4691</v>
      </c>
      <c r="G1545" s="255"/>
      <c r="H1545" s="434" t="s">
        <v>5608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66</v>
      </c>
      <c r="Q1545" s="23">
        <v>24</v>
      </c>
      <c r="R1545" s="23">
        <v>273</v>
      </c>
      <c r="S1545" s="23">
        <v>105</v>
      </c>
      <c r="T1545" s="20" t="s">
        <v>306</v>
      </c>
      <c r="U1545" s="20" t="s">
        <v>3</v>
      </c>
      <c r="V1545" s="222" t="s">
        <v>3086</v>
      </c>
      <c r="W1545" s="222">
        <v>112</v>
      </c>
      <c r="X1545" s="19"/>
      <c r="Y1545" s="19"/>
      <c r="Z1545" s="19"/>
      <c r="AA1545" s="19" t="s">
        <v>2939</v>
      </c>
      <c r="AB1545" s="19"/>
      <c r="AC1545" s="19"/>
      <c r="AD1545" s="19"/>
      <c r="AE1545" s="19" t="s">
        <v>2898</v>
      </c>
      <c r="AF1545" s="19"/>
      <c r="AG1545" s="19"/>
      <c r="AH1545" s="19"/>
      <c r="AI1545" s="19" t="s">
        <v>2959</v>
      </c>
      <c r="AJ1545" s="222"/>
      <c r="AK1545" s="314"/>
      <c r="AL1545" s="257" t="s">
        <v>2908</v>
      </c>
      <c r="AM1545" s="289"/>
    </row>
    <row r="1546" spans="1:39" ht="27.6" x14ac:dyDescent="0.3">
      <c r="A1546" s="15">
        <v>1545</v>
      </c>
      <c r="B1546" s="29" t="s">
        <v>1892</v>
      </c>
      <c r="C1546" s="29">
        <v>2243</v>
      </c>
      <c r="D1546" s="27" t="s">
        <v>1891</v>
      </c>
      <c r="E1546" s="29" t="s">
        <v>2915</v>
      </c>
      <c r="F1546" s="29" t="s">
        <v>4692</v>
      </c>
      <c r="G1546" s="192"/>
      <c r="H1546" s="145" t="s">
        <v>5608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331</v>
      </c>
      <c r="Q1546" s="33">
        <v>31.3</v>
      </c>
      <c r="R1546" s="33">
        <v>380</v>
      </c>
      <c r="S1546" s="33">
        <v>161</v>
      </c>
      <c r="T1546" s="30" t="s">
        <v>73</v>
      </c>
      <c r="U1546" s="30" t="s">
        <v>4</v>
      </c>
      <c r="V1546" s="28" t="s">
        <v>3086</v>
      </c>
      <c r="W1546" s="28">
        <v>112</v>
      </c>
      <c r="X1546" s="29"/>
      <c r="Y1546" s="102"/>
      <c r="Z1546" s="29"/>
      <c r="AA1546" s="29"/>
      <c r="AB1546" s="29" t="s">
        <v>2898</v>
      </c>
      <c r="AC1546" s="29"/>
      <c r="AD1546" s="29"/>
      <c r="AE1546" s="29"/>
      <c r="AF1546" s="29"/>
      <c r="AG1546" s="29"/>
      <c r="AH1546" s="29"/>
      <c r="AI1546" s="29" t="s">
        <v>2977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1893</v>
      </c>
      <c r="C1547" s="40">
        <v>2272</v>
      </c>
      <c r="D1547" s="38" t="s">
        <v>1891</v>
      </c>
      <c r="E1547" s="40" t="s">
        <v>2915</v>
      </c>
      <c r="F1547" s="40" t="s">
        <v>4693</v>
      </c>
      <c r="G1547" s="50"/>
      <c r="H1547" s="150" t="s">
        <v>5608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708</v>
      </c>
      <c r="U1547" s="2" t="s">
        <v>56</v>
      </c>
      <c r="V1547" s="39" t="s">
        <v>3086</v>
      </c>
      <c r="W1547" s="39">
        <v>112</v>
      </c>
      <c r="X1547" s="40"/>
      <c r="Y1547" s="40"/>
      <c r="Z1547" s="40"/>
      <c r="AA1547" s="40" t="s">
        <v>2943</v>
      </c>
      <c r="AB1547" s="40"/>
      <c r="AC1547" s="40"/>
      <c r="AD1547" s="40" t="s">
        <v>2939</v>
      </c>
      <c r="AE1547" s="40"/>
      <c r="AF1547" s="40"/>
      <c r="AG1547" s="40"/>
      <c r="AH1547" s="40"/>
      <c r="AI1547" s="40" t="s">
        <v>2904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1895</v>
      </c>
      <c r="C1548" s="40">
        <v>1035</v>
      </c>
      <c r="D1548" s="38" t="s">
        <v>1891</v>
      </c>
      <c r="E1548" s="40" t="s">
        <v>2915</v>
      </c>
      <c r="F1548" s="40" t="s">
        <v>4694</v>
      </c>
      <c r="G1548" s="50"/>
      <c r="H1548" s="150" t="s">
        <v>5608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130</v>
      </c>
      <c r="U1548" s="2" t="s">
        <v>2916</v>
      </c>
      <c r="V1548" s="39" t="s">
        <v>3086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1896</v>
      </c>
      <c r="C1549" s="40">
        <v>2518</v>
      </c>
      <c r="D1549" s="38" t="s">
        <v>1891</v>
      </c>
      <c r="E1549" s="40" t="s">
        <v>2915</v>
      </c>
      <c r="F1549" s="40" t="s">
        <v>4695</v>
      </c>
      <c r="G1549" s="50"/>
      <c r="H1549" s="150" t="s">
        <v>5608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41</v>
      </c>
      <c r="Q1549" s="43">
        <v>34</v>
      </c>
      <c r="R1549" s="43">
        <v>146</v>
      </c>
      <c r="S1549" s="43">
        <v>129</v>
      </c>
      <c r="T1549" s="2" t="s">
        <v>306</v>
      </c>
      <c r="U1549" s="2" t="s">
        <v>3</v>
      </c>
      <c r="V1549" s="39" t="s">
        <v>3086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2898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2054</v>
      </c>
      <c r="C1550" s="83">
        <v>2258</v>
      </c>
      <c r="D1550" s="113" t="s">
        <v>3091</v>
      </c>
      <c r="E1550" s="83" t="s">
        <v>2915</v>
      </c>
      <c r="F1550" s="83" t="s">
        <v>4696</v>
      </c>
      <c r="G1550" s="138" t="s">
        <v>5604</v>
      </c>
      <c r="H1550" s="340" t="s">
        <v>5608</v>
      </c>
      <c r="I1550" s="138" t="s">
        <v>5609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306</v>
      </c>
      <c r="U1550" s="85" t="s">
        <v>3</v>
      </c>
      <c r="V1550" s="86" t="s">
        <v>3086</v>
      </c>
      <c r="W1550" s="86">
        <v>109</v>
      </c>
      <c r="X1550" s="83"/>
      <c r="Y1550" s="137"/>
      <c r="Z1550" s="83"/>
      <c r="AA1550" s="83"/>
      <c r="AB1550" s="83" t="s">
        <v>2898</v>
      </c>
      <c r="AC1550" s="83"/>
      <c r="AD1550" s="83"/>
      <c r="AE1550" s="83"/>
      <c r="AF1550" s="83" t="s">
        <v>2898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2080</v>
      </c>
      <c r="C1551" s="19">
        <v>1097</v>
      </c>
      <c r="D1551" s="17" t="s">
        <v>2079</v>
      </c>
      <c r="E1551" s="19" t="s">
        <v>2915</v>
      </c>
      <c r="F1551" s="19" t="s">
        <v>4697</v>
      </c>
      <c r="G1551" s="255"/>
      <c r="H1551" s="434" t="s">
        <v>5608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306</v>
      </c>
      <c r="U1551" s="20" t="s">
        <v>3</v>
      </c>
      <c r="V1551" s="222" t="s">
        <v>3086</v>
      </c>
      <c r="W1551" s="222">
        <v>112</v>
      </c>
      <c r="X1551" s="19"/>
      <c r="Y1551" s="19"/>
      <c r="Z1551" s="19" t="s">
        <v>2939</v>
      </c>
      <c r="AA1551" s="19"/>
      <c r="AB1551" s="19"/>
      <c r="AC1551" s="19"/>
      <c r="AD1551" s="19" t="s">
        <v>2898</v>
      </c>
      <c r="AE1551" s="19"/>
      <c r="AF1551" s="19"/>
      <c r="AG1551" s="19"/>
      <c r="AH1551" s="19"/>
      <c r="AI1551" s="19" t="s">
        <v>2959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2151</v>
      </c>
      <c r="C1552" s="29">
        <v>1696</v>
      </c>
      <c r="D1552" s="27" t="s">
        <v>2150</v>
      </c>
      <c r="E1552" s="29" t="s">
        <v>2929</v>
      </c>
      <c r="F1552" s="29" t="s">
        <v>4698</v>
      </c>
      <c r="G1552" s="192" t="s">
        <v>5604</v>
      </c>
      <c r="H1552" s="145" t="s">
        <v>5608</v>
      </c>
      <c r="I1552" s="192" t="s">
        <v>5609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306</v>
      </c>
      <c r="U1552" s="30" t="s">
        <v>3</v>
      </c>
      <c r="V1552" s="28" t="s">
        <v>3086</v>
      </c>
      <c r="W1552" s="28">
        <v>111</v>
      </c>
      <c r="X1552" s="29"/>
      <c r="Y1552" s="29"/>
      <c r="Z1552" s="29" t="s">
        <v>2939</v>
      </c>
      <c r="AA1552" s="29"/>
      <c r="AB1552" s="29"/>
      <c r="AC1552" s="29" t="s">
        <v>2898</v>
      </c>
      <c r="AD1552" s="29"/>
      <c r="AE1552" s="29"/>
      <c r="AF1552" s="29"/>
      <c r="AG1552" s="29"/>
      <c r="AH1552" s="29" t="s">
        <v>2898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2152</v>
      </c>
      <c r="C1553" s="83">
        <v>2476</v>
      </c>
      <c r="D1553" s="113" t="s">
        <v>2150</v>
      </c>
      <c r="E1553" s="83" t="s">
        <v>2929</v>
      </c>
      <c r="F1553" s="83" t="s">
        <v>4699</v>
      </c>
      <c r="G1553" s="138"/>
      <c r="H1553" s="340" t="s">
        <v>5608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306</v>
      </c>
      <c r="U1553" s="85" t="str">
        <f>U1552</f>
        <v>正常</v>
      </c>
      <c r="V1553" s="86" t="s">
        <v>3086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2898</v>
      </c>
      <c r="AH1553" s="83" t="s">
        <v>2898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2197</v>
      </c>
      <c r="C1554" s="29">
        <v>201</v>
      </c>
      <c r="D1554" s="27" t="s">
        <v>2196</v>
      </c>
      <c r="E1554" s="29" t="s">
        <v>2963</v>
      </c>
      <c r="F1554" s="29" t="s">
        <v>4700</v>
      </c>
      <c r="G1554" s="192" t="s">
        <v>5604</v>
      </c>
      <c r="H1554" s="145" t="s">
        <v>5608</v>
      </c>
      <c r="I1554" s="192" t="s">
        <v>5609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3086</v>
      </c>
      <c r="W1554" s="28">
        <v>110</v>
      </c>
      <c r="X1554" s="29"/>
      <c r="Y1554" s="29" t="s">
        <v>2939</v>
      </c>
      <c r="Z1554" s="29"/>
      <c r="AA1554" s="29"/>
      <c r="AB1554" s="29"/>
      <c r="AC1554" s="29" t="s">
        <v>2939</v>
      </c>
      <c r="AD1554" s="29"/>
      <c r="AE1554" s="29"/>
      <c r="AF1554" s="29" t="s">
        <v>2939</v>
      </c>
      <c r="AG1554" s="29" t="s">
        <v>2898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2198</v>
      </c>
      <c r="C1555" s="83">
        <v>202</v>
      </c>
      <c r="D1555" s="113" t="s">
        <v>2196</v>
      </c>
      <c r="E1555" s="83" t="s">
        <v>2963</v>
      </c>
      <c r="F1555" s="83" t="s">
        <v>4701</v>
      </c>
      <c r="G1555" s="138" t="s">
        <v>5604</v>
      </c>
      <c r="H1555" s="340" t="s">
        <v>5608</v>
      </c>
      <c r="I1555" s="138" t="s">
        <v>5609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3086</v>
      </c>
      <c r="W1555" s="86">
        <v>110</v>
      </c>
      <c r="X1555" s="83"/>
      <c r="Y1555" s="137"/>
      <c r="Z1555" s="83" t="s">
        <v>2939</v>
      </c>
      <c r="AA1555" s="83"/>
      <c r="AB1555" s="83"/>
      <c r="AC1555" s="83" t="s">
        <v>2898</v>
      </c>
      <c r="AD1555" s="83"/>
      <c r="AE1555" s="83"/>
      <c r="AF1555" s="83" t="s">
        <v>2939</v>
      </c>
      <c r="AG1555" s="83" t="s">
        <v>2898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2201</v>
      </c>
      <c r="C1556" s="29">
        <v>196</v>
      </c>
      <c r="D1556" s="27" t="s">
        <v>2200</v>
      </c>
      <c r="E1556" s="29" t="s">
        <v>2963</v>
      </c>
      <c r="F1556" s="29" t="s">
        <v>4702</v>
      </c>
      <c r="G1556" s="192"/>
      <c r="H1556" s="145" t="s">
        <v>5608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306</v>
      </c>
      <c r="U1556" s="30" t="s">
        <v>3</v>
      </c>
      <c r="V1556" s="28" t="s">
        <v>3086</v>
      </c>
      <c r="W1556" s="28">
        <v>109</v>
      </c>
      <c r="X1556" s="29"/>
      <c r="Y1556" s="102"/>
      <c r="Z1556" s="29" t="s">
        <v>2943</v>
      </c>
      <c r="AA1556" s="29"/>
      <c r="AB1556" s="29" t="s">
        <v>2939</v>
      </c>
      <c r="AC1556" s="29"/>
      <c r="AD1556" s="29"/>
      <c r="AE1556" s="29"/>
      <c r="AF1556" s="29" t="s">
        <v>2898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2202</v>
      </c>
      <c r="C1557" s="83">
        <v>239</v>
      </c>
      <c r="D1557" s="113" t="s">
        <v>2200</v>
      </c>
      <c r="E1557" s="137" t="s">
        <v>2963</v>
      </c>
      <c r="F1557" s="137" t="s">
        <v>4703</v>
      </c>
      <c r="G1557" s="138"/>
      <c r="H1557" s="340" t="s">
        <v>5608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306</v>
      </c>
      <c r="U1557" s="85" t="s">
        <v>3</v>
      </c>
      <c r="V1557" s="86" t="s">
        <v>3086</v>
      </c>
      <c r="W1557" s="86">
        <v>109</v>
      </c>
      <c r="X1557" s="83"/>
      <c r="Y1557" s="83" t="s">
        <v>2943</v>
      </c>
      <c r="Z1557" s="83"/>
      <c r="AA1557" s="83"/>
      <c r="AB1557" s="83" t="s">
        <v>2943</v>
      </c>
      <c r="AC1557" s="83"/>
      <c r="AD1557" s="83"/>
      <c r="AE1557" s="83" t="s">
        <v>2943</v>
      </c>
      <c r="AF1557" s="83" t="s">
        <v>2898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2239</v>
      </c>
      <c r="C1558" s="19">
        <v>1568</v>
      </c>
      <c r="D1558" s="17" t="s">
        <v>2238</v>
      </c>
      <c r="E1558" s="315" t="s">
        <v>2929</v>
      </c>
      <c r="F1558" s="315" t="s">
        <v>4704</v>
      </c>
      <c r="G1558" s="255" t="s">
        <v>5604</v>
      </c>
      <c r="H1558" s="434" t="s">
        <v>5608</v>
      </c>
      <c r="I1558" s="255" t="s">
        <v>5609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306</v>
      </c>
      <c r="U1558" s="20" t="s">
        <v>3</v>
      </c>
      <c r="V1558" s="222" t="s">
        <v>3086</v>
      </c>
      <c r="W1558" s="222">
        <v>111</v>
      </c>
      <c r="X1558" s="19"/>
      <c r="Y1558" s="19"/>
      <c r="Z1558" s="19"/>
      <c r="AA1558" s="19"/>
      <c r="AB1558" s="19" t="s">
        <v>2939</v>
      </c>
      <c r="AC1558" s="19"/>
      <c r="AD1558" s="19" t="s">
        <v>2898</v>
      </c>
      <c r="AE1558" s="19"/>
      <c r="AF1558" s="19"/>
      <c r="AG1558" s="19"/>
      <c r="AH1558" s="19" t="s">
        <v>2898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2245</v>
      </c>
      <c r="C1559" s="29">
        <v>1727</v>
      </c>
      <c r="D1559" s="27" t="s">
        <v>2244</v>
      </c>
      <c r="E1559" s="29" t="s">
        <v>2929</v>
      </c>
      <c r="F1559" s="29" t="s">
        <v>4705</v>
      </c>
      <c r="G1559" s="192" t="s">
        <v>5604</v>
      </c>
      <c r="H1559" s="145" t="s">
        <v>5608</v>
      </c>
      <c r="I1559" s="192" t="s">
        <v>5609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306</v>
      </c>
      <c r="U1559" s="30" t="s">
        <v>3</v>
      </c>
      <c r="V1559" s="28" t="s">
        <v>3086</v>
      </c>
      <c r="W1559" s="28">
        <v>109</v>
      </c>
      <c r="X1559" s="29"/>
      <c r="Y1559" s="102"/>
      <c r="Z1559" s="29"/>
      <c r="AA1559" s="29" t="s">
        <v>2939</v>
      </c>
      <c r="AB1559" s="29"/>
      <c r="AC1559" s="29"/>
      <c r="AD1559" s="29"/>
      <c r="AE1559" s="29"/>
      <c r="AF1559" s="29" t="s">
        <v>2898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2246</v>
      </c>
      <c r="C1560" s="40">
        <v>1728</v>
      </c>
      <c r="D1560" s="38" t="s">
        <v>2244</v>
      </c>
      <c r="E1560" s="40" t="s">
        <v>2929</v>
      </c>
      <c r="F1560" s="40" t="s">
        <v>4706</v>
      </c>
      <c r="G1560" s="50" t="s">
        <v>5604</v>
      </c>
      <c r="H1560" s="150" t="s">
        <v>5608</v>
      </c>
      <c r="I1560" s="50" t="s">
        <v>5609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306</v>
      </c>
      <c r="U1560" s="2" t="str">
        <f>U1559</f>
        <v>正常</v>
      </c>
      <c r="V1560" s="39" t="s">
        <v>3086</v>
      </c>
      <c r="W1560" s="39">
        <v>109</v>
      </c>
      <c r="X1560" s="40"/>
      <c r="Y1560" s="106"/>
      <c r="Z1560" s="40"/>
      <c r="AA1560" s="40" t="s">
        <v>2939</v>
      </c>
      <c r="AB1560" s="40"/>
      <c r="AC1560" s="40"/>
      <c r="AD1560" s="40"/>
      <c r="AE1560" s="40"/>
      <c r="AF1560" s="40" t="s">
        <v>2898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2247</v>
      </c>
      <c r="C1561" s="83">
        <v>1729</v>
      </c>
      <c r="D1561" s="113" t="s">
        <v>2244</v>
      </c>
      <c r="E1561" s="83" t="s">
        <v>2929</v>
      </c>
      <c r="F1561" s="83" t="s">
        <v>4707</v>
      </c>
      <c r="G1561" s="138" t="s">
        <v>5604</v>
      </c>
      <c r="H1561" s="340" t="s">
        <v>5608</v>
      </c>
      <c r="I1561" s="138" t="s">
        <v>5609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306</v>
      </c>
      <c r="U1561" s="85" t="str">
        <f>U1559</f>
        <v>正常</v>
      </c>
      <c r="V1561" s="86" t="s">
        <v>3086</v>
      </c>
      <c r="W1561" s="86">
        <v>109</v>
      </c>
      <c r="X1561" s="83"/>
      <c r="Y1561" s="137"/>
      <c r="Z1561" s="83"/>
      <c r="AA1561" s="83" t="s">
        <v>2939</v>
      </c>
      <c r="AB1561" s="83"/>
      <c r="AC1561" s="83"/>
      <c r="AD1561" s="83"/>
      <c r="AE1561" s="83"/>
      <c r="AF1561" s="83" t="s">
        <v>2898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2265</v>
      </c>
      <c r="C1562" s="29">
        <v>1622</v>
      </c>
      <c r="D1562" s="27" t="s">
        <v>2264</v>
      </c>
      <c r="E1562" s="29" t="s">
        <v>2929</v>
      </c>
      <c r="F1562" s="29" t="s">
        <v>4708</v>
      </c>
      <c r="G1562" s="192" t="s">
        <v>5604</v>
      </c>
      <c r="H1562" s="145" t="s">
        <v>5608</v>
      </c>
      <c r="I1562" s="192" t="s">
        <v>5609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306</v>
      </c>
      <c r="U1562" s="30" t="s">
        <v>3</v>
      </c>
      <c r="V1562" s="28" t="s">
        <v>3086</v>
      </c>
      <c r="W1562" s="28">
        <v>110</v>
      </c>
      <c r="X1562" s="29"/>
      <c r="Y1562" s="29"/>
      <c r="Z1562" s="29" t="s">
        <v>2939</v>
      </c>
      <c r="AA1562" s="29"/>
      <c r="AB1562" s="29"/>
      <c r="AC1562" s="29"/>
      <c r="AD1562" s="29"/>
      <c r="AE1562" s="29"/>
      <c r="AF1562" s="29"/>
      <c r="AG1562" s="29" t="s">
        <v>2898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2267</v>
      </c>
      <c r="C1563" s="83">
        <v>1623</v>
      </c>
      <c r="D1563" s="113" t="s">
        <v>2264</v>
      </c>
      <c r="E1563" s="83" t="s">
        <v>2929</v>
      </c>
      <c r="F1563" s="83" t="s">
        <v>4709</v>
      </c>
      <c r="G1563" s="138" t="s">
        <v>5604</v>
      </c>
      <c r="H1563" s="340" t="s">
        <v>5608</v>
      </c>
      <c r="I1563" s="138" t="s">
        <v>5609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306</v>
      </c>
      <c r="U1563" s="85" t="s">
        <v>3</v>
      </c>
      <c r="V1563" s="86" t="s">
        <v>3086</v>
      </c>
      <c r="W1563" s="86">
        <v>110</v>
      </c>
      <c r="X1563" s="83"/>
      <c r="Y1563" s="83"/>
      <c r="Z1563" s="83" t="s">
        <v>2939</v>
      </c>
      <c r="AA1563" s="83"/>
      <c r="AB1563" s="83"/>
      <c r="AC1563" s="83"/>
      <c r="AD1563" s="83" t="s">
        <v>2898</v>
      </c>
      <c r="AE1563" s="83"/>
      <c r="AF1563" s="83"/>
      <c r="AG1563" s="83" t="s">
        <v>2898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2333</v>
      </c>
      <c r="C1564" s="19">
        <v>197</v>
      </c>
      <c r="D1564" s="17" t="s">
        <v>2332</v>
      </c>
      <c r="E1564" s="19" t="s">
        <v>2963</v>
      </c>
      <c r="F1564" s="19" t="s">
        <v>4710</v>
      </c>
      <c r="G1564" s="255" t="s">
        <v>5604</v>
      </c>
      <c r="H1564" s="434" t="s">
        <v>5608</v>
      </c>
      <c r="I1564" s="255" t="s">
        <v>5609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708</v>
      </c>
      <c r="U1564" s="20" t="s">
        <v>56</v>
      </c>
      <c r="V1564" s="222" t="s">
        <v>3086</v>
      </c>
      <c r="W1564" s="222">
        <v>109</v>
      </c>
      <c r="X1564" s="19" t="s">
        <v>2939</v>
      </c>
      <c r="Y1564" s="19" t="s">
        <v>2939</v>
      </c>
      <c r="Z1564" s="19"/>
      <c r="AA1564" s="19"/>
      <c r="AB1564" s="19"/>
      <c r="AC1564" s="19"/>
      <c r="AD1564" s="19"/>
      <c r="AE1564" s="19"/>
      <c r="AF1564" s="19" t="s">
        <v>2943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2364</v>
      </c>
      <c r="C1565" s="29">
        <v>1626</v>
      </c>
      <c r="D1565" s="27" t="s">
        <v>2363</v>
      </c>
      <c r="E1565" s="29" t="s">
        <v>2929</v>
      </c>
      <c r="F1565" s="29" t="s">
        <v>4711</v>
      </c>
      <c r="G1565" s="192"/>
      <c r="H1565" s="145" t="s">
        <v>5608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3086</v>
      </c>
      <c r="W1565" s="28">
        <v>107</v>
      </c>
      <c r="X1565" s="29"/>
      <c r="Y1565" s="29"/>
      <c r="Z1565" s="29" t="s">
        <v>2939</v>
      </c>
      <c r="AA1565" s="29"/>
      <c r="AB1565" s="29"/>
      <c r="AC1565" s="29"/>
      <c r="AD1565" s="29" t="s">
        <v>2898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2365</v>
      </c>
      <c r="C1566" s="40">
        <v>1627</v>
      </c>
      <c r="D1566" s="38" t="s">
        <v>2363</v>
      </c>
      <c r="E1566" s="40" t="s">
        <v>2929</v>
      </c>
      <c r="F1566" s="40" t="s">
        <v>4712</v>
      </c>
      <c r="G1566" s="50"/>
      <c r="H1566" s="150" t="s">
        <v>5608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3086</v>
      </c>
      <c r="W1566" s="39">
        <v>107</v>
      </c>
      <c r="X1566" s="40"/>
      <c r="Y1566" s="40"/>
      <c r="Z1566" s="40" t="s">
        <v>2939</v>
      </c>
      <c r="AA1566" s="40"/>
      <c r="AB1566" s="40"/>
      <c r="AC1566" s="40"/>
      <c r="AD1566" s="40" t="s">
        <v>2898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2366</v>
      </c>
      <c r="C1567" s="40">
        <v>1628</v>
      </c>
      <c r="D1567" s="38" t="s">
        <v>2363</v>
      </c>
      <c r="E1567" s="40" t="s">
        <v>2929</v>
      </c>
      <c r="F1567" s="40" t="s">
        <v>4713</v>
      </c>
      <c r="G1567" s="50" t="s">
        <v>5604</v>
      </c>
      <c r="H1567" s="150" t="s">
        <v>5608</v>
      </c>
      <c r="I1567" s="50" t="s">
        <v>5609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306</v>
      </c>
      <c r="U1567" s="2" t="s">
        <v>3</v>
      </c>
      <c r="V1567" s="39" t="s">
        <v>3086</v>
      </c>
      <c r="W1567" s="39">
        <v>111</v>
      </c>
      <c r="X1567" s="40"/>
      <c r="Y1567" s="40"/>
      <c r="Z1567" s="40" t="s">
        <v>2939</v>
      </c>
      <c r="AA1567" s="40"/>
      <c r="AB1567" s="40"/>
      <c r="AC1567" s="40"/>
      <c r="AD1567" s="40" t="s">
        <v>2898</v>
      </c>
      <c r="AE1567" s="40"/>
      <c r="AF1567" s="40"/>
      <c r="AG1567" s="40"/>
      <c r="AH1567" s="40" t="s">
        <v>2898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2367</v>
      </c>
      <c r="C1568" s="40">
        <v>1631</v>
      </c>
      <c r="D1568" s="38" t="s">
        <v>2363</v>
      </c>
      <c r="E1568" s="40" t="s">
        <v>2929</v>
      </c>
      <c r="F1568" s="40" t="s">
        <v>4714</v>
      </c>
      <c r="G1568" s="50" t="s">
        <v>5604</v>
      </c>
      <c r="H1568" s="150" t="s">
        <v>5608</v>
      </c>
      <c r="I1568" s="50" t="s">
        <v>5609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306</v>
      </c>
      <c r="U1568" s="2" t="s">
        <v>3</v>
      </c>
      <c r="V1568" s="39" t="s">
        <v>3086</v>
      </c>
      <c r="W1568" s="39">
        <v>111</v>
      </c>
      <c r="X1568" s="40"/>
      <c r="Y1568" s="40"/>
      <c r="Z1568" s="40" t="s">
        <v>2939</v>
      </c>
      <c r="AA1568" s="40"/>
      <c r="AB1568" s="40"/>
      <c r="AC1568" s="40"/>
      <c r="AD1568" s="40" t="s">
        <v>2898</v>
      </c>
      <c r="AE1568" s="40"/>
      <c r="AF1568" s="40"/>
      <c r="AG1568" s="40"/>
      <c r="AH1568" s="40" t="s">
        <v>2898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2368</v>
      </c>
      <c r="C1569" s="40">
        <v>1632</v>
      </c>
      <c r="D1569" s="38" t="s">
        <v>2363</v>
      </c>
      <c r="E1569" s="40" t="s">
        <v>2929</v>
      </c>
      <c r="F1569" s="40" t="s">
        <v>4715</v>
      </c>
      <c r="G1569" s="50"/>
      <c r="H1569" s="150" t="s">
        <v>5608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3086</v>
      </c>
      <c r="W1569" s="39">
        <v>107</v>
      </c>
      <c r="X1569" s="40"/>
      <c r="Y1569" s="40"/>
      <c r="Z1569" s="40" t="s">
        <v>2939</v>
      </c>
      <c r="AA1569" s="40"/>
      <c r="AB1569" s="40"/>
      <c r="AC1569" s="40"/>
      <c r="AD1569" s="40" t="s">
        <v>2898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2369</v>
      </c>
      <c r="C1570" s="83">
        <v>1633</v>
      </c>
      <c r="D1570" s="113" t="s">
        <v>2363</v>
      </c>
      <c r="E1570" s="83" t="s">
        <v>2929</v>
      </c>
      <c r="F1570" s="83" t="s">
        <v>4716</v>
      </c>
      <c r="G1570" s="138" t="s">
        <v>5604</v>
      </c>
      <c r="H1570" s="340" t="s">
        <v>5608</v>
      </c>
      <c r="I1570" s="138" t="s">
        <v>5609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306</v>
      </c>
      <c r="U1570" s="85" t="s">
        <v>3</v>
      </c>
      <c r="V1570" s="86" t="s">
        <v>3086</v>
      </c>
      <c r="W1570" s="86">
        <v>111</v>
      </c>
      <c r="X1570" s="83"/>
      <c r="Y1570" s="83"/>
      <c r="Z1570" s="83" t="s">
        <v>2939</v>
      </c>
      <c r="AA1570" s="83"/>
      <c r="AB1570" s="83"/>
      <c r="AC1570" s="83"/>
      <c r="AD1570" s="83" t="s">
        <v>2898</v>
      </c>
      <c r="AE1570" s="83"/>
      <c r="AF1570" s="83"/>
      <c r="AG1570" s="83"/>
      <c r="AH1570" s="83" t="s">
        <v>2898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2417</v>
      </c>
      <c r="C1571" s="19">
        <v>511</v>
      </c>
      <c r="D1571" s="17" t="s">
        <v>2416</v>
      </c>
      <c r="E1571" s="19" t="s">
        <v>2963</v>
      </c>
      <c r="F1571" s="19" t="s">
        <v>4717</v>
      </c>
      <c r="G1571" s="255" t="s">
        <v>5604</v>
      </c>
      <c r="H1571" s="434" t="s">
        <v>5608</v>
      </c>
      <c r="I1571" s="255" t="s">
        <v>5609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306</v>
      </c>
      <c r="U1571" s="20" t="s">
        <v>3</v>
      </c>
      <c r="V1571" s="222" t="s">
        <v>3086</v>
      </c>
      <c r="W1571" s="222">
        <v>109</v>
      </c>
      <c r="X1571" s="19"/>
      <c r="Y1571" s="19"/>
      <c r="Z1571" s="19"/>
      <c r="AA1571" s="19" t="s">
        <v>2939</v>
      </c>
      <c r="AB1571" s="19"/>
      <c r="AC1571" s="19"/>
      <c r="AD1571" s="19"/>
      <c r="AE1571" s="19"/>
      <c r="AF1571" s="19" t="s">
        <v>2898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2485</v>
      </c>
      <c r="C1572" s="29">
        <v>2019</v>
      </c>
      <c r="D1572" s="27" t="s">
        <v>3092</v>
      </c>
      <c r="E1572" s="29" t="s">
        <v>2963</v>
      </c>
      <c r="F1572" s="29" t="s">
        <v>4718</v>
      </c>
      <c r="G1572" s="192" t="s">
        <v>5604</v>
      </c>
      <c r="H1572" s="145" t="s">
        <v>5608</v>
      </c>
      <c r="I1572" s="192" t="s">
        <v>5609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306</v>
      </c>
      <c r="U1572" s="30" t="s">
        <v>3</v>
      </c>
      <c r="V1572" s="28" t="s">
        <v>3086</v>
      </c>
      <c r="W1572" s="28">
        <v>109</v>
      </c>
      <c r="X1572" s="29"/>
      <c r="Y1572" s="102"/>
      <c r="Z1572" s="29"/>
      <c r="AA1572" s="29"/>
      <c r="AB1572" s="29"/>
      <c r="AC1572" s="29" t="s">
        <v>2939</v>
      </c>
      <c r="AD1572" s="29"/>
      <c r="AE1572" s="29"/>
      <c r="AF1572" s="359" t="s">
        <v>2978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2482</v>
      </c>
      <c r="C1573" s="83">
        <v>2020</v>
      </c>
      <c r="D1573" s="113" t="s">
        <v>3092</v>
      </c>
      <c r="E1573" s="83" t="s">
        <v>2963</v>
      </c>
      <c r="F1573" s="83" t="s">
        <v>4719</v>
      </c>
      <c r="G1573" s="138" t="s">
        <v>5604</v>
      </c>
      <c r="H1573" s="340" t="s">
        <v>5608</v>
      </c>
      <c r="I1573" s="138" t="s">
        <v>5609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306</v>
      </c>
      <c r="U1573" s="85" t="s">
        <v>3</v>
      </c>
      <c r="V1573" s="86" t="s">
        <v>3086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2978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2515</v>
      </c>
      <c r="C1574" s="19">
        <v>2000</v>
      </c>
      <c r="D1574" s="17" t="s">
        <v>2512</v>
      </c>
      <c r="E1574" s="19" t="s">
        <v>2963</v>
      </c>
      <c r="F1574" s="19" t="s">
        <v>4720</v>
      </c>
      <c r="G1574" s="255" t="s">
        <v>5604</v>
      </c>
      <c r="H1574" s="434" t="s">
        <v>5608</v>
      </c>
      <c r="I1574" s="255" t="s">
        <v>5609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306</v>
      </c>
      <c r="U1574" s="20" t="s">
        <v>3</v>
      </c>
      <c r="V1574" s="222" t="s">
        <v>3086</v>
      </c>
      <c r="W1574" s="222">
        <v>109</v>
      </c>
      <c r="X1574" s="19"/>
      <c r="Y1574" s="19"/>
      <c r="Z1574" s="19" t="s">
        <v>2943</v>
      </c>
      <c r="AA1574" s="19"/>
      <c r="AB1574" s="19"/>
      <c r="AC1574" s="19"/>
      <c r="AD1574" s="19"/>
      <c r="AE1574" s="19"/>
      <c r="AF1574" s="19" t="s">
        <v>2898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2527</v>
      </c>
      <c r="C1575" s="205">
        <v>1557</v>
      </c>
      <c r="D1575" s="203" t="s">
        <v>2526</v>
      </c>
      <c r="E1575" s="205" t="s">
        <v>2929</v>
      </c>
      <c r="F1575" s="205" t="s">
        <v>4721</v>
      </c>
      <c r="G1575" s="273"/>
      <c r="H1575" s="453" t="s">
        <v>5608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306</v>
      </c>
      <c r="U1575" s="206" t="s">
        <v>3</v>
      </c>
      <c r="V1575" s="208" t="s">
        <v>3086</v>
      </c>
      <c r="W1575" s="208">
        <v>112</v>
      </c>
      <c r="X1575" s="205"/>
      <c r="Y1575" s="211"/>
      <c r="Z1575" s="205"/>
      <c r="AA1575" s="205"/>
      <c r="AB1575" s="205"/>
      <c r="AC1575" s="205" t="s">
        <v>2898</v>
      </c>
      <c r="AD1575" s="205"/>
      <c r="AE1575" s="205"/>
      <c r="AF1575" s="205"/>
      <c r="AG1575" s="205"/>
      <c r="AH1575" s="205"/>
      <c r="AI1575" s="205" t="s">
        <v>2959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2529</v>
      </c>
      <c r="C1576" s="29">
        <v>2426</v>
      </c>
      <c r="D1576" s="27" t="s">
        <v>2528</v>
      </c>
      <c r="E1576" s="29" t="s">
        <v>2929</v>
      </c>
      <c r="F1576" s="29" t="s">
        <v>4722</v>
      </c>
      <c r="G1576" s="192" t="s">
        <v>5604</v>
      </c>
      <c r="H1576" s="145" t="s">
        <v>5608</v>
      </c>
      <c r="I1576" s="192" t="s">
        <v>5609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306</v>
      </c>
      <c r="U1576" s="30" t="s">
        <v>3</v>
      </c>
      <c r="V1576" s="28" t="s">
        <v>3086</v>
      </c>
      <c r="W1576" s="28">
        <v>110</v>
      </c>
      <c r="X1576" s="27"/>
      <c r="Y1576" s="27"/>
      <c r="Z1576" s="29"/>
      <c r="AA1576" s="29"/>
      <c r="AB1576" s="27" t="s">
        <v>2939</v>
      </c>
      <c r="AC1576" s="27"/>
      <c r="AD1576" s="27"/>
      <c r="AE1576" s="27"/>
      <c r="AF1576" s="29"/>
      <c r="AG1576" s="29" t="s">
        <v>2898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2530</v>
      </c>
      <c r="C1577" s="58">
        <v>2443</v>
      </c>
      <c r="D1577" s="58" t="s">
        <v>2528</v>
      </c>
      <c r="E1577" s="58" t="s">
        <v>2929</v>
      </c>
      <c r="F1577" s="58" t="s">
        <v>4723</v>
      </c>
      <c r="G1577" s="127" t="s">
        <v>5604</v>
      </c>
      <c r="H1577" s="226" t="s">
        <v>5608</v>
      </c>
      <c r="I1577" s="127" t="s">
        <v>5609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306</v>
      </c>
      <c r="U1577" s="59" t="s">
        <v>3</v>
      </c>
      <c r="V1577" s="57" t="s">
        <v>3086</v>
      </c>
      <c r="W1577" s="57">
        <v>110</v>
      </c>
      <c r="X1577" s="56"/>
      <c r="Y1577" s="56"/>
      <c r="Z1577" s="58"/>
      <c r="AA1577" s="58"/>
      <c r="AB1577" s="56" t="s">
        <v>2939</v>
      </c>
      <c r="AC1577" s="56"/>
      <c r="AD1577" s="56"/>
      <c r="AE1577" s="56"/>
      <c r="AF1577" s="58"/>
      <c r="AG1577" s="58" t="s">
        <v>2898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2532</v>
      </c>
      <c r="C1578" s="19">
        <v>1564</v>
      </c>
      <c r="D1578" s="17" t="s">
        <v>2531</v>
      </c>
      <c r="E1578" s="315" t="s">
        <v>2929</v>
      </c>
      <c r="F1578" s="315" t="s">
        <v>4724</v>
      </c>
      <c r="G1578" s="255" t="s">
        <v>5604</v>
      </c>
      <c r="H1578" s="434" t="s">
        <v>5608</v>
      </c>
      <c r="I1578" s="255" t="s">
        <v>5609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306</v>
      </c>
      <c r="U1578" s="20" t="s">
        <v>3</v>
      </c>
      <c r="V1578" s="222" t="s">
        <v>3086</v>
      </c>
      <c r="W1578" s="222">
        <v>111</v>
      </c>
      <c r="X1578" s="19"/>
      <c r="Y1578" s="19"/>
      <c r="Z1578" s="19"/>
      <c r="AA1578" s="19"/>
      <c r="AB1578" s="19" t="s">
        <v>2939</v>
      </c>
      <c r="AC1578" s="19"/>
      <c r="AD1578" s="19" t="s">
        <v>2898</v>
      </c>
      <c r="AE1578" s="19"/>
      <c r="AF1578" s="19"/>
      <c r="AG1578" s="19"/>
      <c r="AH1578" s="19" t="s">
        <v>2898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2587</v>
      </c>
      <c r="C1579" s="19">
        <v>214</v>
      </c>
      <c r="D1579" s="17" t="s">
        <v>2586</v>
      </c>
      <c r="E1579" s="19" t="s">
        <v>2963</v>
      </c>
      <c r="F1579" s="19" t="s">
        <v>4725</v>
      </c>
      <c r="G1579" s="255" t="s">
        <v>5604</v>
      </c>
      <c r="H1579" s="434" t="s">
        <v>5608</v>
      </c>
      <c r="I1579" s="255" t="s">
        <v>5609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306</v>
      </c>
      <c r="U1579" s="20" t="s">
        <v>3</v>
      </c>
      <c r="V1579" s="222" t="s">
        <v>3086</v>
      </c>
      <c r="W1579" s="222">
        <v>109</v>
      </c>
      <c r="X1579" s="19"/>
      <c r="Y1579" s="19" t="s">
        <v>2939</v>
      </c>
      <c r="Z1579" s="19"/>
      <c r="AA1579" s="19"/>
      <c r="AB1579" s="19"/>
      <c r="AC1579" s="19" t="s">
        <v>2898</v>
      </c>
      <c r="AD1579" s="19"/>
      <c r="AE1579" s="19"/>
      <c r="AF1579" s="19" t="s">
        <v>2898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2620</v>
      </c>
      <c r="C1580" s="19">
        <v>1563</v>
      </c>
      <c r="D1580" s="17" t="s">
        <v>2619</v>
      </c>
      <c r="E1580" s="315" t="s">
        <v>2929</v>
      </c>
      <c r="F1580" s="315" t="s">
        <v>4726</v>
      </c>
      <c r="G1580" s="255" t="s">
        <v>5604</v>
      </c>
      <c r="H1580" s="434" t="s">
        <v>5608</v>
      </c>
      <c r="I1580" s="255" t="s">
        <v>5609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306</v>
      </c>
      <c r="U1580" s="20" t="s">
        <v>3</v>
      </c>
      <c r="V1580" s="222" t="s">
        <v>3086</v>
      </c>
      <c r="W1580" s="222">
        <v>111</v>
      </c>
      <c r="X1580" s="19"/>
      <c r="Y1580" s="19"/>
      <c r="Z1580" s="19"/>
      <c r="AA1580" s="19"/>
      <c r="AB1580" s="19" t="s">
        <v>2939</v>
      </c>
      <c r="AC1580" s="19"/>
      <c r="AD1580" s="19" t="s">
        <v>2898</v>
      </c>
      <c r="AE1580" s="19"/>
      <c r="AF1580" s="19"/>
      <c r="AG1580" s="19"/>
      <c r="AH1580" s="19" t="s">
        <v>2898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2629</v>
      </c>
      <c r="C1581" s="29">
        <v>1654</v>
      </c>
      <c r="D1581" s="27" t="s">
        <v>2627</v>
      </c>
      <c r="E1581" s="217" t="s">
        <v>2929</v>
      </c>
      <c r="F1581" s="217" t="s">
        <v>4727</v>
      </c>
      <c r="G1581" s="192" t="s">
        <v>5604</v>
      </c>
      <c r="H1581" s="145" t="s">
        <v>5608</v>
      </c>
      <c r="I1581" s="192" t="s">
        <v>5609</v>
      </c>
      <c r="J1581" s="33">
        <v>196463</v>
      </c>
      <c r="K1581" s="33">
        <v>2666305</v>
      </c>
      <c r="L1581" s="33" t="s">
        <v>2630</v>
      </c>
      <c r="M1581" s="33">
        <v>14.4</v>
      </c>
      <c r="N1581" s="33">
        <v>195</v>
      </c>
      <c r="O1581" s="33">
        <v>137</v>
      </c>
      <c r="P1581" s="33" t="s">
        <v>1806</v>
      </c>
      <c r="Q1581" s="33">
        <v>40.4</v>
      </c>
      <c r="R1581" s="33">
        <v>373</v>
      </c>
      <c r="S1581" s="33">
        <v>193</v>
      </c>
      <c r="T1581" s="30" t="s">
        <v>306</v>
      </c>
      <c r="U1581" s="30" t="s">
        <v>3</v>
      </c>
      <c r="V1581" s="28" t="s">
        <v>3086</v>
      </c>
      <c r="W1581" s="28">
        <v>111</v>
      </c>
      <c r="X1581" s="29"/>
      <c r="Y1581" s="29"/>
      <c r="Z1581" s="29"/>
      <c r="AA1581" s="29"/>
      <c r="AB1581" s="29" t="s">
        <v>2939</v>
      </c>
      <c r="AC1581" s="29"/>
      <c r="AD1581" s="29" t="s">
        <v>2898</v>
      </c>
      <c r="AE1581" s="29"/>
      <c r="AF1581" s="29"/>
      <c r="AG1581" s="29"/>
      <c r="AH1581" s="29" t="s">
        <v>2898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2632</v>
      </c>
      <c r="C1582" s="83">
        <v>2475</v>
      </c>
      <c r="D1582" s="113" t="s">
        <v>2627</v>
      </c>
      <c r="E1582" s="218" t="s">
        <v>2929</v>
      </c>
      <c r="F1582" s="218" t="s">
        <v>4728</v>
      </c>
      <c r="G1582" s="138"/>
      <c r="H1582" s="340" t="s">
        <v>5608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102</v>
      </c>
      <c r="Q1582" s="88">
        <v>25.4</v>
      </c>
      <c r="R1582" s="88">
        <v>208</v>
      </c>
      <c r="S1582" s="88">
        <v>106</v>
      </c>
      <c r="T1582" s="85" t="s">
        <v>306</v>
      </c>
      <c r="U1582" s="85" t="str">
        <f>U1581</f>
        <v>正常</v>
      </c>
      <c r="V1582" s="86" t="s">
        <v>3086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2898</v>
      </c>
      <c r="AE1582" s="83"/>
      <c r="AF1582" s="83"/>
      <c r="AG1582" s="83"/>
      <c r="AH1582" s="83" t="s">
        <v>2898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2686</v>
      </c>
      <c r="C1583" s="40">
        <v>1197</v>
      </c>
      <c r="D1583" s="38" t="s">
        <v>2685</v>
      </c>
      <c r="E1583" s="40" t="s">
        <v>2963</v>
      </c>
      <c r="F1583" s="40" t="s">
        <v>4729</v>
      </c>
      <c r="G1583" s="50" t="s">
        <v>5604</v>
      </c>
      <c r="H1583" s="150" t="s">
        <v>5608</v>
      </c>
      <c r="I1583" s="50" t="s">
        <v>5609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306</v>
      </c>
      <c r="U1583" s="2" t="s">
        <v>3</v>
      </c>
      <c r="V1583" s="39" t="s">
        <v>3086</v>
      </c>
      <c r="W1583" s="39">
        <v>109</v>
      </c>
      <c r="X1583" s="40"/>
      <c r="Y1583" s="106"/>
      <c r="Z1583" s="40"/>
      <c r="AA1583" s="40"/>
      <c r="AB1583" s="40" t="s">
        <v>2939</v>
      </c>
      <c r="AC1583" s="40"/>
      <c r="AD1583" s="40"/>
      <c r="AE1583" s="40"/>
      <c r="AF1583" s="40" t="s">
        <v>2898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2687</v>
      </c>
      <c r="C1584" s="83">
        <v>1203</v>
      </c>
      <c r="D1584" s="113" t="s">
        <v>2685</v>
      </c>
      <c r="E1584" s="83" t="s">
        <v>2963</v>
      </c>
      <c r="F1584" s="83" t="s">
        <v>4730</v>
      </c>
      <c r="G1584" s="138" t="s">
        <v>5604</v>
      </c>
      <c r="H1584" s="340" t="s">
        <v>5608</v>
      </c>
      <c r="I1584" s="138" t="s">
        <v>5609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306</v>
      </c>
      <c r="U1584" s="85" t="s">
        <v>3</v>
      </c>
      <c r="V1584" s="86" t="s">
        <v>3086</v>
      </c>
      <c r="W1584" s="86">
        <v>109</v>
      </c>
      <c r="X1584" s="83"/>
      <c r="Y1584" s="137"/>
      <c r="Z1584" s="83"/>
      <c r="AA1584" s="83"/>
      <c r="AB1584" s="83"/>
      <c r="AC1584" s="83" t="s">
        <v>2898</v>
      </c>
      <c r="AD1584" s="83"/>
      <c r="AE1584" s="83"/>
      <c r="AF1584" s="83" t="s">
        <v>2898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2695</v>
      </c>
      <c r="C1585" s="19">
        <v>184</v>
      </c>
      <c r="D1585" s="17" t="s">
        <v>2678</v>
      </c>
      <c r="E1585" s="19" t="s">
        <v>2963</v>
      </c>
      <c r="F1585" s="19" t="s">
        <v>4731</v>
      </c>
      <c r="G1585" s="255" t="s">
        <v>5604</v>
      </c>
      <c r="H1585" s="434" t="s">
        <v>5608</v>
      </c>
      <c r="I1585" s="255" t="s">
        <v>5609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306</v>
      </c>
      <c r="U1585" s="20" t="s">
        <v>3</v>
      </c>
      <c r="V1585" s="222" t="s">
        <v>3086</v>
      </c>
      <c r="W1585" s="222">
        <v>109</v>
      </c>
      <c r="X1585" s="19"/>
      <c r="Y1585" s="130"/>
      <c r="Z1585" s="19"/>
      <c r="AA1585" s="19"/>
      <c r="AB1585" s="19"/>
      <c r="AC1585" s="19" t="s">
        <v>2898</v>
      </c>
      <c r="AD1585" s="19"/>
      <c r="AE1585" s="19"/>
      <c r="AF1585" s="19" t="s">
        <v>2898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2731</v>
      </c>
      <c r="C1586" s="19">
        <v>651</v>
      </c>
      <c r="D1586" s="17" t="s">
        <v>2730</v>
      </c>
      <c r="E1586" s="315" t="s">
        <v>2929</v>
      </c>
      <c r="F1586" s="315" t="s">
        <v>4732</v>
      </c>
      <c r="G1586" s="255" t="s">
        <v>5604</v>
      </c>
      <c r="H1586" s="434" t="s">
        <v>5608</v>
      </c>
      <c r="I1586" s="255" t="s">
        <v>5609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306</v>
      </c>
      <c r="U1586" s="20" t="s">
        <v>3</v>
      </c>
      <c r="V1586" s="222" t="s">
        <v>3086</v>
      </c>
      <c r="W1586" s="222">
        <v>111</v>
      </c>
      <c r="X1586" s="19"/>
      <c r="Y1586" s="19"/>
      <c r="Z1586" s="19"/>
      <c r="AA1586" s="19"/>
      <c r="AB1586" s="19" t="s">
        <v>2939</v>
      </c>
      <c r="AC1586" s="19"/>
      <c r="AD1586" s="19"/>
      <c r="AE1586" s="19" t="s">
        <v>2898</v>
      </c>
      <c r="AF1586" s="19"/>
      <c r="AG1586" s="19"/>
      <c r="AH1586" s="19" t="s">
        <v>2898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2742</v>
      </c>
      <c r="C1587" s="29">
        <v>153</v>
      </c>
      <c r="D1587" s="27" t="s">
        <v>2740</v>
      </c>
      <c r="E1587" s="29" t="s">
        <v>2963</v>
      </c>
      <c r="F1587" s="29" t="s">
        <v>4733</v>
      </c>
      <c r="G1587" s="192"/>
      <c r="H1587" s="145" t="s">
        <v>5608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37</v>
      </c>
      <c r="Q1587" s="33">
        <v>26.7</v>
      </c>
      <c r="R1587" s="33">
        <v>329</v>
      </c>
      <c r="S1587" s="33">
        <v>112</v>
      </c>
      <c r="T1587" s="30" t="s">
        <v>306</v>
      </c>
      <c r="U1587" s="30" t="s">
        <v>3</v>
      </c>
      <c r="V1587" s="28" t="s">
        <v>3086</v>
      </c>
      <c r="W1587" s="28">
        <v>112</v>
      </c>
      <c r="X1587" s="29"/>
      <c r="Y1587" s="29"/>
      <c r="Z1587" s="29" t="s">
        <v>2939</v>
      </c>
      <c r="AA1587" s="29"/>
      <c r="AB1587" s="29"/>
      <c r="AC1587" s="29" t="s">
        <v>2898</v>
      </c>
      <c r="AD1587" s="29"/>
      <c r="AE1587" s="29"/>
      <c r="AF1587" s="29"/>
      <c r="AG1587" s="29"/>
      <c r="AH1587" s="29"/>
      <c r="AI1587" s="29" t="s">
        <v>2959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2745</v>
      </c>
      <c r="C1588" s="83">
        <v>176</v>
      </c>
      <c r="D1588" s="113" t="s">
        <v>2740</v>
      </c>
      <c r="E1588" s="83" t="s">
        <v>2963</v>
      </c>
      <c r="F1588" s="83" t="s">
        <v>4734</v>
      </c>
      <c r="G1588" s="138"/>
      <c r="H1588" s="340" t="s">
        <v>5608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66</v>
      </c>
      <c r="Q1588" s="88">
        <v>24</v>
      </c>
      <c r="R1588" s="88">
        <v>307</v>
      </c>
      <c r="S1588" s="88">
        <v>144</v>
      </c>
      <c r="T1588" s="85" t="s">
        <v>306</v>
      </c>
      <c r="U1588" s="85" t="s">
        <v>3</v>
      </c>
      <c r="V1588" s="86" t="s">
        <v>3086</v>
      </c>
      <c r="W1588" s="86">
        <v>112</v>
      </c>
      <c r="X1588" s="83"/>
      <c r="Y1588" s="83"/>
      <c r="Z1588" s="83" t="s">
        <v>2939</v>
      </c>
      <c r="AA1588" s="83"/>
      <c r="AB1588" s="83"/>
      <c r="AC1588" s="83" t="s">
        <v>2898</v>
      </c>
      <c r="AD1588" s="83"/>
      <c r="AE1588" s="83"/>
      <c r="AF1588" s="83"/>
      <c r="AG1588" s="83"/>
      <c r="AH1588" s="83"/>
      <c r="AI1588" s="83" t="s">
        <v>2959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2772</v>
      </c>
      <c r="C1589" s="19">
        <v>1207</v>
      </c>
      <c r="D1589" s="17" t="s">
        <v>2770</v>
      </c>
      <c r="E1589" s="19" t="s">
        <v>2963</v>
      </c>
      <c r="F1589" s="19" t="s">
        <v>4735</v>
      </c>
      <c r="G1589" s="255" t="s">
        <v>5604</v>
      </c>
      <c r="H1589" s="434" t="s">
        <v>5608</v>
      </c>
      <c r="I1589" s="255" t="s">
        <v>5609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306</v>
      </c>
      <c r="U1589" s="20" t="s">
        <v>3</v>
      </c>
      <c r="V1589" s="222" t="s">
        <v>3086</v>
      </c>
      <c r="W1589" s="222">
        <v>109</v>
      </c>
      <c r="X1589" s="19"/>
      <c r="Y1589" s="19"/>
      <c r="Z1589" s="19" t="s">
        <v>2943</v>
      </c>
      <c r="AA1589" s="19"/>
      <c r="AB1589" s="19"/>
      <c r="AC1589" s="19" t="s">
        <v>2898</v>
      </c>
      <c r="AD1589" s="19"/>
      <c r="AE1589" s="19"/>
      <c r="AF1589" s="19" t="s">
        <v>2939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2797</v>
      </c>
      <c r="C1590" s="19">
        <v>652</v>
      </c>
      <c r="D1590" s="17" t="s">
        <v>2796</v>
      </c>
      <c r="E1590" s="315" t="s">
        <v>2929</v>
      </c>
      <c r="F1590" s="315" t="s">
        <v>4736</v>
      </c>
      <c r="G1590" s="255" t="s">
        <v>5604</v>
      </c>
      <c r="H1590" s="434" t="s">
        <v>5608</v>
      </c>
      <c r="I1590" s="255" t="s">
        <v>5609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306</v>
      </c>
      <c r="U1590" s="20" t="s">
        <v>3</v>
      </c>
      <c r="V1590" s="222" t="s">
        <v>3086</v>
      </c>
      <c r="W1590" s="222">
        <v>111</v>
      </c>
      <c r="X1590" s="19"/>
      <c r="Y1590" s="19"/>
      <c r="Z1590" s="19"/>
      <c r="AA1590" s="19"/>
      <c r="AB1590" s="19" t="s">
        <v>2939</v>
      </c>
      <c r="AC1590" s="19"/>
      <c r="AD1590" s="19"/>
      <c r="AE1590" s="19" t="s">
        <v>2898</v>
      </c>
      <c r="AF1590" s="19"/>
      <c r="AG1590" s="19"/>
      <c r="AH1590" s="19" t="s">
        <v>2898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2811</v>
      </c>
      <c r="C1591" s="29">
        <v>1430</v>
      </c>
      <c r="D1591" s="27" t="s">
        <v>2810</v>
      </c>
      <c r="E1591" s="29" t="s">
        <v>2929</v>
      </c>
      <c r="F1591" s="29" t="s">
        <v>4737</v>
      </c>
      <c r="G1591" s="192" t="s">
        <v>5604</v>
      </c>
      <c r="H1591" s="145" t="s">
        <v>5608</v>
      </c>
      <c r="I1591" s="192" t="s">
        <v>5609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306</v>
      </c>
      <c r="U1591" s="30" t="s">
        <v>3</v>
      </c>
      <c r="V1591" s="28" t="s">
        <v>3086</v>
      </c>
      <c r="W1591" s="28">
        <v>110</v>
      </c>
      <c r="X1591" s="29"/>
      <c r="Y1591" s="102"/>
      <c r="Z1591" s="29"/>
      <c r="AA1591" s="29" t="s">
        <v>2939</v>
      </c>
      <c r="AB1591" s="29"/>
      <c r="AC1591" s="29"/>
      <c r="AD1591" s="29"/>
      <c r="AE1591" s="29"/>
      <c r="AF1591" s="29" t="s">
        <v>2939</v>
      </c>
      <c r="AG1591" s="29" t="s">
        <v>2898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2815</v>
      </c>
      <c r="C1592" s="83">
        <v>1433</v>
      </c>
      <c r="D1592" s="113" t="s">
        <v>2810</v>
      </c>
      <c r="E1592" s="83" t="s">
        <v>2929</v>
      </c>
      <c r="F1592" s="83" t="s">
        <v>4738</v>
      </c>
      <c r="G1592" s="138" t="s">
        <v>5604</v>
      </c>
      <c r="H1592" s="340" t="s">
        <v>5608</v>
      </c>
      <c r="I1592" s="138" t="s">
        <v>5609</v>
      </c>
      <c r="J1592" s="88">
        <v>196680</v>
      </c>
      <c r="K1592" s="88">
        <v>2666870</v>
      </c>
      <c r="L1592" s="88" t="s">
        <v>40</v>
      </c>
      <c r="M1592" s="89">
        <v>13</v>
      </c>
      <c r="N1592" s="88">
        <v>167</v>
      </c>
      <c r="O1592" s="88">
        <v>207</v>
      </c>
      <c r="P1592" s="88" t="s">
        <v>41</v>
      </c>
      <c r="Q1592" s="88">
        <v>32</v>
      </c>
      <c r="R1592" s="88">
        <v>397</v>
      </c>
      <c r="S1592" s="88">
        <v>220</v>
      </c>
      <c r="T1592" s="112" t="s">
        <v>708</v>
      </c>
      <c r="U1592" s="85" t="s">
        <v>56</v>
      </c>
      <c r="V1592" s="86" t="s">
        <v>3086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2943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2873</v>
      </c>
      <c r="C1593" s="19">
        <v>650</v>
      </c>
      <c r="D1593" s="17" t="s">
        <v>2872</v>
      </c>
      <c r="E1593" s="315" t="s">
        <v>2929</v>
      </c>
      <c r="F1593" s="315" t="s">
        <v>4739</v>
      </c>
      <c r="G1593" s="255" t="s">
        <v>5604</v>
      </c>
      <c r="H1593" s="434" t="s">
        <v>5608</v>
      </c>
      <c r="I1593" s="255" t="s">
        <v>5609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278</v>
      </c>
      <c r="Q1593" s="23">
        <v>35.200000000000003</v>
      </c>
      <c r="R1593" s="23">
        <v>352</v>
      </c>
      <c r="S1593" s="23">
        <v>170</v>
      </c>
      <c r="T1593" s="20" t="s">
        <v>306</v>
      </c>
      <c r="U1593" s="20" t="s">
        <v>3</v>
      </c>
      <c r="V1593" s="222" t="s">
        <v>3086</v>
      </c>
      <c r="W1593" s="222">
        <v>111</v>
      </c>
      <c r="X1593" s="19"/>
      <c r="Y1593" s="19"/>
      <c r="Z1593" s="19"/>
      <c r="AA1593" s="19"/>
      <c r="AB1593" s="19" t="s">
        <v>2939</v>
      </c>
      <c r="AC1593" s="19"/>
      <c r="AD1593" s="19"/>
      <c r="AE1593" s="19" t="s">
        <v>2898</v>
      </c>
      <c r="AF1593" s="19"/>
      <c r="AG1593" s="19"/>
      <c r="AH1593" s="19" t="s">
        <v>2898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293</v>
      </c>
      <c r="C1594" s="29">
        <v>1449</v>
      </c>
      <c r="D1594" s="27" t="s">
        <v>290</v>
      </c>
      <c r="E1594" s="29" t="s">
        <v>3042</v>
      </c>
      <c r="F1594" s="29" t="s">
        <v>4740</v>
      </c>
      <c r="G1594" s="27"/>
      <c r="H1594" s="145" t="s">
        <v>5608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3086</v>
      </c>
      <c r="W1594" s="27">
        <v>111</v>
      </c>
      <c r="X1594" s="29"/>
      <c r="Y1594" s="29"/>
      <c r="Z1594" s="29"/>
      <c r="AA1594" s="29"/>
      <c r="AB1594" s="29"/>
      <c r="AC1594" s="29" t="s">
        <v>2939</v>
      </c>
      <c r="AD1594" s="29"/>
      <c r="AE1594" s="29" t="s">
        <v>2939</v>
      </c>
      <c r="AF1594" s="29"/>
      <c r="AG1594" s="29"/>
      <c r="AH1594" s="29" t="s">
        <v>2898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290</v>
      </c>
      <c r="E1595" s="40" t="s">
        <v>3042</v>
      </c>
      <c r="F1595" s="40" t="s">
        <v>4741</v>
      </c>
      <c r="G1595" s="38"/>
      <c r="H1595" s="150" t="s">
        <v>5608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102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3086</v>
      </c>
      <c r="W1595" s="38">
        <v>111</v>
      </c>
      <c r="X1595" s="40"/>
      <c r="Y1595" s="40"/>
      <c r="Z1595" s="40"/>
      <c r="AA1595" s="40"/>
      <c r="AB1595" s="40"/>
      <c r="AC1595" s="40" t="s">
        <v>2939</v>
      </c>
      <c r="AD1595" s="40"/>
      <c r="AE1595" s="40" t="s">
        <v>2939</v>
      </c>
      <c r="AF1595" s="40"/>
      <c r="AG1595" s="40"/>
      <c r="AH1595" s="40" t="s">
        <v>2898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296</v>
      </c>
      <c r="C1596" s="40">
        <v>1436</v>
      </c>
      <c r="D1596" s="38" t="s">
        <v>290</v>
      </c>
      <c r="E1596" s="40" t="s">
        <v>3042</v>
      </c>
      <c r="F1596" s="40" t="s">
        <v>4742</v>
      </c>
      <c r="G1596" s="41" t="s">
        <v>5604</v>
      </c>
      <c r="H1596" s="150" t="s">
        <v>5608</v>
      </c>
      <c r="I1596" s="41" t="s">
        <v>5609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306</v>
      </c>
      <c r="U1596" s="2" t="s">
        <v>3</v>
      </c>
      <c r="V1596" s="38" t="s">
        <v>3069</v>
      </c>
      <c r="W1596" s="38">
        <v>111</v>
      </c>
      <c r="X1596" s="40"/>
      <c r="Y1596" s="106"/>
      <c r="Z1596" s="40"/>
      <c r="AA1596" s="40"/>
      <c r="AB1596" s="40"/>
      <c r="AC1596" s="40" t="s">
        <v>2898</v>
      </c>
      <c r="AD1596" s="40"/>
      <c r="AE1596" s="40"/>
      <c r="AF1596" s="40"/>
      <c r="AG1596" s="40"/>
      <c r="AH1596" s="40" t="s">
        <v>2898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291</v>
      </c>
      <c r="C1597" s="40">
        <v>1437</v>
      </c>
      <c r="D1597" s="38" t="s">
        <v>290</v>
      </c>
      <c r="E1597" s="40" t="s">
        <v>3042</v>
      </c>
      <c r="F1597" s="40" t="s">
        <v>4743</v>
      </c>
      <c r="G1597" s="50"/>
      <c r="H1597" s="150" t="s">
        <v>5608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3069</v>
      </c>
      <c r="W1597" s="38">
        <v>106</v>
      </c>
      <c r="X1597" s="40"/>
      <c r="Y1597" s="106"/>
      <c r="Z1597" s="40"/>
      <c r="AA1597" s="40"/>
      <c r="AB1597" s="40"/>
      <c r="AC1597" s="40" t="s">
        <v>2939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292</v>
      </c>
      <c r="C1598" s="40">
        <v>1438</v>
      </c>
      <c r="D1598" s="38" t="s">
        <v>290</v>
      </c>
      <c r="E1598" s="40" t="s">
        <v>3042</v>
      </c>
      <c r="F1598" s="40" t="s">
        <v>4744</v>
      </c>
      <c r="G1598" s="50"/>
      <c r="H1598" s="150" t="s">
        <v>5608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3069</v>
      </c>
      <c r="W1598" s="38">
        <v>106</v>
      </c>
      <c r="X1598" s="40"/>
      <c r="Y1598" s="106"/>
      <c r="Z1598" s="40"/>
      <c r="AA1598" s="40"/>
      <c r="AB1598" s="40"/>
      <c r="AC1598" s="40" t="s">
        <v>2939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294</v>
      </c>
      <c r="C1599" s="40">
        <v>1434</v>
      </c>
      <c r="D1599" s="38" t="s">
        <v>290</v>
      </c>
      <c r="E1599" s="40" t="s">
        <v>3042</v>
      </c>
      <c r="F1599" s="40" t="s">
        <v>4745</v>
      </c>
      <c r="G1599" s="50"/>
      <c r="H1599" s="150" t="s">
        <v>5608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3069</v>
      </c>
      <c r="W1599" s="38">
        <v>106</v>
      </c>
      <c r="X1599" s="40"/>
      <c r="Y1599" s="106"/>
      <c r="Z1599" s="40"/>
      <c r="AA1599" s="40"/>
      <c r="AB1599" s="40"/>
      <c r="AC1599" s="40" t="s">
        <v>2898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297</v>
      </c>
      <c r="C1600" s="40">
        <v>2465</v>
      </c>
      <c r="D1600" s="38" t="s">
        <v>290</v>
      </c>
      <c r="E1600" s="40" t="s">
        <v>3042</v>
      </c>
      <c r="F1600" s="40" t="s">
        <v>4746</v>
      </c>
      <c r="G1600" s="245" t="s">
        <v>2978</v>
      </c>
      <c r="H1600" s="150" t="s">
        <v>5608</v>
      </c>
      <c r="I1600" s="245" t="s">
        <v>2978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1193</v>
      </c>
      <c r="U1600" s="2" t="str">
        <f>U1601</f>
        <v>正常</v>
      </c>
      <c r="V1600" s="38" t="s">
        <v>3069</v>
      </c>
      <c r="W1600" s="38">
        <v>111</v>
      </c>
      <c r="X1600" s="40"/>
      <c r="Y1600" s="106"/>
      <c r="Z1600" s="40"/>
      <c r="AA1600" s="40"/>
      <c r="AB1600" s="40"/>
      <c r="AC1600" s="40" t="s">
        <v>2898</v>
      </c>
      <c r="AD1600" s="40"/>
      <c r="AE1600" s="40"/>
      <c r="AF1600" s="40"/>
      <c r="AG1600" s="40"/>
      <c r="AH1600" s="40" t="s">
        <v>2898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295</v>
      </c>
      <c r="C1601" s="58">
        <v>1435</v>
      </c>
      <c r="D1601" s="56" t="s">
        <v>290</v>
      </c>
      <c r="E1601" s="58" t="s">
        <v>3042</v>
      </c>
      <c r="F1601" s="58" t="s">
        <v>4747</v>
      </c>
      <c r="G1601" s="263" t="s">
        <v>2978</v>
      </c>
      <c r="H1601" s="226" t="s">
        <v>5608</v>
      </c>
      <c r="I1601" s="263" t="s">
        <v>2978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1193</v>
      </c>
      <c r="U1601" s="59" t="s">
        <v>3</v>
      </c>
      <c r="V1601" s="56" t="s">
        <v>3069</v>
      </c>
      <c r="W1601" s="56">
        <v>111</v>
      </c>
      <c r="X1601" s="58"/>
      <c r="Y1601" s="109"/>
      <c r="Z1601" s="58"/>
      <c r="AA1601" s="58"/>
      <c r="AB1601" s="58"/>
      <c r="AC1601" s="58" t="s">
        <v>2898</v>
      </c>
      <c r="AD1601" s="58"/>
      <c r="AE1601" s="58"/>
      <c r="AF1601" s="58"/>
      <c r="AG1601" s="58"/>
      <c r="AH1601" s="58" t="s">
        <v>2898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776</v>
      </c>
      <c r="C1602" s="231">
        <v>830</v>
      </c>
      <c r="D1602" s="229" t="s">
        <v>775</v>
      </c>
      <c r="E1602" s="231" t="s">
        <v>2929</v>
      </c>
      <c r="F1602" s="231" t="s">
        <v>4748</v>
      </c>
      <c r="G1602" s="291" t="s">
        <v>5604</v>
      </c>
      <c r="H1602" s="435" t="s">
        <v>5608</v>
      </c>
      <c r="I1602" s="291" t="s">
        <v>5609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306</v>
      </c>
      <c r="U1602" s="232" t="s">
        <v>3</v>
      </c>
      <c r="V1602" s="229" t="s">
        <v>3069</v>
      </c>
      <c r="W1602" s="234">
        <v>109</v>
      </c>
      <c r="X1602" s="231"/>
      <c r="Y1602" s="231"/>
      <c r="Z1602" s="231"/>
      <c r="AA1602" s="231"/>
      <c r="AB1602" s="231"/>
      <c r="AC1602" s="231" t="s">
        <v>2939</v>
      </c>
      <c r="AD1602" s="231"/>
      <c r="AE1602" s="231"/>
      <c r="AF1602" s="231" t="s">
        <v>2898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1117</v>
      </c>
      <c r="C1603" s="29">
        <v>641</v>
      </c>
      <c r="D1603" s="27" t="s">
        <v>1116</v>
      </c>
      <c r="E1603" s="29" t="s">
        <v>2963</v>
      </c>
      <c r="F1603" s="29" t="s">
        <v>4749</v>
      </c>
      <c r="G1603" s="192"/>
      <c r="H1603" s="145" t="s">
        <v>5608</v>
      </c>
      <c r="I1603" s="192"/>
      <c r="J1603" s="33">
        <v>198491</v>
      </c>
      <c r="K1603" s="33">
        <v>2664018</v>
      </c>
      <c r="L1603" s="33" t="s">
        <v>1118</v>
      </c>
      <c r="M1603" s="33">
        <v>13.8</v>
      </c>
      <c r="N1603" s="33">
        <v>108</v>
      </c>
      <c r="O1603" s="33">
        <v>161</v>
      </c>
      <c r="P1603" s="33" t="s">
        <v>192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3069</v>
      </c>
      <c r="W1603" s="28">
        <v>108</v>
      </c>
      <c r="X1603" s="29"/>
      <c r="Y1603" s="29"/>
      <c r="Z1603" s="29"/>
      <c r="AA1603" s="29" t="s">
        <v>2939</v>
      </c>
      <c r="AB1603" s="29"/>
      <c r="AC1603" s="29"/>
      <c r="AD1603" s="29"/>
      <c r="AE1603" s="29" t="s">
        <v>2939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1120</v>
      </c>
      <c r="C1604" s="40">
        <v>642</v>
      </c>
      <c r="D1604" s="38" t="s">
        <v>1116</v>
      </c>
      <c r="E1604" s="40" t="s">
        <v>2963</v>
      </c>
      <c r="F1604" s="40" t="s">
        <v>4750</v>
      </c>
      <c r="G1604" s="41" t="s">
        <v>5604</v>
      </c>
      <c r="H1604" s="150" t="s">
        <v>5608</v>
      </c>
      <c r="I1604" s="41" t="s">
        <v>5609</v>
      </c>
      <c r="J1604" s="43">
        <v>198394</v>
      </c>
      <c r="K1604" s="43">
        <v>2664021</v>
      </c>
      <c r="L1604" s="43" t="s">
        <v>831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306</v>
      </c>
      <c r="U1604" s="2" t="s">
        <v>3</v>
      </c>
      <c r="V1604" s="38" t="s">
        <v>3069</v>
      </c>
      <c r="W1604" s="39">
        <v>109</v>
      </c>
      <c r="X1604" s="40"/>
      <c r="Y1604" s="106"/>
      <c r="Z1604" s="40" t="s">
        <v>2898</v>
      </c>
      <c r="AA1604" s="40"/>
      <c r="AB1604" s="40"/>
      <c r="AC1604" s="40"/>
      <c r="AD1604" s="40"/>
      <c r="AE1604" s="40"/>
      <c r="AF1604" s="40" t="s">
        <v>2898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1122</v>
      </c>
      <c r="C1605" s="40">
        <v>645</v>
      </c>
      <c r="D1605" s="38" t="s">
        <v>1116</v>
      </c>
      <c r="E1605" s="40" t="s">
        <v>2963</v>
      </c>
      <c r="F1605" s="40" t="s">
        <v>4751</v>
      </c>
      <c r="G1605" s="50"/>
      <c r="H1605" s="150" t="s">
        <v>5608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3069</v>
      </c>
      <c r="W1605" s="39">
        <v>106</v>
      </c>
      <c r="X1605" s="40"/>
      <c r="Y1605" s="106"/>
      <c r="Z1605" s="40" t="s">
        <v>2939</v>
      </c>
      <c r="AA1605" s="40"/>
      <c r="AB1605" s="40"/>
      <c r="AC1605" s="40" t="s">
        <v>2939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1119</v>
      </c>
      <c r="C1606" s="40">
        <v>640</v>
      </c>
      <c r="D1606" s="38" t="s">
        <v>1116</v>
      </c>
      <c r="E1606" s="40" t="s">
        <v>2963</v>
      </c>
      <c r="F1606" s="40" t="s">
        <v>4752</v>
      </c>
      <c r="G1606" s="245" t="s">
        <v>2978</v>
      </c>
      <c r="H1606" s="150" t="s">
        <v>5608</v>
      </c>
      <c r="I1606" s="245" t="s">
        <v>2978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1193</v>
      </c>
      <c r="U1606" s="2" t="s">
        <v>3</v>
      </c>
      <c r="V1606" s="38" t="s">
        <v>3069</v>
      </c>
      <c r="W1606" s="39">
        <v>109</v>
      </c>
      <c r="X1606" s="40"/>
      <c r="Y1606" s="106"/>
      <c r="Z1606" s="40"/>
      <c r="AA1606" s="40"/>
      <c r="AB1606" s="40"/>
      <c r="AC1606" s="40" t="s">
        <v>2898</v>
      </c>
      <c r="AD1606" s="40"/>
      <c r="AE1606" s="40"/>
      <c r="AF1606" s="40" t="s">
        <v>2898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1121</v>
      </c>
      <c r="C1607" s="83">
        <v>643</v>
      </c>
      <c r="D1607" s="113" t="s">
        <v>1116</v>
      </c>
      <c r="E1607" s="83" t="s">
        <v>2963</v>
      </c>
      <c r="F1607" s="83" t="s">
        <v>4753</v>
      </c>
      <c r="G1607" s="319" t="s">
        <v>2978</v>
      </c>
      <c r="H1607" s="340" t="s">
        <v>5608</v>
      </c>
      <c r="I1607" s="319" t="s">
        <v>2978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1193</v>
      </c>
      <c r="U1607" s="85" t="s">
        <v>3</v>
      </c>
      <c r="V1607" s="113" t="s">
        <v>3069</v>
      </c>
      <c r="W1607" s="86">
        <v>109</v>
      </c>
      <c r="X1607" s="83"/>
      <c r="Y1607" s="137"/>
      <c r="Z1607" s="83" t="s">
        <v>2898</v>
      </c>
      <c r="AA1607" s="83"/>
      <c r="AB1607" s="83"/>
      <c r="AC1607" s="83"/>
      <c r="AD1607" s="83"/>
      <c r="AE1607" s="83"/>
      <c r="AF1607" s="83" t="s">
        <v>2898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1182</v>
      </c>
      <c r="C1608" s="29">
        <v>267</v>
      </c>
      <c r="D1608" s="27" t="s">
        <v>1181</v>
      </c>
      <c r="E1608" s="29" t="s">
        <v>2963</v>
      </c>
      <c r="F1608" s="29" t="s">
        <v>4754</v>
      </c>
      <c r="G1608" s="192"/>
      <c r="H1608" s="145" t="s">
        <v>5608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3069</v>
      </c>
      <c r="W1608" s="28">
        <v>106</v>
      </c>
      <c r="X1608" s="29"/>
      <c r="Y1608" s="102"/>
      <c r="Z1608" s="29"/>
      <c r="AA1608" s="29"/>
      <c r="AB1608" s="29"/>
      <c r="AC1608" s="29" t="s">
        <v>2939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1183</v>
      </c>
      <c r="C1609" s="40">
        <v>268</v>
      </c>
      <c r="D1609" s="38" t="s">
        <v>1181</v>
      </c>
      <c r="E1609" s="40" t="s">
        <v>2963</v>
      </c>
      <c r="F1609" s="40" t="s">
        <v>4755</v>
      </c>
      <c r="G1609" s="50"/>
      <c r="H1609" s="150" t="s">
        <v>5608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3069</v>
      </c>
      <c r="W1609" s="39">
        <v>103</v>
      </c>
      <c r="X1609" s="40"/>
      <c r="Y1609" s="106"/>
      <c r="Z1609" s="40" t="s">
        <v>2898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1187</v>
      </c>
      <c r="C1610" s="40">
        <v>328</v>
      </c>
      <c r="D1610" s="38" t="s">
        <v>1181</v>
      </c>
      <c r="E1610" s="40" t="s">
        <v>2963</v>
      </c>
      <c r="F1610" s="40" t="s">
        <v>4756</v>
      </c>
      <c r="G1610" s="41" t="s">
        <v>5604</v>
      </c>
      <c r="H1610" s="150" t="s">
        <v>5608</v>
      </c>
      <c r="I1610" s="41" t="s">
        <v>5609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306</v>
      </c>
      <c r="U1610" s="2" t="s">
        <v>3</v>
      </c>
      <c r="V1610" s="38" t="s">
        <v>3069</v>
      </c>
      <c r="W1610" s="39">
        <v>109</v>
      </c>
      <c r="X1610" s="40"/>
      <c r="Y1610" s="40"/>
      <c r="Z1610" s="40" t="s">
        <v>2939</v>
      </c>
      <c r="AA1610" s="40"/>
      <c r="AB1610" s="40"/>
      <c r="AC1610" s="40" t="s">
        <v>2898</v>
      </c>
      <c r="AD1610" s="40"/>
      <c r="AE1610" s="40"/>
      <c r="AF1610" s="40" t="s">
        <v>2898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1340</v>
      </c>
      <c r="C1611" s="40">
        <v>286</v>
      </c>
      <c r="D1611" s="38" t="s">
        <v>1339</v>
      </c>
      <c r="E1611" s="40" t="s">
        <v>2963</v>
      </c>
      <c r="F1611" s="40" t="s">
        <v>4757</v>
      </c>
      <c r="G1611" s="50"/>
      <c r="H1611" s="150" t="s">
        <v>5608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3069</v>
      </c>
      <c r="W1611" s="39">
        <v>107</v>
      </c>
      <c r="X1611" s="40"/>
      <c r="Y1611" s="106"/>
      <c r="Z1611" s="40"/>
      <c r="AA1611" s="40" t="s">
        <v>2939</v>
      </c>
      <c r="AB1611" s="40"/>
      <c r="AC1611" s="40"/>
      <c r="AD1611" s="40" t="s">
        <v>2939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1364</v>
      </c>
      <c r="C1612" s="40">
        <v>259</v>
      </c>
      <c r="D1612" s="38" t="s">
        <v>1339</v>
      </c>
      <c r="E1612" s="40" t="s">
        <v>2963</v>
      </c>
      <c r="F1612" s="40" t="s">
        <v>4758</v>
      </c>
      <c r="G1612" s="50"/>
      <c r="H1612" s="150" t="s">
        <v>5608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3069</v>
      </c>
      <c r="W1612" s="39">
        <v>107</v>
      </c>
      <c r="X1612" s="40"/>
      <c r="Y1612" s="106"/>
      <c r="Z1612" s="40"/>
      <c r="AA1612" s="40" t="s">
        <v>2939</v>
      </c>
      <c r="AB1612" s="40"/>
      <c r="AC1612" s="40"/>
      <c r="AD1612" s="40" t="s">
        <v>2939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1365</v>
      </c>
      <c r="C1613" s="40">
        <v>260</v>
      </c>
      <c r="D1613" s="38" t="s">
        <v>1339</v>
      </c>
      <c r="E1613" s="40" t="s">
        <v>2963</v>
      </c>
      <c r="F1613" s="40" t="s">
        <v>4759</v>
      </c>
      <c r="G1613" s="50"/>
      <c r="H1613" s="150" t="s">
        <v>5608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3069</v>
      </c>
      <c r="W1613" s="39">
        <v>107</v>
      </c>
      <c r="X1613" s="40"/>
      <c r="Y1613" s="106"/>
      <c r="Z1613" s="40" t="s">
        <v>2939</v>
      </c>
      <c r="AA1613" s="40"/>
      <c r="AB1613" s="40"/>
      <c r="AC1613" s="40"/>
      <c r="AD1613" s="40" t="s">
        <v>2939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1188</v>
      </c>
      <c r="C1614" s="40">
        <v>2143</v>
      </c>
      <c r="D1614" s="38" t="s">
        <v>1181</v>
      </c>
      <c r="E1614" s="40" t="s">
        <v>2915</v>
      </c>
      <c r="F1614" s="40" t="s">
        <v>4760</v>
      </c>
      <c r="G1614" s="245"/>
      <c r="H1614" s="150" t="s">
        <v>5608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3069</v>
      </c>
      <c r="W1614" s="39">
        <v>109</v>
      </c>
      <c r="X1614" s="106"/>
      <c r="Y1614" s="106"/>
      <c r="Z1614" s="40" t="s">
        <v>2898</v>
      </c>
      <c r="AA1614" s="40"/>
      <c r="AB1614" s="40"/>
      <c r="AC1614" s="40"/>
      <c r="AD1614" s="40"/>
      <c r="AE1614" s="40"/>
      <c r="AF1614" s="40" t="s">
        <v>2898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1189</v>
      </c>
      <c r="C1615" s="83">
        <v>2144</v>
      </c>
      <c r="D1615" s="113" t="s">
        <v>1181</v>
      </c>
      <c r="E1615" s="83" t="s">
        <v>2915</v>
      </c>
      <c r="F1615" s="83" t="s">
        <v>4761</v>
      </c>
      <c r="G1615" s="319"/>
      <c r="H1615" s="340" t="s">
        <v>5608</v>
      </c>
      <c r="I1615" s="319"/>
      <c r="J1615" s="88">
        <v>199670</v>
      </c>
      <c r="K1615" s="88">
        <v>2663806</v>
      </c>
      <c r="L1615" s="88" t="s">
        <v>412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3069</v>
      </c>
      <c r="W1615" s="86">
        <v>109</v>
      </c>
      <c r="X1615" s="137"/>
      <c r="Y1615" s="137"/>
      <c r="Z1615" s="83" t="s">
        <v>2898</v>
      </c>
      <c r="AA1615" s="83"/>
      <c r="AB1615" s="83"/>
      <c r="AC1615" s="83"/>
      <c r="AD1615" s="83"/>
      <c r="AE1615" s="83"/>
      <c r="AF1615" s="83" t="s">
        <v>2898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154</v>
      </c>
      <c r="C1616" s="29">
        <v>2008</v>
      </c>
      <c r="D1616" s="27" t="s">
        <v>153</v>
      </c>
      <c r="E1616" s="29" t="s">
        <v>2893</v>
      </c>
      <c r="F1616" s="29" t="s">
        <v>4762</v>
      </c>
      <c r="G1616" s="31"/>
      <c r="H1616" s="145" t="s">
        <v>5608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155</v>
      </c>
      <c r="Q1616" s="33">
        <v>42.5</v>
      </c>
      <c r="R1616" s="33">
        <v>219</v>
      </c>
      <c r="S1616" s="33">
        <v>116</v>
      </c>
      <c r="T1616" s="30"/>
      <c r="U1616" s="30" t="s">
        <v>73</v>
      </c>
      <c r="V1616" s="27" t="s">
        <v>3069</v>
      </c>
      <c r="W1616" s="27">
        <v>113</v>
      </c>
      <c r="X1616" s="29"/>
      <c r="Y1616" s="29"/>
      <c r="Z1616" s="29"/>
      <c r="AA1616" s="29"/>
      <c r="AB1616" s="29"/>
      <c r="AC1616" s="29" t="s">
        <v>2939</v>
      </c>
      <c r="AD1616" s="29"/>
      <c r="AE1616" s="29"/>
      <c r="AF1616" s="29"/>
      <c r="AG1616" s="29"/>
      <c r="AH1616" s="29"/>
      <c r="AI1616" s="29"/>
      <c r="AJ1616" s="192" t="s">
        <v>3045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158</v>
      </c>
      <c r="C1617" s="38">
        <v>2011</v>
      </c>
      <c r="D1617" s="38" t="s">
        <v>153</v>
      </c>
      <c r="E1617" s="40" t="s">
        <v>2893</v>
      </c>
      <c r="F1617" s="40" t="s">
        <v>4763</v>
      </c>
      <c r="G1617" s="41" t="s">
        <v>5604</v>
      </c>
      <c r="H1617" s="150" t="s">
        <v>5608</v>
      </c>
      <c r="I1617" s="41" t="s">
        <v>5609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77</v>
      </c>
      <c r="Q1617" s="43">
        <v>31.4</v>
      </c>
      <c r="R1617" s="43">
        <v>184</v>
      </c>
      <c r="S1617" s="43">
        <v>195</v>
      </c>
      <c r="T1617" s="2" t="s">
        <v>1697</v>
      </c>
      <c r="U1617" s="2" t="s">
        <v>56</v>
      </c>
      <c r="V1617" s="38" t="s">
        <v>3069</v>
      </c>
      <c r="W1617" s="38">
        <v>109</v>
      </c>
      <c r="X1617" s="40"/>
      <c r="Y1617" s="40"/>
      <c r="Z1617" s="40"/>
      <c r="AA1617" s="40"/>
      <c r="AB1617" s="40"/>
      <c r="AC1617" s="40" t="s">
        <v>2939</v>
      </c>
      <c r="AD1617" s="40"/>
      <c r="AE1617" s="40"/>
      <c r="AF1617" s="40" t="s">
        <v>2905</v>
      </c>
      <c r="AG1617" s="40"/>
      <c r="AH1617" s="40"/>
      <c r="AI1617" s="40"/>
      <c r="AJ1617" s="38"/>
      <c r="AK1617" s="162"/>
      <c r="AL1617" s="54" t="s">
        <v>2908</v>
      </c>
      <c r="AM1617" s="53">
        <v>113</v>
      </c>
    </row>
    <row r="1618" spans="1:39" ht="14.4" thickBot="1" x14ac:dyDescent="0.35">
      <c r="A1618" s="15">
        <v>1617</v>
      </c>
      <c r="B1618" s="58" t="s">
        <v>159</v>
      </c>
      <c r="C1618" s="56">
        <v>2499</v>
      </c>
      <c r="D1618" s="56" t="s">
        <v>153</v>
      </c>
      <c r="E1618" s="58" t="s">
        <v>2893</v>
      </c>
      <c r="F1618" s="58" t="s">
        <v>4764</v>
      </c>
      <c r="G1618" s="60" t="s">
        <v>5604</v>
      </c>
      <c r="H1618" s="226" t="s">
        <v>5608</v>
      </c>
      <c r="I1618" s="60" t="s">
        <v>5609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102</v>
      </c>
      <c r="Q1618" s="62">
        <v>41.4</v>
      </c>
      <c r="R1618" s="62">
        <v>406</v>
      </c>
      <c r="S1618" s="62">
        <v>480</v>
      </c>
      <c r="T1618" s="59" t="s">
        <v>1697</v>
      </c>
      <c r="U1618" s="59" t="s">
        <v>56</v>
      </c>
      <c r="V1618" s="56" t="s">
        <v>3069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2905</v>
      </c>
      <c r="AG1618" s="58"/>
      <c r="AH1618" s="58"/>
      <c r="AI1618" s="58"/>
      <c r="AJ1618" s="56"/>
      <c r="AK1618" s="163"/>
      <c r="AL1618" s="110" t="s">
        <v>2908</v>
      </c>
      <c r="AM1618" s="225">
        <v>113</v>
      </c>
    </row>
    <row r="1619" spans="1:39" ht="14.4" thickBot="1" x14ac:dyDescent="0.35">
      <c r="A1619" s="15">
        <v>1618</v>
      </c>
      <c r="B1619" s="29" t="s">
        <v>828</v>
      </c>
      <c r="C1619" s="29">
        <v>1250</v>
      </c>
      <c r="D1619" s="27" t="s">
        <v>3093</v>
      </c>
      <c r="E1619" s="29" t="s">
        <v>2929</v>
      </c>
      <c r="F1619" s="29" t="s">
        <v>4765</v>
      </c>
      <c r="G1619" s="31" t="s">
        <v>5604</v>
      </c>
      <c r="H1619" s="145" t="s">
        <v>5606</v>
      </c>
      <c r="I1619" s="31" t="s">
        <v>5609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306</v>
      </c>
      <c r="U1619" s="2" t="s">
        <v>3</v>
      </c>
      <c r="V1619" s="17" t="s">
        <v>3069</v>
      </c>
      <c r="W1619" s="28">
        <v>113</v>
      </c>
      <c r="X1619" s="29"/>
      <c r="Y1619" s="102"/>
      <c r="Z1619" s="29"/>
      <c r="AA1619" s="29" t="s">
        <v>2939</v>
      </c>
      <c r="AB1619" s="29"/>
      <c r="AC1619" s="29"/>
      <c r="AD1619" s="29"/>
      <c r="AE1619" s="29"/>
      <c r="AF1619" s="29" t="s">
        <v>2939</v>
      </c>
      <c r="AG1619" s="29"/>
      <c r="AH1619" s="29"/>
      <c r="AI1619" s="29"/>
      <c r="AJ1619" s="27" t="s">
        <v>3074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829</v>
      </c>
      <c r="C1620" s="40">
        <v>1260</v>
      </c>
      <c r="D1620" s="38" t="s">
        <v>827</v>
      </c>
      <c r="E1620" s="40" t="s">
        <v>2929</v>
      </c>
      <c r="F1620" s="40" t="s">
        <v>4766</v>
      </c>
      <c r="G1620" s="41" t="s">
        <v>5604</v>
      </c>
      <c r="H1620" s="150" t="s">
        <v>5608</v>
      </c>
      <c r="I1620" s="41" t="s">
        <v>5609</v>
      </c>
      <c r="J1620" s="43">
        <v>197946</v>
      </c>
      <c r="K1620" s="43">
        <v>2663504</v>
      </c>
      <c r="L1620" s="43" t="s">
        <v>389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306</v>
      </c>
      <c r="U1620" s="2" t="str">
        <f>U1619</f>
        <v>正常</v>
      </c>
      <c r="V1620" s="38" t="s">
        <v>3069</v>
      </c>
      <c r="W1620" s="39">
        <v>113</v>
      </c>
      <c r="X1620" s="40"/>
      <c r="Y1620" s="40"/>
      <c r="Z1620" s="40"/>
      <c r="AA1620" s="40" t="s">
        <v>2939</v>
      </c>
      <c r="AB1620" s="40"/>
      <c r="AC1620" s="40"/>
      <c r="AD1620" s="40"/>
      <c r="AE1620" s="40"/>
      <c r="AF1620" s="40" t="s">
        <v>2939</v>
      </c>
      <c r="AG1620" s="40"/>
      <c r="AH1620" s="40"/>
      <c r="AI1620" s="40"/>
      <c r="AJ1620" s="27" t="s">
        <v>3074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830</v>
      </c>
      <c r="C1621" s="40">
        <v>1261</v>
      </c>
      <c r="D1621" s="38" t="s">
        <v>827</v>
      </c>
      <c r="E1621" s="40" t="s">
        <v>2929</v>
      </c>
      <c r="F1621" s="40" t="s">
        <v>4767</v>
      </c>
      <c r="G1621" s="41" t="s">
        <v>5604</v>
      </c>
      <c r="H1621" s="150" t="s">
        <v>5608</v>
      </c>
      <c r="I1621" s="41" t="s">
        <v>5609</v>
      </c>
      <c r="J1621" s="43">
        <v>197946</v>
      </c>
      <c r="K1621" s="43">
        <v>2663504</v>
      </c>
      <c r="L1621" s="43" t="s">
        <v>831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306</v>
      </c>
      <c r="U1621" s="2" t="str">
        <f>U1619</f>
        <v>正常</v>
      </c>
      <c r="V1621" s="38" t="s">
        <v>3069</v>
      </c>
      <c r="W1621" s="39">
        <v>113</v>
      </c>
      <c r="X1621" s="40"/>
      <c r="Y1621" s="40"/>
      <c r="Z1621" s="40"/>
      <c r="AA1621" s="40" t="s">
        <v>2939</v>
      </c>
      <c r="AB1621" s="40"/>
      <c r="AC1621" s="40"/>
      <c r="AD1621" s="40"/>
      <c r="AE1621" s="40"/>
      <c r="AF1621" s="40" t="s">
        <v>2939</v>
      </c>
      <c r="AG1621" s="40"/>
      <c r="AH1621" s="40"/>
      <c r="AI1621" s="40"/>
      <c r="AJ1621" s="27" t="s">
        <v>3074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832</v>
      </c>
      <c r="C1622" s="83">
        <v>1211</v>
      </c>
      <c r="D1622" s="113" t="s">
        <v>827</v>
      </c>
      <c r="E1622" s="83" t="s">
        <v>2929</v>
      </c>
      <c r="F1622" s="83" t="s">
        <v>4768</v>
      </c>
      <c r="G1622" s="138"/>
      <c r="H1622" s="150" t="s">
        <v>5608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73</v>
      </c>
      <c r="V1622" s="67" t="s">
        <v>3069</v>
      </c>
      <c r="W1622" s="86">
        <v>113</v>
      </c>
      <c r="X1622" s="83"/>
      <c r="Y1622" s="137"/>
      <c r="Z1622" s="83"/>
      <c r="AA1622" s="83"/>
      <c r="AB1622" s="83" t="s">
        <v>2898</v>
      </c>
      <c r="AC1622" s="83"/>
      <c r="AD1622" s="83"/>
      <c r="AE1622" s="83"/>
      <c r="AF1622" s="83"/>
      <c r="AG1622" s="83"/>
      <c r="AH1622" s="83"/>
      <c r="AI1622" s="83"/>
      <c r="AJ1622" s="113" t="s">
        <v>3045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468</v>
      </c>
      <c r="C1623" s="29">
        <v>1185</v>
      </c>
      <c r="D1623" s="27" t="s">
        <v>467</v>
      </c>
      <c r="E1623" s="29" t="s">
        <v>2915</v>
      </c>
      <c r="F1623" s="29" t="s">
        <v>4769</v>
      </c>
      <c r="G1623" s="31" t="s">
        <v>5604</v>
      </c>
      <c r="H1623" s="145" t="s">
        <v>5608</v>
      </c>
      <c r="I1623" s="31" t="s">
        <v>5609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2907</v>
      </c>
      <c r="U1623" s="30" t="str">
        <f>U104</f>
        <v>監測</v>
      </c>
      <c r="V1623" s="91" t="s">
        <v>3094</v>
      </c>
      <c r="W1623" s="31">
        <v>109</v>
      </c>
      <c r="X1623" s="29"/>
      <c r="Y1623" s="102"/>
      <c r="Z1623" s="29" t="s">
        <v>2894</v>
      </c>
      <c r="AA1623" s="29"/>
      <c r="AB1623" s="29"/>
      <c r="AC1623" s="29"/>
      <c r="AD1623" s="29"/>
      <c r="AE1623" s="29" t="s">
        <v>2898</v>
      </c>
      <c r="AF1623" s="29" t="s">
        <v>2894</v>
      </c>
      <c r="AG1623" s="29"/>
      <c r="AH1623" s="29"/>
      <c r="AI1623" s="29"/>
      <c r="AJ1623" s="31"/>
      <c r="AK1623" s="98"/>
      <c r="AL1623" s="36" t="s">
        <v>3095</v>
      </c>
      <c r="AM1623" s="26"/>
    </row>
    <row r="1624" spans="1:39" x14ac:dyDescent="0.3">
      <c r="A1624" s="15">
        <v>1623</v>
      </c>
      <c r="B1624" s="40" t="s">
        <v>469</v>
      </c>
      <c r="C1624" s="40">
        <v>1184</v>
      </c>
      <c r="D1624" s="38" t="s">
        <v>467</v>
      </c>
      <c r="E1624" s="40" t="s">
        <v>2915</v>
      </c>
      <c r="F1624" s="40" t="s">
        <v>4770</v>
      </c>
      <c r="G1624" s="41" t="s">
        <v>5604</v>
      </c>
      <c r="H1624" s="150" t="s">
        <v>5608</v>
      </c>
      <c r="I1624" s="41" t="s">
        <v>5609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2907</v>
      </c>
      <c r="U1624" s="2" t="str">
        <f>U104</f>
        <v>監測</v>
      </c>
      <c r="V1624" s="93" t="s">
        <v>3094</v>
      </c>
      <c r="W1624" s="41">
        <v>109</v>
      </c>
      <c r="X1624" s="40"/>
      <c r="Y1624" s="106"/>
      <c r="Z1624" s="40" t="s">
        <v>2894</v>
      </c>
      <c r="AA1624" s="40"/>
      <c r="AB1624" s="40"/>
      <c r="AC1624" s="40"/>
      <c r="AD1624" s="40"/>
      <c r="AE1624" s="40" t="s">
        <v>2898</v>
      </c>
      <c r="AF1624" s="40" t="s">
        <v>2894</v>
      </c>
      <c r="AG1624" s="40"/>
      <c r="AH1624" s="40"/>
      <c r="AI1624" s="40"/>
      <c r="AJ1624" s="41"/>
      <c r="AK1624" s="45"/>
      <c r="AL1624" s="46" t="s">
        <v>3095</v>
      </c>
      <c r="AM1624" s="37"/>
    </row>
    <row r="1625" spans="1:39" ht="14.4" thickBot="1" x14ac:dyDescent="0.35">
      <c r="A1625" s="15">
        <v>1624</v>
      </c>
      <c r="B1625" s="58" t="s">
        <v>472</v>
      </c>
      <c r="C1625" s="58">
        <v>1841</v>
      </c>
      <c r="D1625" s="56" t="s">
        <v>470</v>
      </c>
      <c r="E1625" s="58" t="s">
        <v>2915</v>
      </c>
      <c r="F1625" s="58" t="s">
        <v>4771</v>
      </c>
      <c r="G1625" s="60" t="s">
        <v>5604</v>
      </c>
      <c r="H1625" s="226" t="s">
        <v>5608</v>
      </c>
      <c r="I1625" s="60" t="s">
        <v>5609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2907</v>
      </c>
      <c r="U1625" s="59" t="str">
        <f>U125</f>
        <v>正常</v>
      </c>
      <c r="V1625" s="108" t="s">
        <v>3094</v>
      </c>
      <c r="W1625" s="60">
        <v>110</v>
      </c>
      <c r="X1625" s="58"/>
      <c r="Y1625" s="58" t="s">
        <v>2894</v>
      </c>
      <c r="Z1625" s="58"/>
      <c r="AA1625" s="58"/>
      <c r="AB1625" s="58" t="s">
        <v>2898</v>
      </c>
      <c r="AC1625" s="58"/>
      <c r="AD1625" s="58"/>
      <c r="AE1625" s="58"/>
      <c r="AF1625" s="58" t="s">
        <v>2894</v>
      </c>
      <c r="AG1625" s="58" t="s">
        <v>2894</v>
      </c>
      <c r="AH1625" s="58"/>
      <c r="AI1625" s="58"/>
      <c r="AJ1625" s="60"/>
      <c r="AK1625" s="64"/>
      <c r="AL1625" s="377" t="s">
        <v>3096</v>
      </c>
      <c r="AM1625" s="55"/>
    </row>
    <row r="1626" spans="1:39" ht="14.4" thickBot="1" x14ac:dyDescent="0.35">
      <c r="A1626" s="15">
        <v>1625</v>
      </c>
      <c r="B1626" s="380" t="s">
        <v>3097</v>
      </c>
      <c r="C1626" s="380">
        <v>1929</v>
      </c>
      <c r="D1626" s="379" t="s">
        <v>50</v>
      </c>
      <c r="E1626" s="381" t="s">
        <v>48</v>
      </c>
      <c r="F1626" s="381" t="s">
        <v>4772</v>
      </c>
      <c r="G1626" s="382" t="s">
        <v>5605</v>
      </c>
      <c r="H1626" s="455" t="s">
        <v>5606</v>
      </c>
      <c r="I1626" s="447" t="s">
        <v>5610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2907</v>
      </c>
      <c r="U1626" s="465" t="s">
        <v>8</v>
      </c>
      <c r="V1626" s="150" t="s">
        <v>92</v>
      </c>
      <c r="W1626" s="379">
        <v>109</v>
      </c>
      <c r="X1626" s="381"/>
      <c r="Y1626" s="381"/>
      <c r="Z1626" s="381"/>
      <c r="AA1626" s="381"/>
      <c r="AB1626" s="381"/>
      <c r="AC1626" s="381" t="s">
        <v>303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2908</v>
      </c>
    </row>
    <row r="1627" spans="1:39" ht="14.4" thickBot="1" x14ac:dyDescent="0.35">
      <c r="A1627" s="15">
        <v>1626</v>
      </c>
      <c r="B1627" s="386" t="s">
        <v>51</v>
      </c>
      <c r="C1627" s="386">
        <v>1931</v>
      </c>
      <c r="D1627" s="372" t="s">
        <v>50</v>
      </c>
      <c r="E1627" s="387" t="s">
        <v>48</v>
      </c>
      <c r="F1627" s="387" t="s">
        <v>4773</v>
      </c>
      <c r="G1627" s="382" t="s">
        <v>5605</v>
      </c>
      <c r="H1627" s="456" t="s">
        <v>5608</v>
      </c>
      <c r="I1627" s="447" t="s">
        <v>5610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52</v>
      </c>
      <c r="Q1627" s="187">
        <v>39.5</v>
      </c>
      <c r="R1627" s="187">
        <v>562</v>
      </c>
      <c r="S1627" s="187">
        <v>143</v>
      </c>
      <c r="T1627" s="388" t="s">
        <v>2907</v>
      </c>
      <c r="U1627" s="466" t="str">
        <f>U1626</f>
        <v>監測</v>
      </c>
      <c r="V1627" s="150" t="s">
        <v>92</v>
      </c>
      <c r="W1627" s="372">
        <v>106</v>
      </c>
      <c r="X1627" s="387"/>
      <c r="Y1627" s="387"/>
      <c r="Z1627" s="387"/>
      <c r="AA1627" s="387"/>
      <c r="AB1627" s="387"/>
      <c r="AC1627" s="387" t="s">
        <v>303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50</v>
      </c>
      <c r="E1628" s="387" t="s">
        <v>48</v>
      </c>
      <c r="F1628" s="387" t="s">
        <v>4774</v>
      </c>
      <c r="G1628" s="382" t="s">
        <v>5605</v>
      </c>
      <c r="H1628" s="456" t="s">
        <v>5608</v>
      </c>
      <c r="I1628" s="447" t="s">
        <v>5610</v>
      </c>
      <c r="J1628" s="43">
        <v>204034</v>
      </c>
      <c r="K1628" s="43">
        <v>2657273</v>
      </c>
      <c r="L1628" s="187" t="s">
        <v>40</v>
      </c>
      <c r="M1628" s="389">
        <v>8</v>
      </c>
      <c r="N1628" s="187">
        <v>125</v>
      </c>
      <c r="O1628" s="187">
        <v>186</v>
      </c>
      <c r="P1628" s="187" t="s">
        <v>41</v>
      </c>
      <c r="Q1628" s="187">
        <v>42</v>
      </c>
      <c r="R1628" s="187">
        <v>404</v>
      </c>
      <c r="S1628" s="187">
        <v>167</v>
      </c>
      <c r="T1628" s="388" t="s">
        <v>2907</v>
      </c>
      <c r="U1628" s="466" t="str">
        <f>U1626</f>
        <v>監測</v>
      </c>
      <c r="V1628" s="150" t="s">
        <v>92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303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53</v>
      </c>
      <c r="C1629" s="386">
        <v>1932</v>
      </c>
      <c r="D1629" s="372" t="s">
        <v>50</v>
      </c>
      <c r="E1629" s="387" t="s">
        <v>48</v>
      </c>
      <c r="F1629" s="387" t="s">
        <v>4775</v>
      </c>
      <c r="G1629" s="382" t="s">
        <v>5605</v>
      </c>
      <c r="H1629" s="456" t="s">
        <v>5606</v>
      </c>
      <c r="I1629" s="447" t="s">
        <v>5610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2907</v>
      </c>
      <c r="U1629" s="466" t="s">
        <v>8</v>
      </c>
      <c r="V1629" s="150" t="s">
        <v>92</v>
      </c>
      <c r="W1629" s="372">
        <v>109</v>
      </c>
      <c r="X1629" s="387"/>
      <c r="Y1629" s="387"/>
      <c r="Z1629" s="387"/>
      <c r="AA1629" s="387"/>
      <c r="AB1629" s="387"/>
      <c r="AC1629" s="387" t="s">
        <v>303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3098</v>
      </c>
      <c r="C1630" s="386">
        <v>1933</v>
      </c>
      <c r="D1630" s="372" t="s">
        <v>50</v>
      </c>
      <c r="E1630" s="387" t="s">
        <v>48</v>
      </c>
      <c r="F1630" s="387" t="s">
        <v>4776</v>
      </c>
      <c r="G1630" s="382" t="s">
        <v>5605</v>
      </c>
      <c r="H1630" s="456" t="s">
        <v>5606</v>
      </c>
      <c r="I1630" s="447" t="s">
        <v>5610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2907</v>
      </c>
      <c r="U1630" s="466" t="s">
        <v>8</v>
      </c>
      <c r="V1630" s="150" t="s">
        <v>92</v>
      </c>
      <c r="W1630" s="372">
        <v>109</v>
      </c>
      <c r="X1630" s="387"/>
      <c r="Y1630" s="387"/>
      <c r="Z1630" s="387"/>
      <c r="AA1630" s="387"/>
      <c r="AB1630" s="387"/>
      <c r="AC1630" s="387" t="s">
        <v>303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3099</v>
      </c>
      <c r="C1631" s="386">
        <v>1895</v>
      </c>
      <c r="D1631" s="372" t="s">
        <v>85</v>
      </c>
      <c r="E1631" s="387" t="s">
        <v>48</v>
      </c>
      <c r="F1631" s="387" t="s">
        <v>4777</v>
      </c>
      <c r="G1631" s="382" t="s">
        <v>5605</v>
      </c>
      <c r="H1631" s="456" t="s">
        <v>5606</v>
      </c>
      <c r="I1631" s="447" t="s">
        <v>5610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2907</v>
      </c>
      <c r="U1631" s="466" t="s">
        <v>8</v>
      </c>
      <c r="V1631" s="150" t="s">
        <v>92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3100</v>
      </c>
      <c r="C1632" s="386">
        <v>2012</v>
      </c>
      <c r="D1632" s="372" t="s">
        <v>153</v>
      </c>
      <c r="E1632" s="387" t="s">
        <v>48</v>
      </c>
      <c r="F1632" s="387" t="s">
        <v>4778</v>
      </c>
      <c r="G1632" s="382" t="s">
        <v>5605</v>
      </c>
      <c r="H1632" s="456" t="s">
        <v>5606</v>
      </c>
      <c r="I1632" s="447" t="s">
        <v>5610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2907</v>
      </c>
      <c r="U1632" s="466" t="s">
        <v>8</v>
      </c>
      <c r="V1632" s="150" t="s">
        <v>92</v>
      </c>
      <c r="W1632" s="372">
        <v>109</v>
      </c>
      <c r="X1632" s="387"/>
      <c r="Y1632" s="387"/>
      <c r="Z1632" s="387"/>
      <c r="AA1632" s="387"/>
      <c r="AB1632" s="387"/>
      <c r="AC1632" s="387" t="s">
        <v>303</v>
      </c>
      <c r="AD1632" s="387"/>
      <c r="AE1632" s="387"/>
      <c r="AF1632" s="387" t="s">
        <v>303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3101</v>
      </c>
      <c r="C1633" s="40">
        <v>1848</v>
      </c>
      <c r="D1633" s="38" t="s">
        <v>368</v>
      </c>
      <c r="E1633" s="4" t="s">
        <v>300</v>
      </c>
      <c r="F1633" s="4" t="s">
        <v>4779</v>
      </c>
      <c r="G1633" s="382" t="s">
        <v>5605</v>
      </c>
      <c r="H1633" s="456" t="s">
        <v>5606</v>
      </c>
      <c r="I1633" s="447" t="s">
        <v>5610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2907</v>
      </c>
      <c r="U1633" s="466" t="s">
        <v>8</v>
      </c>
      <c r="V1633" s="150" t="s">
        <v>92</v>
      </c>
      <c r="W1633" s="372">
        <v>109</v>
      </c>
      <c r="X1633" s="4"/>
      <c r="Y1633" s="392"/>
      <c r="Z1633" s="4"/>
      <c r="AA1633" s="4"/>
      <c r="AB1633" s="4"/>
      <c r="AC1633" s="387" t="s">
        <v>303</v>
      </c>
      <c r="AD1633" s="4"/>
      <c r="AE1633" s="4"/>
      <c r="AF1633" s="387" t="s">
        <v>303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369</v>
      </c>
      <c r="C1634" s="40">
        <v>1849</v>
      </c>
      <c r="D1634" s="38" t="s">
        <v>368</v>
      </c>
      <c r="E1634" s="4" t="s">
        <v>300</v>
      </c>
      <c r="F1634" s="4" t="s">
        <v>4780</v>
      </c>
      <c r="G1634" s="382" t="s">
        <v>5605</v>
      </c>
      <c r="H1634" s="456" t="s">
        <v>5608</v>
      </c>
      <c r="I1634" s="447" t="s">
        <v>5610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2907</v>
      </c>
      <c r="U1634" s="466" t="str">
        <f>U1633</f>
        <v>監測</v>
      </c>
      <c r="V1634" s="150" t="s">
        <v>92</v>
      </c>
      <c r="W1634" s="372">
        <v>109</v>
      </c>
      <c r="X1634" s="4"/>
      <c r="Y1634" s="392"/>
      <c r="Z1634" s="387" t="s">
        <v>303</v>
      </c>
      <c r="AA1634" s="4"/>
      <c r="AB1634" s="4"/>
      <c r="AC1634" s="387" t="s">
        <v>303</v>
      </c>
      <c r="AD1634" s="4"/>
      <c r="AE1634" s="4"/>
      <c r="AF1634" s="387" t="s">
        <v>303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370</v>
      </c>
      <c r="C1635" s="40">
        <v>1850</v>
      </c>
      <c r="D1635" s="38" t="s">
        <v>368</v>
      </c>
      <c r="E1635" s="4" t="s">
        <v>300</v>
      </c>
      <c r="F1635" s="4" t="s">
        <v>4781</v>
      </c>
      <c r="G1635" s="382" t="s">
        <v>5605</v>
      </c>
      <c r="H1635" s="456" t="s">
        <v>5606</v>
      </c>
      <c r="I1635" s="447" t="s">
        <v>5610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2907</v>
      </c>
      <c r="U1635" s="466" t="s">
        <v>8</v>
      </c>
      <c r="V1635" s="150" t="s">
        <v>92</v>
      </c>
      <c r="W1635" s="372">
        <v>109</v>
      </c>
      <c r="X1635" s="4"/>
      <c r="Y1635" s="392"/>
      <c r="Z1635" s="387" t="s">
        <v>303</v>
      </c>
      <c r="AA1635" s="4"/>
      <c r="AB1635" s="4"/>
      <c r="AC1635" s="4"/>
      <c r="AD1635" s="4"/>
      <c r="AE1635" s="387" t="s">
        <v>303</v>
      </c>
      <c r="AF1635" s="387" t="s">
        <v>303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377</v>
      </c>
      <c r="C1636" s="38">
        <v>1852</v>
      </c>
      <c r="D1636" s="38" t="s">
        <v>374</v>
      </c>
      <c r="E1636" s="4" t="s">
        <v>300</v>
      </c>
      <c r="F1636" s="4" t="s">
        <v>4782</v>
      </c>
      <c r="G1636" s="382" t="s">
        <v>5605</v>
      </c>
      <c r="H1636" s="456" t="s">
        <v>5606</v>
      </c>
      <c r="I1636" s="447" t="s">
        <v>5610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2907</v>
      </c>
      <c r="U1636" s="41" t="s">
        <v>3102</v>
      </c>
      <c r="V1636" s="150" t="s">
        <v>92</v>
      </c>
      <c r="W1636" s="38">
        <v>109</v>
      </c>
      <c r="X1636" s="392"/>
      <c r="Y1636" s="392"/>
      <c r="Z1636" s="40" t="s">
        <v>2898</v>
      </c>
      <c r="AA1636" s="4"/>
      <c r="AB1636" s="4"/>
      <c r="AC1636" s="4"/>
      <c r="AD1636" s="4"/>
      <c r="AE1636" s="4"/>
      <c r="AF1636" s="40" t="s">
        <v>2939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3103</v>
      </c>
      <c r="C1637" s="38">
        <v>1163</v>
      </c>
      <c r="D1637" s="38" t="s">
        <v>394</v>
      </c>
      <c r="E1637" s="4" t="s">
        <v>300</v>
      </c>
      <c r="F1637" s="4" t="s">
        <v>4783</v>
      </c>
      <c r="G1637" s="382" t="s">
        <v>5605</v>
      </c>
      <c r="H1637" s="456" t="s">
        <v>5606</v>
      </c>
      <c r="I1637" s="447" t="s">
        <v>5610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2907</v>
      </c>
      <c r="U1637" s="2" t="s">
        <v>8</v>
      </c>
      <c r="V1637" s="150" t="s">
        <v>92</v>
      </c>
      <c r="W1637" s="38">
        <v>109</v>
      </c>
      <c r="X1637" s="4"/>
      <c r="Y1637" s="392"/>
      <c r="Z1637" s="4"/>
      <c r="AA1637" s="4"/>
      <c r="AB1637" s="4"/>
      <c r="AC1637" s="40" t="s">
        <v>2939</v>
      </c>
      <c r="AD1637" s="4"/>
      <c r="AE1637" s="4"/>
      <c r="AF1637" s="40" t="s">
        <v>2939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407</v>
      </c>
      <c r="C1638" s="40">
        <v>1075</v>
      </c>
      <c r="D1638" s="38" t="s">
        <v>404</v>
      </c>
      <c r="E1638" s="4" t="s">
        <v>300</v>
      </c>
      <c r="F1638" s="4" t="s">
        <v>4784</v>
      </c>
      <c r="G1638" s="382" t="s">
        <v>5605</v>
      </c>
      <c r="H1638" s="457" t="s">
        <v>5606</v>
      </c>
      <c r="I1638" s="447" t="s">
        <v>5610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2907</v>
      </c>
      <c r="U1638" s="2" t="s">
        <v>8</v>
      </c>
      <c r="V1638" s="150" t="s">
        <v>92</v>
      </c>
      <c r="W1638" s="38">
        <v>109</v>
      </c>
      <c r="X1638" s="4"/>
      <c r="Y1638" s="4"/>
      <c r="Z1638" s="4"/>
      <c r="AA1638" s="4"/>
      <c r="AB1638" s="4"/>
      <c r="AC1638" s="40" t="s">
        <v>2939</v>
      </c>
      <c r="AD1638" s="4"/>
      <c r="AE1638" s="4"/>
      <c r="AF1638" s="40" t="s">
        <v>2939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435</v>
      </c>
      <c r="E1639" s="4" t="s">
        <v>300</v>
      </c>
      <c r="F1639" s="4" t="s">
        <v>4785</v>
      </c>
      <c r="G1639" s="382" t="s">
        <v>5605</v>
      </c>
      <c r="H1639" s="457" t="s">
        <v>5606</v>
      </c>
      <c r="I1639" s="447" t="s">
        <v>5610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2907</v>
      </c>
      <c r="U1639" s="2" t="s">
        <v>8</v>
      </c>
      <c r="V1639" s="150" t="s">
        <v>92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2894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479</v>
      </c>
      <c r="C1640" s="38">
        <v>1831</v>
      </c>
      <c r="D1640" s="38" t="s">
        <v>473</v>
      </c>
      <c r="E1640" s="4" t="s">
        <v>300</v>
      </c>
      <c r="F1640" s="4" t="s">
        <v>4786</v>
      </c>
      <c r="G1640" s="382" t="s">
        <v>5605</v>
      </c>
      <c r="H1640" s="456" t="s">
        <v>5608</v>
      </c>
      <c r="I1640" s="447" t="s">
        <v>5610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2907</v>
      </c>
      <c r="U1640" s="79" t="str">
        <f>U1641</f>
        <v>監測</v>
      </c>
      <c r="V1640" s="150" t="s">
        <v>92</v>
      </c>
      <c r="W1640" s="38">
        <v>109</v>
      </c>
      <c r="X1640" s="4"/>
      <c r="Y1640" s="392"/>
      <c r="Z1640" s="4"/>
      <c r="AA1640" s="4"/>
      <c r="AB1640" s="40" t="s">
        <v>2939</v>
      </c>
      <c r="AC1640" s="4"/>
      <c r="AD1640" s="4"/>
      <c r="AE1640" s="4"/>
      <c r="AF1640" s="40" t="s">
        <v>2939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473</v>
      </c>
      <c r="E1641" s="4" t="s">
        <v>300</v>
      </c>
      <c r="F1641" s="4" t="s">
        <v>4787</v>
      </c>
      <c r="G1641" s="382" t="s">
        <v>5605</v>
      </c>
      <c r="H1641" s="457" t="s">
        <v>5606</v>
      </c>
      <c r="I1641" s="447" t="s">
        <v>5610</v>
      </c>
      <c r="J1641" s="43">
        <v>200720</v>
      </c>
      <c r="K1641" s="43">
        <v>2661904</v>
      </c>
      <c r="L1641" s="43" t="s">
        <v>40</v>
      </c>
      <c r="M1641" s="44">
        <v>10</v>
      </c>
      <c r="N1641" s="43">
        <v>44</v>
      </c>
      <c r="O1641" s="43">
        <v>131</v>
      </c>
      <c r="P1641" s="43" t="s">
        <v>41</v>
      </c>
      <c r="Q1641" s="43">
        <v>38</v>
      </c>
      <c r="R1641" s="43">
        <v>319</v>
      </c>
      <c r="S1641" s="43">
        <v>59</v>
      </c>
      <c r="T1641" s="388" t="s">
        <v>2907</v>
      </c>
      <c r="U1641" s="79" t="s">
        <v>8</v>
      </c>
      <c r="V1641" s="150" t="s">
        <v>92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2939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473</v>
      </c>
      <c r="E1642" s="4" t="s">
        <v>300</v>
      </c>
      <c r="F1642" s="4" t="s">
        <v>4788</v>
      </c>
      <c r="G1642" s="382" t="s">
        <v>5605</v>
      </c>
      <c r="H1642" s="456" t="s">
        <v>5608</v>
      </c>
      <c r="I1642" s="447" t="s">
        <v>5610</v>
      </c>
      <c r="J1642" s="43">
        <v>200720</v>
      </c>
      <c r="K1642" s="43">
        <v>2661904</v>
      </c>
      <c r="L1642" s="43" t="s">
        <v>40</v>
      </c>
      <c r="M1642" s="44">
        <v>10</v>
      </c>
      <c r="N1642" s="43">
        <v>44</v>
      </c>
      <c r="O1642" s="43">
        <v>131</v>
      </c>
      <c r="P1642" s="43" t="s">
        <v>41</v>
      </c>
      <c r="Q1642" s="43">
        <v>38</v>
      </c>
      <c r="R1642" s="43">
        <v>319</v>
      </c>
      <c r="S1642" s="43">
        <v>59</v>
      </c>
      <c r="T1642" s="388" t="s">
        <v>2907</v>
      </c>
      <c r="U1642" s="79" t="str">
        <f>U1641</f>
        <v>監測</v>
      </c>
      <c r="V1642" s="150" t="s">
        <v>92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2939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3104</v>
      </c>
      <c r="C1643" s="40">
        <v>935</v>
      </c>
      <c r="D1643" s="38" t="s">
        <v>588</v>
      </c>
      <c r="E1643" s="4" t="s">
        <v>457</v>
      </c>
      <c r="F1643" s="4" t="s">
        <v>4789</v>
      </c>
      <c r="G1643" s="382" t="s">
        <v>5605</v>
      </c>
      <c r="H1643" s="457" t="s">
        <v>5606</v>
      </c>
      <c r="I1643" s="447" t="s">
        <v>5610</v>
      </c>
      <c r="J1643" s="42">
        <v>195010</v>
      </c>
      <c r="K1643" s="42">
        <v>2662591</v>
      </c>
      <c r="L1643" s="43" t="s">
        <v>655</v>
      </c>
      <c r="M1643" s="44">
        <v>11.2</v>
      </c>
      <c r="N1643" s="43">
        <v>136</v>
      </c>
      <c r="O1643" s="43">
        <v>28.6</v>
      </c>
      <c r="P1643" s="43" t="s">
        <v>192</v>
      </c>
      <c r="Q1643" s="43">
        <v>31</v>
      </c>
      <c r="R1643" s="43">
        <v>206</v>
      </c>
      <c r="S1643" s="43">
        <v>29.8</v>
      </c>
      <c r="T1643" s="388" t="s">
        <v>2907</v>
      </c>
      <c r="U1643" s="2" t="s">
        <v>240</v>
      </c>
      <c r="V1643" s="150" t="s">
        <v>92</v>
      </c>
      <c r="W1643" s="38">
        <v>109</v>
      </c>
      <c r="X1643" s="4"/>
      <c r="Y1643" s="4"/>
      <c r="Z1643" s="4"/>
      <c r="AA1643" s="4"/>
      <c r="AB1643" s="4"/>
      <c r="AC1643" s="40" t="s">
        <v>2894</v>
      </c>
      <c r="AD1643" s="4"/>
      <c r="AE1643" s="4"/>
      <c r="AF1643" s="40" t="s">
        <v>2894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3105</v>
      </c>
      <c r="C1644" s="40">
        <v>938</v>
      </c>
      <c r="D1644" s="38" t="s">
        <v>588</v>
      </c>
      <c r="E1644" s="4" t="s">
        <v>457</v>
      </c>
      <c r="F1644" s="4" t="s">
        <v>4790</v>
      </c>
      <c r="G1644" s="382" t="s">
        <v>5605</v>
      </c>
      <c r="H1644" s="457" t="s">
        <v>5606</v>
      </c>
      <c r="I1644" s="447" t="s">
        <v>5610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236</v>
      </c>
      <c r="Q1644" s="43">
        <v>30.8</v>
      </c>
      <c r="R1644" s="43">
        <v>244</v>
      </c>
      <c r="S1644" s="43">
        <v>27.3</v>
      </c>
      <c r="T1644" s="388" t="s">
        <v>2907</v>
      </c>
      <c r="U1644" s="2" t="s">
        <v>240</v>
      </c>
      <c r="V1644" s="150" t="s">
        <v>92</v>
      </c>
      <c r="W1644" s="38">
        <v>109</v>
      </c>
      <c r="X1644" s="4"/>
      <c r="Y1644" s="4"/>
      <c r="Z1644" s="4"/>
      <c r="AA1644" s="4"/>
      <c r="AB1644" s="4"/>
      <c r="AC1644" s="40" t="s">
        <v>2894</v>
      </c>
      <c r="AD1644" s="4"/>
      <c r="AE1644" s="4"/>
      <c r="AF1644" s="40" t="s">
        <v>2894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3106</v>
      </c>
      <c r="C1645" s="40">
        <v>918</v>
      </c>
      <c r="D1645" s="38" t="s">
        <v>597</v>
      </c>
      <c r="E1645" s="4" t="s">
        <v>457</v>
      </c>
      <c r="F1645" s="4" t="s">
        <v>4791</v>
      </c>
      <c r="G1645" s="382" t="s">
        <v>5605</v>
      </c>
      <c r="H1645" s="457" t="s">
        <v>5606</v>
      </c>
      <c r="I1645" s="447" t="s">
        <v>5610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2907</v>
      </c>
      <c r="U1645" s="2" t="s">
        <v>240</v>
      </c>
      <c r="V1645" s="150" t="s">
        <v>92</v>
      </c>
      <c r="W1645" s="41">
        <v>109</v>
      </c>
      <c r="X1645" s="4"/>
      <c r="Y1645" s="4"/>
      <c r="Z1645" s="4"/>
      <c r="AA1645" s="4"/>
      <c r="AB1645" s="4"/>
      <c r="AC1645" s="40" t="s">
        <v>2894</v>
      </c>
      <c r="AD1645" s="4"/>
      <c r="AE1645" s="4"/>
      <c r="AF1645" s="40" t="s">
        <v>2894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581</v>
      </c>
      <c r="C1646" s="40">
        <v>1821</v>
      </c>
      <c r="D1646" s="38" t="s">
        <v>579</v>
      </c>
      <c r="E1646" s="4" t="s">
        <v>300</v>
      </c>
      <c r="F1646" s="4" t="s">
        <v>4792</v>
      </c>
      <c r="G1646" s="382" t="s">
        <v>5605</v>
      </c>
      <c r="H1646" s="457" t="s">
        <v>5606</v>
      </c>
      <c r="I1646" s="447" t="s">
        <v>5610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2907</v>
      </c>
      <c r="U1646" s="2" t="s">
        <v>8</v>
      </c>
      <c r="V1646" s="150" t="s">
        <v>92</v>
      </c>
      <c r="W1646" s="41">
        <v>109</v>
      </c>
      <c r="X1646" s="4"/>
      <c r="Y1646" s="392"/>
      <c r="Z1646" s="4"/>
      <c r="AA1646" s="4"/>
      <c r="AB1646" s="40" t="s">
        <v>2894</v>
      </c>
      <c r="AC1646" s="4"/>
      <c r="AD1646" s="4"/>
      <c r="AE1646" s="4"/>
      <c r="AF1646" s="40" t="s">
        <v>2894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3107</v>
      </c>
      <c r="C1647" s="40">
        <v>1253</v>
      </c>
      <c r="D1647" s="38" t="s">
        <v>808</v>
      </c>
      <c r="E1647" s="4" t="s">
        <v>457</v>
      </c>
      <c r="F1647" s="4" t="s">
        <v>4793</v>
      </c>
      <c r="G1647" s="382" t="s">
        <v>5605</v>
      </c>
      <c r="H1647" s="457" t="s">
        <v>5606</v>
      </c>
      <c r="I1647" s="447" t="s">
        <v>5610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2907</v>
      </c>
      <c r="U1647" s="2" t="s">
        <v>8</v>
      </c>
      <c r="V1647" s="150" t="s">
        <v>92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3108</v>
      </c>
      <c r="C1648" s="40">
        <v>2357</v>
      </c>
      <c r="D1648" s="38" t="s">
        <v>855</v>
      </c>
      <c r="E1648" s="4" t="s">
        <v>300</v>
      </c>
      <c r="F1648" s="4" t="s">
        <v>4794</v>
      </c>
      <c r="G1648" s="382" t="s">
        <v>5605</v>
      </c>
      <c r="H1648" s="457" t="s">
        <v>5606</v>
      </c>
      <c r="I1648" s="447" t="s">
        <v>5610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2907</v>
      </c>
      <c r="U1648" s="2" t="s">
        <v>8</v>
      </c>
      <c r="V1648" s="150" t="s">
        <v>92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3109</v>
      </c>
      <c r="C1649" s="40">
        <v>970</v>
      </c>
      <c r="D1649" s="38" t="s">
        <v>911</v>
      </c>
      <c r="E1649" s="4" t="s">
        <v>300</v>
      </c>
      <c r="F1649" s="4" t="s">
        <v>4795</v>
      </c>
      <c r="G1649" s="382" t="s">
        <v>5605</v>
      </c>
      <c r="H1649" s="457" t="s">
        <v>5606</v>
      </c>
      <c r="I1649" s="447" t="s">
        <v>5610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2907</v>
      </c>
      <c r="U1649" s="2" t="s">
        <v>8</v>
      </c>
      <c r="V1649" s="150" t="s">
        <v>92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912</v>
      </c>
      <c r="C1650" s="40">
        <v>971</v>
      </c>
      <c r="D1650" s="38" t="s">
        <v>911</v>
      </c>
      <c r="E1650" s="4" t="s">
        <v>300</v>
      </c>
      <c r="F1650" s="4" t="s">
        <v>4796</v>
      </c>
      <c r="G1650" s="382" t="s">
        <v>5605</v>
      </c>
      <c r="H1650" s="456" t="s">
        <v>5608</v>
      </c>
      <c r="I1650" s="447" t="s">
        <v>5610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2907</v>
      </c>
      <c r="U1650" s="2" t="str">
        <f>U1649</f>
        <v>監測</v>
      </c>
      <c r="V1650" s="150" t="s">
        <v>92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946</v>
      </c>
      <c r="C1651" s="40">
        <v>1254</v>
      </c>
      <c r="D1651" s="38" t="s">
        <v>938</v>
      </c>
      <c r="E1651" s="4" t="s">
        <v>457</v>
      </c>
      <c r="F1651" s="4" t="s">
        <v>4797</v>
      </c>
      <c r="G1651" s="382" t="s">
        <v>5605</v>
      </c>
      <c r="H1651" s="457" t="s">
        <v>5606</v>
      </c>
      <c r="I1651" s="447" t="s">
        <v>5610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2907</v>
      </c>
      <c r="U1651" s="2" t="s">
        <v>8</v>
      </c>
      <c r="V1651" s="150" t="s">
        <v>92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1013</v>
      </c>
      <c r="C1652" s="40">
        <v>2335</v>
      </c>
      <c r="D1652" s="38" t="s">
        <v>1011</v>
      </c>
      <c r="E1652" s="4" t="s">
        <v>300</v>
      </c>
      <c r="F1652" s="4" t="s">
        <v>4798</v>
      </c>
      <c r="G1652" s="382" t="s">
        <v>5605</v>
      </c>
      <c r="H1652" s="457" t="s">
        <v>5606</v>
      </c>
      <c r="I1652" s="447" t="s">
        <v>5610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2907</v>
      </c>
      <c r="U1652" s="2" t="s">
        <v>8</v>
      </c>
      <c r="V1652" s="150" t="s">
        <v>92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1015</v>
      </c>
      <c r="C1653" s="40">
        <v>2334</v>
      </c>
      <c r="D1653" s="38" t="s">
        <v>1011</v>
      </c>
      <c r="E1653" s="4" t="s">
        <v>300</v>
      </c>
      <c r="F1653" s="4" t="s">
        <v>4799</v>
      </c>
      <c r="G1653" s="382" t="s">
        <v>5605</v>
      </c>
      <c r="H1653" s="456" t="s">
        <v>5608</v>
      </c>
      <c r="I1653" s="447" t="s">
        <v>5610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2907</v>
      </c>
      <c r="U1653" s="2" t="s">
        <v>8</v>
      </c>
      <c r="V1653" s="150" t="s">
        <v>92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1247</v>
      </c>
      <c r="E1654" s="4" t="s">
        <v>300</v>
      </c>
      <c r="F1654" s="4" t="s">
        <v>4800</v>
      </c>
      <c r="G1654" s="382" t="s">
        <v>5605</v>
      </c>
      <c r="H1654" s="456" t="s">
        <v>5608</v>
      </c>
      <c r="I1654" s="447" t="s">
        <v>5610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2907</v>
      </c>
      <c r="U1654" s="2" t="s">
        <v>8</v>
      </c>
      <c r="V1654" s="150" t="s">
        <v>92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1247</v>
      </c>
      <c r="E1655" s="4" t="s">
        <v>300</v>
      </c>
      <c r="F1655" s="4" t="s">
        <v>4801</v>
      </c>
      <c r="G1655" s="382" t="s">
        <v>5605</v>
      </c>
      <c r="H1655" s="456" t="s">
        <v>5608</v>
      </c>
      <c r="I1655" s="447" t="s">
        <v>5610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2907</v>
      </c>
      <c r="U1655" s="2" t="s">
        <v>8</v>
      </c>
      <c r="V1655" s="150" t="s">
        <v>92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1324</v>
      </c>
      <c r="C1656" s="40">
        <v>1225</v>
      </c>
      <c r="D1656" s="38" t="s">
        <v>1319</v>
      </c>
      <c r="E1656" s="4" t="s">
        <v>457</v>
      </c>
      <c r="F1656" s="4" t="s">
        <v>4802</v>
      </c>
      <c r="G1656" s="382" t="s">
        <v>5605</v>
      </c>
      <c r="H1656" s="457" t="s">
        <v>5606</v>
      </c>
      <c r="I1656" s="447" t="s">
        <v>5610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2907</v>
      </c>
      <c r="U1656" s="2" t="s">
        <v>8</v>
      </c>
      <c r="V1656" s="150" t="s">
        <v>1193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1325</v>
      </c>
      <c r="C1657" s="40">
        <v>1226</v>
      </c>
      <c r="D1657" s="38" t="s">
        <v>1319</v>
      </c>
      <c r="E1657" s="4" t="s">
        <v>457</v>
      </c>
      <c r="F1657" s="4" t="s">
        <v>4803</v>
      </c>
      <c r="G1657" s="382" t="s">
        <v>5605</v>
      </c>
      <c r="H1657" s="457" t="s">
        <v>5606</v>
      </c>
      <c r="I1657" s="447" t="s">
        <v>5610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2907</v>
      </c>
      <c r="U1657" s="2" t="s">
        <v>8</v>
      </c>
      <c r="V1657" s="150" t="s">
        <v>1193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1328</v>
      </c>
      <c r="C1658" s="40">
        <v>1263</v>
      </c>
      <c r="D1658" s="38" t="s">
        <v>1327</v>
      </c>
      <c r="E1658" s="4" t="s">
        <v>457</v>
      </c>
      <c r="F1658" s="4" t="s">
        <v>4804</v>
      </c>
      <c r="G1658" s="382" t="s">
        <v>5605</v>
      </c>
      <c r="H1658" s="457" t="s">
        <v>5606</v>
      </c>
      <c r="I1658" s="447" t="s">
        <v>5610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2907</v>
      </c>
      <c r="U1658" s="2" t="s">
        <v>8</v>
      </c>
      <c r="V1658" s="150" t="s">
        <v>92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1371</v>
      </c>
      <c r="C1659" s="40">
        <v>325</v>
      </c>
      <c r="D1659" s="38" t="s">
        <v>1370</v>
      </c>
      <c r="E1659" s="4" t="s">
        <v>1010</v>
      </c>
      <c r="F1659" s="4" t="s">
        <v>4805</v>
      </c>
      <c r="G1659" s="382" t="s">
        <v>5605</v>
      </c>
      <c r="H1659" s="457" t="s">
        <v>5606</v>
      </c>
      <c r="I1659" s="447" t="s">
        <v>5610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2907</v>
      </c>
      <c r="U1659" s="2" t="s">
        <v>8</v>
      </c>
      <c r="V1659" s="150" t="s">
        <v>92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1411</v>
      </c>
      <c r="C1660" s="40">
        <v>2288</v>
      </c>
      <c r="D1660" s="38" t="s">
        <v>1409</v>
      </c>
      <c r="E1660" s="4" t="s">
        <v>300</v>
      </c>
      <c r="F1660" s="4" t="s">
        <v>4806</v>
      </c>
      <c r="G1660" s="382" t="s">
        <v>5605</v>
      </c>
      <c r="H1660" s="457" t="s">
        <v>5606</v>
      </c>
      <c r="I1660" s="447" t="s">
        <v>5610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2907</v>
      </c>
      <c r="U1660" s="2" t="s">
        <v>8</v>
      </c>
      <c r="V1660" s="150" t="s">
        <v>92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1412</v>
      </c>
      <c r="C1661" s="40">
        <v>2289</v>
      </c>
      <c r="D1661" s="38" t="s">
        <v>1409</v>
      </c>
      <c r="E1661" s="4" t="s">
        <v>300</v>
      </c>
      <c r="F1661" s="4" t="s">
        <v>4807</v>
      </c>
      <c r="G1661" s="382" t="s">
        <v>5605</v>
      </c>
      <c r="H1661" s="456" t="s">
        <v>5608</v>
      </c>
      <c r="I1661" s="447" t="s">
        <v>5610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2907</v>
      </c>
      <c r="U1661" s="2" t="s">
        <v>8</v>
      </c>
      <c r="V1661" s="150" t="s">
        <v>92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1413</v>
      </c>
      <c r="C1662" s="40">
        <v>2290</v>
      </c>
      <c r="D1662" s="38" t="s">
        <v>1409</v>
      </c>
      <c r="E1662" s="4" t="s">
        <v>300</v>
      </c>
      <c r="F1662" s="4" t="s">
        <v>4808</v>
      </c>
      <c r="G1662" s="382" t="s">
        <v>5605</v>
      </c>
      <c r="H1662" s="456" t="s">
        <v>5608</v>
      </c>
      <c r="I1662" s="447" t="s">
        <v>5610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2907</v>
      </c>
      <c r="U1662" s="2" t="s">
        <v>8</v>
      </c>
      <c r="V1662" s="150" t="s">
        <v>92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1416</v>
      </c>
      <c r="C1663" s="40">
        <v>2225</v>
      </c>
      <c r="D1663" s="38" t="s">
        <v>1409</v>
      </c>
      <c r="E1663" s="4" t="s">
        <v>300</v>
      </c>
      <c r="F1663" s="4" t="s">
        <v>4809</v>
      </c>
      <c r="G1663" s="382" t="s">
        <v>5605</v>
      </c>
      <c r="H1663" s="456" t="s">
        <v>5608</v>
      </c>
      <c r="I1663" s="447" t="s">
        <v>5610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2907</v>
      </c>
      <c r="U1663" s="2" t="s">
        <v>8</v>
      </c>
      <c r="V1663" s="150" t="s">
        <v>92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1417</v>
      </c>
      <c r="C1664" s="40">
        <v>2236</v>
      </c>
      <c r="D1664" s="38" t="s">
        <v>1409</v>
      </c>
      <c r="E1664" s="4" t="s">
        <v>300</v>
      </c>
      <c r="F1664" s="4" t="s">
        <v>4810</v>
      </c>
      <c r="G1664" s="382" t="s">
        <v>5605</v>
      </c>
      <c r="H1664" s="456" t="s">
        <v>5608</v>
      </c>
      <c r="I1664" s="447" t="s">
        <v>5610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2907</v>
      </c>
      <c r="U1664" s="2" t="s">
        <v>8</v>
      </c>
      <c r="V1664" s="150" t="s">
        <v>92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1418</v>
      </c>
      <c r="C1665" s="40">
        <v>2237</v>
      </c>
      <c r="D1665" s="38" t="s">
        <v>1409</v>
      </c>
      <c r="E1665" s="4" t="s">
        <v>300</v>
      </c>
      <c r="F1665" s="4" t="s">
        <v>4811</v>
      </c>
      <c r="G1665" s="382" t="s">
        <v>5605</v>
      </c>
      <c r="H1665" s="456" t="s">
        <v>5608</v>
      </c>
      <c r="I1665" s="447" t="s">
        <v>5610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2907</v>
      </c>
      <c r="U1665" s="2" t="s">
        <v>8</v>
      </c>
      <c r="V1665" s="150" t="s">
        <v>92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1419</v>
      </c>
      <c r="C1666" s="40">
        <v>2238</v>
      </c>
      <c r="D1666" s="38" t="s">
        <v>1409</v>
      </c>
      <c r="E1666" s="4" t="s">
        <v>300</v>
      </c>
      <c r="F1666" s="4" t="s">
        <v>4812</v>
      </c>
      <c r="G1666" s="382" t="s">
        <v>5605</v>
      </c>
      <c r="H1666" s="456" t="s">
        <v>5608</v>
      </c>
      <c r="I1666" s="447" t="s">
        <v>5610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2907</v>
      </c>
      <c r="U1666" s="2" t="s">
        <v>8</v>
      </c>
      <c r="V1666" s="150" t="s">
        <v>92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1420</v>
      </c>
      <c r="C1667" s="40">
        <v>2239</v>
      </c>
      <c r="D1667" s="38" t="s">
        <v>1409</v>
      </c>
      <c r="E1667" s="4" t="s">
        <v>300</v>
      </c>
      <c r="F1667" s="4" t="s">
        <v>4813</v>
      </c>
      <c r="G1667" s="382" t="s">
        <v>5605</v>
      </c>
      <c r="H1667" s="456" t="s">
        <v>5608</v>
      </c>
      <c r="I1667" s="447" t="s">
        <v>5610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2907</v>
      </c>
      <c r="U1667" s="2" t="s">
        <v>8</v>
      </c>
      <c r="V1667" s="150" t="s">
        <v>92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1547</v>
      </c>
      <c r="C1668" s="40">
        <v>2407</v>
      </c>
      <c r="D1668" s="38" t="s">
        <v>1541</v>
      </c>
      <c r="E1668" s="4" t="s">
        <v>1010</v>
      </c>
      <c r="F1668" s="4" t="s">
        <v>4814</v>
      </c>
      <c r="G1668" s="382" t="s">
        <v>5605</v>
      </c>
      <c r="H1668" s="457" t="s">
        <v>5606</v>
      </c>
      <c r="I1668" s="447" t="s">
        <v>5610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2907</v>
      </c>
      <c r="U1668" s="2" t="s">
        <v>8</v>
      </c>
      <c r="V1668" s="150" t="s">
        <v>92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1572</v>
      </c>
      <c r="C1669" s="40">
        <v>2222</v>
      </c>
      <c r="D1669" s="38" t="s">
        <v>1568</v>
      </c>
      <c r="E1669" s="4" t="s">
        <v>300</v>
      </c>
      <c r="F1669" s="4" t="s">
        <v>4815</v>
      </c>
      <c r="G1669" s="382" t="s">
        <v>5605</v>
      </c>
      <c r="H1669" s="457" t="s">
        <v>5606</v>
      </c>
      <c r="I1669" s="447" t="s">
        <v>5610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2907</v>
      </c>
      <c r="U1669" s="2" t="s">
        <v>8</v>
      </c>
      <c r="V1669" s="150" t="s">
        <v>92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1639</v>
      </c>
      <c r="C1670" s="40">
        <v>1501</v>
      </c>
      <c r="D1670" s="38" t="s">
        <v>1638</v>
      </c>
      <c r="E1670" s="4" t="s">
        <v>457</v>
      </c>
      <c r="F1670" s="4" t="s">
        <v>4816</v>
      </c>
      <c r="G1670" s="382" t="s">
        <v>5605</v>
      </c>
      <c r="H1670" s="457" t="s">
        <v>5606</v>
      </c>
      <c r="I1670" s="447" t="s">
        <v>5610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2907</v>
      </c>
      <c r="U1670" s="2" t="s">
        <v>8</v>
      </c>
      <c r="V1670" s="150" t="s">
        <v>92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1771</v>
      </c>
      <c r="C1671" s="40">
        <v>1472</v>
      </c>
      <c r="D1671" s="38" t="s">
        <v>1770</v>
      </c>
      <c r="E1671" s="4" t="s">
        <v>457</v>
      </c>
      <c r="F1671" s="4" t="s">
        <v>4817</v>
      </c>
      <c r="G1671" s="382" t="s">
        <v>5605</v>
      </c>
      <c r="H1671" s="457" t="s">
        <v>5606</v>
      </c>
      <c r="I1671" s="447" t="s">
        <v>5610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2907</v>
      </c>
      <c r="U1671" s="2" t="s">
        <v>8</v>
      </c>
      <c r="V1671" s="150" t="s">
        <v>92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1777</v>
      </c>
      <c r="C1672" s="40">
        <v>1493</v>
      </c>
      <c r="D1672" s="38" t="s">
        <v>1772</v>
      </c>
      <c r="E1672" s="4" t="s">
        <v>457</v>
      </c>
      <c r="F1672" s="4" t="s">
        <v>4818</v>
      </c>
      <c r="G1672" s="382" t="s">
        <v>5605</v>
      </c>
      <c r="H1672" s="457" t="s">
        <v>5606</v>
      </c>
      <c r="I1672" s="447" t="s">
        <v>5610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2907</v>
      </c>
      <c r="U1672" s="2" t="s">
        <v>8</v>
      </c>
      <c r="V1672" s="150" t="s">
        <v>92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1931</v>
      </c>
      <c r="C1673" s="40">
        <v>1757</v>
      </c>
      <c r="D1673" s="38" t="s">
        <v>1929</v>
      </c>
      <c r="E1673" s="4" t="s">
        <v>457</v>
      </c>
      <c r="F1673" s="4" t="s">
        <v>4819</v>
      </c>
      <c r="G1673" s="382" t="s">
        <v>5605</v>
      </c>
      <c r="H1673" s="457" t="s">
        <v>5606</v>
      </c>
      <c r="I1673" s="447" t="s">
        <v>5610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2907</v>
      </c>
      <c r="U1673" s="2" t="s">
        <v>8</v>
      </c>
      <c r="V1673" s="150" t="s">
        <v>92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1932</v>
      </c>
      <c r="C1674" s="40">
        <v>1812</v>
      </c>
      <c r="D1674" s="38" t="s">
        <v>1929</v>
      </c>
      <c r="E1674" s="4" t="s">
        <v>457</v>
      </c>
      <c r="F1674" s="4" t="s">
        <v>4820</v>
      </c>
      <c r="G1674" s="382" t="s">
        <v>5605</v>
      </c>
      <c r="H1674" s="456" t="s">
        <v>5608</v>
      </c>
      <c r="I1674" s="447" t="s">
        <v>5610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886</v>
      </c>
      <c r="Q1674" s="396">
        <v>33.4</v>
      </c>
      <c r="R1674" s="396">
        <v>431</v>
      </c>
      <c r="S1674" s="396">
        <v>34.299999999999997</v>
      </c>
      <c r="T1674" s="388" t="s">
        <v>2907</v>
      </c>
      <c r="U1674" s="2" t="s">
        <v>8</v>
      </c>
      <c r="V1674" s="150" t="s">
        <v>92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1940</v>
      </c>
      <c r="C1675" s="40">
        <v>1736</v>
      </c>
      <c r="D1675" s="38" t="s">
        <v>1938</v>
      </c>
      <c r="E1675" s="4" t="s">
        <v>457</v>
      </c>
      <c r="F1675" s="4" t="s">
        <v>4821</v>
      </c>
      <c r="G1675" s="382" t="s">
        <v>5605</v>
      </c>
      <c r="H1675" s="457" t="s">
        <v>5606</v>
      </c>
      <c r="I1675" s="447" t="s">
        <v>5610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2907</v>
      </c>
      <c r="U1675" s="2" t="s">
        <v>8</v>
      </c>
      <c r="V1675" s="150" t="s">
        <v>92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1944</v>
      </c>
      <c r="C1676" s="40">
        <v>1741</v>
      </c>
      <c r="D1676" s="38" t="s">
        <v>1938</v>
      </c>
      <c r="E1676" s="4" t="s">
        <v>457</v>
      </c>
      <c r="F1676" s="4" t="s">
        <v>4822</v>
      </c>
      <c r="G1676" s="382" t="s">
        <v>5605</v>
      </c>
      <c r="H1676" s="457" t="s">
        <v>5606</v>
      </c>
      <c r="I1676" s="447" t="s">
        <v>5610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2907</v>
      </c>
      <c r="U1676" s="2" t="s">
        <v>8</v>
      </c>
      <c r="V1676" s="150" t="s">
        <v>92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2101</v>
      </c>
      <c r="C1677" s="40">
        <v>1726</v>
      </c>
      <c r="D1677" s="38" t="s">
        <v>2100</v>
      </c>
      <c r="E1677" s="4" t="s">
        <v>457</v>
      </c>
      <c r="F1677" s="4" t="s">
        <v>4823</v>
      </c>
      <c r="G1677" s="382" t="s">
        <v>5605</v>
      </c>
      <c r="H1677" s="457" t="s">
        <v>5606</v>
      </c>
      <c r="I1677" s="447" t="s">
        <v>5610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2907</v>
      </c>
      <c r="U1677" s="2" t="s">
        <v>8</v>
      </c>
      <c r="V1677" s="150" t="s">
        <v>92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2103</v>
      </c>
      <c r="C1678" s="40">
        <v>1748</v>
      </c>
      <c r="D1678" s="38" t="s">
        <v>2100</v>
      </c>
      <c r="E1678" s="4" t="s">
        <v>457</v>
      </c>
      <c r="F1678" s="4" t="s">
        <v>4824</v>
      </c>
      <c r="G1678" s="382" t="s">
        <v>5605</v>
      </c>
      <c r="H1678" s="457" t="s">
        <v>5606</v>
      </c>
      <c r="I1678" s="447" t="s">
        <v>5610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2907</v>
      </c>
      <c r="U1678" s="2" t="s">
        <v>8</v>
      </c>
      <c r="V1678" s="150" t="s">
        <v>92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2104</v>
      </c>
      <c r="C1679" s="40">
        <v>1749</v>
      </c>
      <c r="D1679" s="38" t="s">
        <v>2100</v>
      </c>
      <c r="E1679" s="4" t="s">
        <v>457</v>
      </c>
      <c r="F1679" s="4" t="s">
        <v>4825</v>
      </c>
      <c r="G1679" s="382" t="s">
        <v>5605</v>
      </c>
      <c r="H1679" s="457" t="s">
        <v>5606</v>
      </c>
      <c r="I1679" s="447" t="s">
        <v>5610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2907</v>
      </c>
      <c r="U1679" s="2" t="s">
        <v>8</v>
      </c>
      <c r="V1679" s="150" t="s">
        <v>92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2105</v>
      </c>
      <c r="C1680" s="40">
        <v>1750</v>
      </c>
      <c r="D1680" s="38" t="s">
        <v>2100</v>
      </c>
      <c r="E1680" s="4" t="s">
        <v>457</v>
      </c>
      <c r="F1680" s="4" t="s">
        <v>4826</v>
      </c>
      <c r="G1680" s="382" t="s">
        <v>5605</v>
      </c>
      <c r="H1680" s="457" t="s">
        <v>5606</v>
      </c>
      <c r="I1680" s="447" t="s">
        <v>5610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2907</v>
      </c>
      <c r="U1680" s="2" t="s">
        <v>8</v>
      </c>
      <c r="V1680" s="150" t="s">
        <v>92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2125</v>
      </c>
      <c r="C1681" s="40">
        <v>1746</v>
      </c>
      <c r="D1681" s="38" t="s">
        <v>2124</v>
      </c>
      <c r="E1681" s="4" t="s">
        <v>457</v>
      </c>
      <c r="F1681" s="4" t="s">
        <v>4827</v>
      </c>
      <c r="G1681" s="382" t="s">
        <v>5605</v>
      </c>
      <c r="H1681" s="457" t="s">
        <v>5606</v>
      </c>
      <c r="I1681" s="447" t="s">
        <v>5610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2907</v>
      </c>
      <c r="U1681" s="2" t="s">
        <v>8</v>
      </c>
      <c r="V1681" s="150" t="s">
        <v>92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2134</v>
      </c>
      <c r="C1682" s="40">
        <v>1611</v>
      </c>
      <c r="D1682" s="38" t="s">
        <v>2133</v>
      </c>
      <c r="E1682" s="4" t="s">
        <v>457</v>
      </c>
      <c r="F1682" s="4" t="s">
        <v>4828</v>
      </c>
      <c r="G1682" s="382" t="s">
        <v>5605</v>
      </c>
      <c r="H1682" s="457" t="s">
        <v>5606</v>
      </c>
      <c r="I1682" s="447" t="s">
        <v>5610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2907</v>
      </c>
      <c r="U1682" s="2" t="s">
        <v>8</v>
      </c>
      <c r="V1682" s="150" t="s">
        <v>92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2154</v>
      </c>
      <c r="C1683" s="40">
        <v>1497</v>
      </c>
      <c r="D1683" s="38" t="s">
        <v>2153</v>
      </c>
      <c r="E1683" s="4" t="s">
        <v>457</v>
      </c>
      <c r="F1683" s="4" t="s">
        <v>4829</v>
      </c>
      <c r="G1683" s="382" t="s">
        <v>5605</v>
      </c>
      <c r="H1683" s="457" t="s">
        <v>5606</v>
      </c>
      <c r="I1683" s="447" t="s">
        <v>5610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2907</v>
      </c>
      <c r="U1683" s="2" t="s">
        <v>8</v>
      </c>
      <c r="V1683" s="150" t="s">
        <v>92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2559</v>
      </c>
      <c r="C1684" s="40">
        <v>127</v>
      </c>
      <c r="D1684" s="38" t="s">
        <v>2558</v>
      </c>
      <c r="E1684" s="4" t="s">
        <v>1010</v>
      </c>
      <c r="F1684" s="4" t="s">
        <v>4830</v>
      </c>
      <c r="G1684" s="382" t="s">
        <v>5605</v>
      </c>
      <c r="H1684" s="457" t="s">
        <v>5606</v>
      </c>
      <c r="I1684" s="447" t="s">
        <v>5610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66</v>
      </c>
      <c r="Q1684" s="396">
        <v>42.7</v>
      </c>
      <c r="R1684" s="396">
        <v>538</v>
      </c>
      <c r="S1684" s="396">
        <v>44.1</v>
      </c>
      <c r="T1684" s="388" t="s">
        <v>2907</v>
      </c>
      <c r="U1684" s="2" t="s">
        <v>8</v>
      </c>
      <c r="V1684" s="150" t="s">
        <v>92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2812</v>
      </c>
      <c r="C1685" s="40">
        <v>1431</v>
      </c>
      <c r="D1685" s="38" t="s">
        <v>2810</v>
      </c>
      <c r="E1685" s="4" t="s">
        <v>457</v>
      </c>
      <c r="F1685" s="4" t="s">
        <v>4831</v>
      </c>
      <c r="G1685" s="382" t="s">
        <v>5605</v>
      </c>
      <c r="H1685" s="456" t="s">
        <v>5608</v>
      </c>
      <c r="I1685" s="447" t="s">
        <v>5610</v>
      </c>
      <c r="J1685" s="43">
        <v>196748</v>
      </c>
      <c r="K1685" s="43">
        <v>2666908</v>
      </c>
      <c r="L1685" s="396" t="s">
        <v>412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2907</v>
      </c>
      <c r="U1685" s="2" t="str">
        <f>U1686</f>
        <v>監測</v>
      </c>
      <c r="V1685" s="150" t="s">
        <v>92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2813</v>
      </c>
      <c r="C1686" s="58">
        <v>1432</v>
      </c>
      <c r="D1686" s="56" t="s">
        <v>2810</v>
      </c>
      <c r="E1686" s="400" t="s">
        <v>457</v>
      </c>
      <c r="F1686" s="400" t="s">
        <v>4832</v>
      </c>
      <c r="G1686" s="382" t="s">
        <v>5605</v>
      </c>
      <c r="H1686" s="458" t="s">
        <v>5606</v>
      </c>
      <c r="I1686" s="447" t="s">
        <v>5610</v>
      </c>
      <c r="J1686" s="62">
        <v>196748</v>
      </c>
      <c r="K1686" s="62">
        <v>2666899</v>
      </c>
      <c r="L1686" s="402" t="s">
        <v>831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2907</v>
      </c>
      <c r="U1686" s="59" t="s">
        <v>8</v>
      </c>
      <c r="V1686" s="150" t="s">
        <v>92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1713</v>
      </c>
      <c r="C1687" s="58">
        <v>278</v>
      </c>
      <c r="D1687" s="56" t="s">
        <v>3110</v>
      </c>
      <c r="E1687" s="400" t="s">
        <v>1010</v>
      </c>
      <c r="F1687" s="400" t="s">
        <v>4833</v>
      </c>
      <c r="G1687" s="382" t="s">
        <v>5605</v>
      </c>
      <c r="H1687" s="459" t="s">
        <v>5608</v>
      </c>
      <c r="I1687" s="447" t="s">
        <v>5610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2907</v>
      </c>
      <c r="U1687" s="59" t="s">
        <v>8</v>
      </c>
      <c r="V1687" s="150" t="s">
        <v>92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4834</v>
      </c>
      <c r="G1688" s="382" t="s">
        <v>5605</v>
      </c>
      <c r="H1688" s="460" t="s">
        <v>5606</v>
      </c>
      <c r="I1688" s="447" t="s">
        <v>5610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575</v>
      </c>
      <c r="U1688" s="30" t="s">
        <v>8</v>
      </c>
      <c r="V1688" s="150" t="s">
        <v>92</v>
      </c>
      <c r="W1688" s="27">
        <v>110</v>
      </c>
      <c r="X1688" s="145"/>
      <c r="Y1688" s="145"/>
      <c r="Z1688" s="350"/>
      <c r="AA1688" s="350" t="s">
        <v>303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4835</v>
      </c>
      <c r="G1689" s="382" t="s">
        <v>5605</v>
      </c>
      <c r="H1689" s="457" t="s">
        <v>5606</v>
      </c>
      <c r="I1689" s="447" t="s">
        <v>5610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575</v>
      </c>
      <c r="U1689" s="2" t="s">
        <v>8</v>
      </c>
      <c r="V1689" s="150" t="s">
        <v>92</v>
      </c>
      <c r="W1689" s="38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35</v>
      </c>
      <c r="C1690" s="40">
        <v>2200</v>
      </c>
      <c r="D1690" s="38" t="s">
        <v>34</v>
      </c>
      <c r="E1690" s="4" t="s">
        <v>25</v>
      </c>
      <c r="F1690" s="4" t="s">
        <v>4836</v>
      </c>
      <c r="G1690" s="382" t="s">
        <v>5605</v>
      </c>
      <c r="H1690" s="457" t="s">
        <v>5606</v>
      </c>
      <c r="I1690" s="447" t="s">
        <v>5610</v>
      </c>
      <c r="J1690" s="43">
        <v>204837</v>
      </c>
      <c r="K1690" s="43">
        <v>2654814</v>
      </c>
      <c r="L1690" s="43" t="s">
        <v>36</v>
      </c>
      <c r="M1690" s="44">
        <v>7.85</v>
      </c>
      <c r="N1690" s="43">
        <v>144</v>
      </c>
      <c r="O1690" s="43">
        <v>40.799999999999997</v>
      </c>
      <c r="P1690" s="43" t="s">
        <v>37</v>
      </c>
      <c r="Q1690" s="43">
        <v>28.2</v>
      </c>
      <c r="R1690" s="43">
        <v>126</v>
      </c>
      <c r="S1690" s="43">
        <v>118</v>
      </c>
      <c r="T1690" s="2" t="s">
        <v>575</v>
      </c>
      <c r="U1690" s="2" t="s">
        <v>8</v>
      </c>
      <c r="V1690" s="150" t="s">
        <v>92</v>
      </c>
      <c r="W1690" s="38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35</v>
      </c>
      <c r="C1691" s="40">
        <v>2462</v>
      </c>
      <c r="D1691" s="38" t="s">
        <v>34</v>
      </c>
      <c r="E1691" s="4" t="s">
        <v>25</v>
      </c>
      <c r="F1691" s="4" t="s">
        <v>4837</v>
      </c>
      <c r="G1691" s="382" t="s">
        <v>5605</v>
      </c>
      <c r="H1691" s="457" t="s">
        <v>5606</v>
      </c>
      <c r="I1691" s="447" t="s">
        <v>5610</v>
      </c>
      <c r="J1691" s="43">
        <v>204839</v>
      </c>
      <c r="K1691" s="43">
        <v>2654822</v>
      </c>
      <c r="L1691" s="43" t="s">
        <v>40</v>
      </c>
      <c r="M1691" s="44">
        <v>6</v>
      </c>
      <c r="N1691" s="43">
        <v>123</v>
      </c>
      <c r="O1691" s="43">
        <v>79</v>
      </c>
      <c r="P1691" s="43" t="s">
        <v>41</v>
      </c>
      <c r="Q1691" s="43">
        <v>26</v>
      </c>
      <c r="R1691" s="43">
        <v>100</v>
      </c>
      <c r="S1691" s="43">
        <v>113</v>
      </c>
      <c r="T1691" s="2" t="s">
        <v>575</v>
      </c>
      <c r="U1691" s="2" t="s">
        <v>8</v>
      </c>
      <c r="V1691" s="150" t="s">
        <v>92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99</v>
      </c>
      <c r="C1692" s="40">
        <v>2294</v>
      </c>
      <c r="D1692" s="38" t="s">
        <v>98</v>
      </c>
      <c r="E1692" s="4" t="s">
        <v>48</v>
      </c>
      <c r="F1692" s="4" t="s">
        <v>4838</v>
      </c>
      <c r="G1692" s="382" t="s">
        <v>5605</v>
      </c>
      <c r="H1692" s="457" t="s">
        <v>5606</v>
      </c>
      <c r="I1692" s="447" t="s">
        <v>5610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575</v>
      </c>
      <c r="U1692" s="2" t="s">
        <v>8</v>
      </c>
      <c r="V1692" s="150" t="s">
        <v>92</v>
      </c>
      <c r="W1692" s="38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141</v>
      </c>
      <c r="C1693" s="40">
        <v>2185</v>
      </c>
      <c r="D1693" s="38" t="s">
        <v>140</v>
      </c>
      <c r="E1693" s="4" t="s">
        <v>94</v>
      </c>
      <c r="F1693" s="4" t="s">
        <v>4839</v>
      </c>
      <c r="G1693" s="382" t="s">
        <v>5605</v>
      </c>
      <c r="H1693" s="457" t="s">
        <v>5606</v>
      </c>
      <c r="I1693" s="447" t="s">
        <v>5610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575</v>
      </c>
      <c r="U1693" s="2" t="s">
        <v>8</v>
      </c>
      <c r="V1693" s="150" t="s">
        <v>92</v>
      </c>
      <c r="W1693" s="38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141</v>
      </c>
      <c r="C1694" s="40">
        <v>2455</v>
      </c>
      <c r="D1694" s="38" t="s">
        <v>140</v>
      </c>
      <c r="E1694" s="4" t="s">
        <v>94</v>
      </c>
      <c r="F1694" s="4" t="s">
        <v>4840</v>
      </c>
      <c r="G1694" s="382" t="s">
        <v>5605</v>
      </c>
      <c r="H1694" s="457" t="s">
        <v>5608</v>
      </c>
      <c r="I1694" s="447" t="s">
        <v>5610</v>
      </c>
      <c r="J1694" s="43">
        <v>192830</v>
      </c>
      <c r="K1694" s="43">
        <v>2659011</v>
      </c>
      <c r="L1694" s="43" t="s">
        <v>40</v>
      </c>
      <c r="M1694" s="44">
        <v>9</v>
      </c>
      <c r="N1694" s="43">
        <v>48</v>
      </c>
      <c r="O1694" s="43">
        <v>95</v>
      </c>
      <c r="P1694" s="43" t="s">
        <v>41</v>
      </c>
      <c r="Q1694" s="43">
        <v>38</v>
      </c>
      <c r="R1694" s="43">
        <v>281</v>
      </c>
      <c r="S1694" s="43">
        <v>67</v>
      </c>
      <c r="T1694" s="2" t="s">
        <v>575</v>
      </c>
      <c r="U1694" s="2" t="str">
        <f>U1693</f>
        <v>監測</v>
      </c>
      <c r="V1694" s="150" t="s">
        <v>92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141</v>
      </c>
      <c r="C1695" s="40">
        <v>2456</v>
      </c>
      <c r="D1695" s="38" t="s">
        <v>140</v>
      </c>
      <c r="E1695" s="4" t="s">
        <v>94</v>
      </c>
      <c r="F1695" s="4" t="s">
        <v>4841</v>
      </c>
      <c r="G1695" s="382" t="s">
        <v>5605</v>
      </c>
      <c r="H1695" s="457" t="s">
        <v>5608</v>
      </c>
      <c r="I1695" s="447" t="s">
        <v>5610</v>
      </c>
      <c r="J1695" s="43">
        <v>192830</v>
      </c>
      <c r="K1695" s="43">
        <v>2659011</v>
      </c>
      <c r="L1695" s="43" t="s">
        <v>40</v>
      </c>
      <c r="M1695" s="44">
        <v>9</v>
      </c>
      <c r="N1695" s="43">
        <v>48</v>
      </c>
      <c r="O1695" s="43">
        <v>95</v>
      </c>
      <c r="P1695" s="43" t="s">
        <v>41</v>
      </c>
      <c r="Q1695" s="43">
        <v>38</v>
      </c>
      <c r="R1695" s="43">
        <v>281</v>
      </c>
      <c r="S1695" s="43">
        <v>67</v>
      </c>
      <c r="T1695" s="2" t="s">
        <v>575</v>
      </c>
      <c r="U1695" s="2" t="str">
        <f>U1693</f>
        <v>監測</v>
      </c>
      <c r="V1695" s="150" t="s">
        <v>92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156</v>
      </c>
      <c r="C1696" s="40">
        <v>2009</v>
      </c>
      <c r="D1696" s="38" t="s">
        <v>153</v>
      </c>
      <c r="E1696" s="4" t="s">
        <v>48</v>
      </c>
      <c r="F1696" s="4" t="s">
        <v>4842</v>
      </c>
      <c r="G1696" s="382" t="s">
        <v>5605</v>
      </c>
      <c r="H1696" s="457" t="s">
        <v>5606</v>
      </c>
      <c r="I1696" s="447" t="s">
        <v>5610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575</v>
      </c>
      <c r="U1696" s="2" t="s">
        <v>8</v>
      </c>
      <c r="V1696" s="150" t="s">
        <v>92</v>
      </c>
      <c r="W1696" s="38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270</v>
      </c>
      <c r="C1697" s="40">
        <v>1442</v>
      </c>
      <c r="D1697" s="38" t="s">
        <v>269</v>
      </c>
      <c r="E1697" s="4" t="s">
        <v>246</v>
      </c>
      <c r="F1697" s="4" t="s">
        <v>4843</v>
      </c>
      <c r="G1697" s="382" t="s">
        <v>5605</v>
      </c>
      <c r="H1697" s="457" t="s">
        <v>5606</v>
      </c>
      <c r="I1697" s="447" t="s">
        <v>5610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33</v>
      </c>
      <c r="Q1697" s="43">
        <v>64.8</v>
      </c>
      <c r="R1697" s="43">
        <v>363</v>
      </c>
      <c r="S1697" s="43">
        <v>33.4</v>
      </c>
      <c r="T1697" s="2" t="s">
        <v>575</v>
      </c>
      <c r="U1697" s="41" t="s">
        <v>3102</v>
      </c>
      <c r="V1697" s="150" t="s">
        <v>92</v>
      </c>
      <c r="W1697" s="38">
        <v>111</v>
      </c>
      <c r="X1697" s="4"/>
      <c r="Y1697" s="4"/>
      <c r="Z1697" s="4"/>
      <c r="AA1697" s="4"/>
      <c r="AB1697" s="4"/>
      <c r="AC1697" s="40" t="s">
        <v>2939</v>
      </c>
      <c r="AD1697" s="4"/>
      <c r="AE1697" s="40" t="s">
        <v>2939</v>
      </c>
      <c r="AF1697" s="4"/>
      <c r="AG1697" s="4"/>
      <c r="AH1697" s="40" t="s">
        <v>2939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271</v>
      </c>
      <c r="C1698" s="40">
        <v>1443</v>
      </c>
      <c r="D1698" s="38" t="s">
        <v>269</v>
      </c>
      <c r="E1698" s="4" t="s">
        <v>246</v>
      </c>
      <c r="F1698" s="4" t="s">
        <v>4844</v>
      </c>
      <c r="G1698" s="382" t="s">
        <v>5605</v>
      </c>
      <c r="H1698" s="457" t="s">
        <v>5606</v>
      </c>
      <c r="I1698" s="447" t="s">
        <v>5610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33</v>
      </c>
      <c r="Q1698" s="43">
        <v>62.6</v>
      </c>
      <c r="R1698" s="43">
        <v>351</v>
      </c>
      <c r="S1698" s="43">
        <v>34.6</v>
      </c>
      <c r="T1698" s="2" t="s">
        <v>575</v>
      </c>
      <c r="U1698" s="41" t="s">
        <v>3102</v>
      </c>
      <c r="V1698" s="150" t="s">
        <v>92</v>
      </c>
      <c r="W1698" s="38">
        <v>111</v>
      </c>
      <c r="X1698" s="4"/>
      <c r="Y1698" s="4"/>
      <c r="Z1698" s="4"/>
      <c r="AA1698" s="4"/>
      <c r="AB1698" s="4"/>
      <c r="AC1698" s="40" t="s">
        <v>2939</v>
      </c>
      <c r="AD1698" s="4"/>
      <c r="AE1698" s="40" t="s">
        <v>2939</v>
      </c>
      <c r="AF1698" s="4"/>
      <c r="AG1698" s="4"/>
      <c r="AH1698" s="40" t="s">
        <v>2939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330</v>
      </c>
      <c r="C1699" s="40">
        <v>1859</v>
      </c>
      <c r="D1699" s="38" t="s">
        <v>329</v>
      </c>
      <c r="E1699" s="4" t="s">
        <v>300</v>
      </c>
      <c r="F1699" s="4" t="s">
        <v>4845</v>
      </c>
      <c r="G1699" s="382" t="s">
        <v>5605</v>
      </c>
      <c r="H1699" s="457" t="s">
        <v>5606</v>
      </c>
      <c r="I1699" s="447" t="s">
        <v>5610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331</v>
      </c>
      <c r="Q1699" s="43">
        <v>30.8</v>
      </c>
      <c r="R1699" s="43">
        <v>437</v>
      </c>
      <c r="S1699" s="43">
        <v>43.1</v>
      </c>
      <c r="T1699" s="2" t="s">
        <v>575</v>
      </c>
      <c r="U1699" s="41" t="s">
        <v>3102</v>
      </c>
      <c r="V1699" s="150" t="s">
        <v>92</v>
      </c>
      <c r="W1699" s="38">
        <v>111</v>
      </c>
      <c r="X1699" s="4"/>
      <c r="Y1699" s="392"/>
      <c r="Z1699" s="4"/>
      <c r="AA1699" s="4"/>
      <c r="AB1699" s="40" t="s">
        <v>2939</v>
      </c>
      <c r="AC1699" s="4"/>
      <c r="AD1699" s="4"/>
      <c r="AE1699" s="4"/>
      <c r="AF1699" s="4"/>
      <c r="AG1699" s="4"/>
      <c r="AH1699" s="40" t="s">
        <v>2939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335</v>
      </c>
      <c r="C1700" s="40">
        <v>1171</v>
      </c>
      <c r="D1700" s="38" t="s">
        <v>334</v>
      </c>
      <c r="E1700" s="4" t="s">
        <v>300</v>
      </c>
      <c r="F1700" s="4" t="s">
        <v>4846</v>
      </c>
      <c r="G1700" s="382" t="s">
        <v>5605</v>
      </c>
      <c r="H1700" s="457" t="s">
        <v>5606</v>
      </c>
      <c r="I1700" s="447" t="s">
        <v>5610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575</v>
      </c>
      <c r="U1700" s="2" t="s">
        <v>8</v>
      </c>
      <c r="V1700" s="150" t="s">
        <v>92</v>
      </c>
      <c r="W1700" s="38">
        <v>110</v>
      </c>
      <c r="X1700" s="4"/>
      <c r="Y1700" s="4"/>
      <c r="Z1700" s="4"/>
      <c r="AA1700" s="4"/>
      <c r="AB1700" s="4"/>
      <c r="AC1700" s="40" t="s">
        <v>2939</v>
      </c>
      <c r="AD1700" s="4"/>
      <c r="AE1700" s="4"/>
      <c r="AF1700" s="4"/>
      <c r="AG1700" s="40" t="s">
        <v>2939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339</v>
      </c>
      <c r="C1701" s="40">
        <v>2436</v>
      </c>
      <c r="D1701" s="38" t="s">
        <v>334</v>
      </c>
      <c r="E1701" s="4" t="s">
        <v>300</v>
      </c>
      <c r="F1701" s="4" t="s">
        <v>4847</v>
      </c>
      <c r="G1701" s="382" t="s">
        <v>5605</v>
      </c>
      <c r="H1701" s="457" t="s">
        <v>5606</v>
      </c>
      <c r="I1701" s="447" t="s">
        <v>5610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575</v>
      </c>
      <c r="U1701" s="2" t="str">
        <f>U1700</f>
        <v>監測</v>
      </c>
      <c r="V1701" s="150" t="s">
        <v>92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2939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340</v>
      </c>
      <c r="C1702" s="40">
        <v>2437</v>
      </c>
      <c r="D1702" s="38" t="s">
        <v>334</v>
      </c>
      <c r="E1702" s="4" t="s">
        <v>300</v>
      </c>
      <c r="F1702" s="4" t="s">
        <v>4848</v>
      </c>
      <c r="G1702" s="382" t="s">
        <v>5605</v>
      </c>
      <c r="H1702" s="457" t="s">
        <v>5606</v>
      </c>
      <c r="I1702" s="447" t="s">
        <v>5610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575</v>
      </c>
      <c r="U1702" s="2" t="str">
        <f>U1700</f>
        <v>監測</v>
      </c>
      <c r="V1702" s="150" t="s">
        <v>92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2939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366</v>
      </c>
      <c r="C1703" s="40">
        <v>1446</v>
      </c>
      <c r="D1703" s="38" t="s">
        <v>365</v>
      </c>
      <c r="E1703" s="4" t="s">
        <v>246</v>
      </c>
      <c r="F1703" s="4" t="s">
        <v>4849</v>
      </c>
      <c r="G1703" s="382" t="s">
        <v>5605</v>
      </c>
      <c r="H1703" s="457" t="s">
        <v>5606</v>
      </c>
      <c r="I1703" s="447" t="s">
        <v>5610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575</v>
      </c>
      <c r="U1703" s="2" t="s">
        <v>8</v>
      </c>
      <c r="V1703" s="150" t="s">
        <v>92</v>
      </c>
      <c r="W1703" s="38">
        <v>111</v>
      </c>
      <c r="X1703" s="4"/>
      <c r="Y1703" s="4"/>
      <c r="Z1703" s="4"/>
      <c r="AA1703" s="4"/>
      <c r="AB1703" s="4"/>
      <c r="AC1703" s="40" t="s">
        <v>2939</v>
      </c>
      <c r="AD1703" s="4"/>
      <c r="AE1703" s="40" t="s">
        <v>2939</v>
      </c>
      <c r="AF1703" s="4"/>
      <c r="AG1703" s="4"/>
      <c r="AH1703" s="40" t="s">
        <v>2939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400</v>
      </c>
      <c r="C1704" s="40">
        <v>1079</v>
      </c>
      <c r="D1704" s="38" t="s">
        <v>399</v>
      </c>
      <c r="E1704" s="4" t="s">
        <v>300</v>
      </c>
      <c r="F1704" s="4" t="s">
        <v>4850</v>
      </c>
      <c r="G1704" s="382" t="s">
        <v>5605</v>
      </c>
      <c r="H1704" s="457" t="s">
        <v>5606</v>
      </c>
      <c r="I1704" s="447" t="s">
        <v>5610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575</v>
      </c>
      <c r="U1704" s="2" t="s">
        <v>8</v>
      </c>
      <c r="V1704" s="150" t="s">
        <v>92</v>
      </c>
      <c r="W1704" s="38">
        <v>111</v>
      </c>
      <c r="X1704" s="4"/>
      <c r="Y1704" s="4"/>
      <c r="Z1704" s="4"/>
      <c r="AA1704" s="4"/>
      <c r="AB1704" s="40" t="s">
        <v>2939</v>
      </c>
      <c r="AC1704" s="40" t="s">
        <v>2939</v>
      </c>
      <c r="AD1704" s="4"/>
      <c r="AE1704" s="4"/>
      <c r="AF1704" s="40" t="s">
        <v>2939</v>
      </c>
      <c r="AG1704" s="40" t="s">
        <v>2939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406</v>
      </c>
      <c r="C1705" s="40">
        <v>1074</v>
      </c>
      <c r="D1705" s="38" t="s">
        <v>404</v>
      </c>
      <c r="E1705" s="4" t="s">
        <v>300</v>
      </c>
      <c r="F1705" s="4" t="s">
        <v>4851</v>
      </c>
      <c r="G1705" s="382" t="s">
        <v>5605</v>
      </c>
      <c r="H1705" s="457" t="s">
        <v>5606</v>
      </c>
      <c r="I1705" s="447" t="s">
        <v>5610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575</v>
      </c>
      <c r="U1705" s="2" t="s">
        <v>8</v>
      </c>
      <c r="V1705" s="150" t="s">
        <v>92</v>
      </c>
      <c r="W1705" s="38">
        <v>109</v>
      </c>
      <c r="X1705" s="4"/>
      <c r="Y1705" s="4"/>
      <c r="Z1705" s="4"/>
      <c r="AA1705" s="4"/>
      <c r="AB1705" s="40" t="s">
        <v>2939</v>
      </c>
      <c r="AC1705" s="40" t="s">
        <v>2939</v>
      </c>
      <c r="AD1705" s="4"/>
      <c r="AE1705" s="4"/>
      <c r="AF1705" s="40" t="s">
        <v>2939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517</v>
      </c>
      <c r="C1706" s="40">
        <v>1834</v>
      </c>
      <c r="D1706" s="38" t="s">
        <v>515</v>
      </c>
      <c r="E1706" s="4" t="s">
        <v>300</v>
      </c>
      <c r="F1706" s="4" t="s">
        <v>4852</v>
      </c>
      <c r="G1706" s="382" t="s">
        <v>5605</v>
      </c>
      <c r="H1706" s="457" t="s">
        <v>5606</v>
      </c>
      <c r="I1706" s="447" t="s">
        <v>5610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575</v>
      </c>
      <c r="U1706" s="2" t="str">
        <f>U1705</f>
        <v>監測</v>
      </c>
      <c r="V1706" s="150" t="s">
        <v>92</v>
      </c>
      <c r="W1706" s="41">
        <v>109</v>
      </c>
      <c r="X1706" s="4"/>
      <c r="Y1706" s="392"/>
      <c r="Z1706" s="4"/>
      <c r="AA1706" s="40" t="s">
        <v>2894</v>
      </c>
      <c r="AB1706" s="4"/>
      <c r="AC1706" s="4"/>
      <c r="AD1706" s="4"/>
      <c r="AE1706" s="4"/>
      <c r="AF1706" s="40" t="s">
        <v>2894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524</v>
      </c>
      <c r="C1707" s="161">
        <v>1879</v>
      </c>
      <c r="D1707" s="38" t="s">
        <v>518</v>
      </c>
      <c r="E1707" s="4" t="s">
        <v>300</v>
      </c>
      <c r="F1707" s="4" t="s">
        <v>4853</v>
      </c>
      <c r="G1707" s="382" t="s">
        <v>5605</v>
      </c>
      <c r="H1707" s="457" t="s">
        <v>5606</v>
      </c>
      <c r="I1707" s="447" t="s">
        <v>5610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575</v>
      </c>
      <c r="U1707" s="2" t="s">
        <v>8</v>
      </c>
      <c r="V1707" s="150" t="s">
        <v>92</v>
      </c>
      <c r="W1707" s="41">
        <v>111</v>
      </c>
      <c r="X1707" s="4"/>
      <c r="Y1707" s="392"/>
      <c r="Z1707" s="4"/>
      <c r="AA1707" s="4"/>
      <c r="AB1707" s="40" t="s">
        <v>2898</v>
      </c>
      <c r="AC1707" s="4"/>
      <c r="AD1707" s="4"/>
      <c r="AE1707" s="4"/>
      <c r="AF1707" s="4"/>
      <c r="AG1707" s="4"/>
      <c r="AH1707" s="40" t="s">
        <v>2894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527</v>
      </c>
      <c r="C1708" s="40">
        <v>1822</v>
      </c>
      <c r="D1708" s="38" t="s">
        <v>526</v>
      </c>
      <c r="E1708" s="4" t="s">
        <v>300</v>
      </c>
      <c r="F1708" s="4" t="s">
        <v>4854</v>
      </c>
      <c r="G1708" s="382" t="s">
        <v>5605</v>
      </c>
      <c r="H1708" s="457" t="s">
        <v>5606</v>
      </c>
      <c r="I1708" s="447" t="s">
        <v>5610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575</v>
      </c>
      <c r="U1708" s="2" t="str">
        <f>U1707</f>
        <v>監測</v>
      </c>
      <c r="V1708" s="150" t="s">
        <v>92</v>
      </c>
      <c r="W1708" s="41">
        <v>109</v>
      </c>
      <c r="X1708" s="4"/>
      <c r="Y1708" s="392"/>
      <c r="Z1708" s="4"/>
      <c r="AA1708" s="40" t="s">
        <v>2894</v>
      </c>
      <c r="AB1708" s="4"/>
      <c r="AC1708" s="4"/>
      <c r="AD1708" s="4"/>
      <c r="AE1708" s="4"/>
      <c r="AF1708" s="40" t="s">
        <v>2894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529</v>
      </c>
      <c r="C1709" s="40">
        <v>1881</v>
      </c>
      <c r="D1709" s="38" t="s">
        <v>526</v>
      </c>
      <c r="E1709" s="4" t="s">
        <v>300</v>
      </c>
      <c r="F1709" s="4" t="s">
        <v>4855</v>
      </c>
      <c r="G1709" s="382" t="s">
        <v>5605</v>
      </c>
      <c r="H1709" s="457" t="s">
        <v>5606</v>
      </c>
      <c r="I1709" s="447" t="s">
        <v>5610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575</v>
      </c>
      <c r="U1709" s="2" t="str">
        <f>U1708</f>
        <v>監測</v>
      </c>
      <c r="V1709" s="150" t="s">
        <v>92</v>
      </c>
      <c r="W1709" s="41">
        <v>109</v>
      </c>
      <c r="X1709" s="4"/>
      <c r="Y1709" s="4"/>
      <c r="Z1709" s="4"/>
      <c r="AA1709" s="40" t="s">
        <v>2894</v>
      </c>
      <c r="AB1709" s="4"/>
      <c r="AC1709" s="4"/>
      <c r="AD1709" s="4"/>
      <c r="AE1709" s="4"/>
      <c r="AF1709" s="40" t="s">
        <v>2894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576</v>
      </c>
      <c r="C1710" s="40">
        <v>1862</v>
      </c>
      <c r="D1710" s="38" t="s">
        <v>574</v>
      </c>
      <c r="E1710" s="4" t="s">
        <v>300</v>
      </c>
      <c r="F1710" s="4" t="s">
        <v>4856</v>
      </c>
      <c r="G1710" s="382" t="s">
        <v>5605</v>
      </c>
      <c r="H1710" s="457" t="s">
        <v>5606</v>
      </c>
      <c r="I1710" s="447" t="s">
        <v>5610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331</v>
      </c>
      <c r="Q1710" s="43">
        <v>32.1</v>
      </c>
      <c r="R1710" s="43">
        <v>297</v>
      </c>
      <c r="S1710" s="43">
        <v>116</v>
      </c>
      <c r="T1710" s="2" t="s">
        <v>575</v>
      </c>
      <c r="U1710" s="2" t="s">
        <v>8</v>
      </c>
      <c r="V1710" s="2" t="s">
        <v>575</v>
      </c>
      <c r="W1710" s="41">
        <v>111</v>
      </c>
      <c r="X1710" s="4"/>
      <c r="Y1710" s="392"/>
      <c r="Z1710" s="40" t="s">
        <v>2894</v>
      </c>
      <c r="AA1710" s="4"/>
      <c r="AB1710" s="4"/>
      <c r="AC1710" s="4"/>
      <c r="AD1710" s="4"/>
      <c r="AE1710" s="40" t="s">
        <v>2894</v>
      </c>
      <c r="AF1710" s="4"/>
      <c r="AG1710" s="4"/>
      <c r="AH1710" s="40" t="s">
        <v>2894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576</v>
      </c>
      <c r="C1711" s="40">
        <v>2457</v>
      </c>
      <c r="D1711" s="38" t="s">
        <v>574</v>
      </c>
      <c r="E1711" s="4" t="s">
        <v>300</v>
      </c>
      <c r="F1711" s="4" t="s">
        <v>4857</v>
      </c>
      <c r="G1711" s="382" t="s">
        <v>5605</v>
      </c>
      <c r="H1711" s="457" t="s">
        <v>5606</v>
      </c>
      <c r="I1711" s="447" t="s">
        <v>5610</v>
      </c>
      <c r="J1711" s="43">
        <v>200107</v>
      </c>
      <c r="K1711" s="43">
        <v>2662491</v>
      </c>
      <c r="L1711" s="43" t="s">
        <v>40</v>
      </c>
      <c r="M1711" s="44">
        <v>12</v>
      </c>
      <c r="N1711" s="43">
        <v>75</v>
      </c>
      <c r="O1711" s="43">
        <v>98</v>
      </c>
      <c r="P1711" s="43" t="s">
        <v>41</v>
      </c>
      <c r="Q1711" s="43">
        <v>35</v>
      </c>
      <c r="R1711" s="43">
        <v>270</v>
      </c>
      <c r="S1711" s="43">
        <v>138</v>
      </c>
      <c r="T1711" s="2" t="s">
        <v>575</v>
      </c>
      <c r="U1711" s="2" t="s">
        <v>8</v>
      </c>
      <c r="V1711" s="2" t="s">
        <v>575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2894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576</v>
      </c>
      <c r="C1712" s="40">
        <v>2458</v>
      </c>
      <c r="D1712" s="38" t="s">
        <v>574</v>
      </c>
      <c r="E1712" s="4" t="s">
        <v>300</v>
      </c>
      <c r="F1712" s="4" t="s">
        <v>4858</v>
      </c>
      <c r="G1712" s="382" t="s">
        <v>5605</v>
      </c>
      <c r="H1712" s="457" t="s">
        <v>5608</v>
      </c>
      <c r="I1712" s="447" t="s">
        <v>5610</v>
      </c>
      <c r="J1712" s="43">
        <v>200107</v>
      </c>
      <c r="K1712" s="43">
        <v>2662491</v>
      </c>
      <c r="L1712" s="43" t="s">
        <v>40</v>
      </c>
      <c r="M1712" s="44">
        <v>12</v>
      </c>
      <c r="N1712" s="43">
        <v>75</v>
      </c>
      <c r="O1712" s="43">
        <v>98</v>
      </c>
      <c r="P1712" s="43" t="s">
        <v>41</v>
      </c>
      <c r="Q1712" s="43">
        <v>35</v>
      </c>
      <c r="R1712" s="43">
        <v>270</v>
      </c>
      <c r="S1712" s="43">
        <v>138</v>
      </c>
      <c r="T1712" s="2" t="s">
        <v>575</v>
      </c>
      <c r="U1712" s="2" t="str">
        <f>U1711</f>
        <v>監測</v>
      </c>
      <c r="V1712" s="2" t="s">
        <v>575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2894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582</v>
      </c>
      <c r="C1713" s="40">
        <v>1826</v>
      </c>
      <c r="D1713" s="38" t="s">
        <v>579</v>
      </c>
      <c r="E1713" s="4" t="s">
        <v>300</v>
      </c>
      <c r="F1713" s="4" t="s">
        <v>4859</v>
      </c>
      <c r="G1713" s="382" t="s">
        <v>5605</v>
      </c>
      <c r="H1713" s="457" t="s">
        <v>5608</v>
      </c>
      <c r="I1713" s="447" t="s">
        <v>5610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575</v>
      </c>
      <c r="U1713" s="2" t="str">
        <f>U1712</f>
        <v>監測</v>
      </c>
      <c r="V1713" s="150" t="s">
        <v>92</v>
      </c>
      <c r="W1713" s="41">
        <v>105</v>
      </c>
      <c r="X1713" s="4"/>
      <c r="Y1713" s="392"/>
      <c r="Z1713" s="4"/>
      <c r="AA1713" s="4"/>
      <c r="AB1713" s="40" t="s">
        <v>2894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584</v>
      </c>
      <c r="C1714" s="40">
        <v>1880</v>
      </c>
      <c r="D1714" s="38" t="s">
        <v>579</v>
      </c>
      <c r="E1714" s="4" t="s">
        <v>300</v>
      </c>
      <c r="F1714" s="4" t="s">
        <v>4860</v>
      </c>
      <c r="G1714" s="382" t="s">
        <v>5605</v>
      </c>
      <c r="H1714" s="457" t="s">
        <v>5608</v>
      </c>
      <c r="I1714" s="447" t="s">
        <v>5610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575</v>
      </c>
      <c r="U1714" s="2" t="str">
        <f>U1713</f>
        <v>監測</v>
      </c>
      <c r="V1714" s="150" t="s">
        <v>92</v>
      </c>
      <c r="W1714" s="41">
        <v>105</v>
      </c>
      <c r="X1714" s="4"/>
      <c r="Y1714" s="4"/>
      <c r="Z1714" s="4"/>
      <c r="AA1714" s="4"/>
      <c r="AB1714" s="40" t="s">
        <v>2894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627</v>
      </c>
      <c r="C1715" s="133">
        <v>994</v>
      </c>
      <c r="D1715" s="38" t="s">
        <v>626</v>
      </c>
      <c r="E1715" s="4" t="s">
        <v>300</v>
      </c>
      <c r="F1715" s="4" t="s">
        <v>4861</v>
      </c>
      <c r="G1715" s="382" t="s">
        <v>5605</v>
      </c>
      <c r="H1715" s="457" t="s">
        <v>5606</v>
      </c>
      <c r="I1715" s="447" t="s">
        <v>5610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575</v>
      </c>
      <c r="U1715" s="2" t="s">
        <v>240</v>
      </c>
      <c r="V1715" s="150" t="s">
        <v>92</v>
      </c>
      <c r="W1715" s="41">
        <v>111</v>
      </c>
      <c r="X1715" s="4"/>
      <c r="Y1715" s="4"/>
      <c r="Z1715" s="40" t="s">
        <v>2894</v>
      </c>
      <c r="AA1715" s="4"/>
      <c r="AB1715" s="4"/>
      <c r="AC1715" s="4"/>
      <c r="AD1715" s="40" t="s">
        <v>2894</v>
      </c>
      <c r="AE1715" s="4"/>
      <c r="AF1715" s="4"/>
      <c r="AG1715" s="4"/>
      <c r="AH1715" s="40" t="s">
        <v>2894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666</v>
      </c>
      <c r="C1716" s="38">
        <v>1844</v>
      </c>
      <c r="D1716" s="38" t="s">
        <v>663</v>
      </c>
      <c r="E1716" s="4" t="s">
        <v>300</v>
      </c>
      <c r="F1716" s="4" t="s">
        <v>4862</v>
      </c>
      <c r="G1716" s="382" t="s">
        <v>5605</v>
      </c>
      <c r="H1716" s="457" t="s">
        <v>5606</v>
      </c>
      <c r="I1716" s="447" t="s">
        <v>5610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575</v>
      </c>
      <c r="U1716" s="2" t="s">
        <v>8</v>
      </c>
      <c r="V1716" s="150" t="s">
        <v>92</v>
      </c>
      <c r="W1716" s="38">
        <v>111</v>
      </c>
      <c r="X1716" s="4"/>
      <c r="Y1716" s="392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668</v>
      </c>
      <c r="C1717" s="38">
        <v>1890</v>
      </c>
      <c r="D1717" s="38" t="s">
        <v>663</v>
      </c>
      <c r="E1717" s="4" t="s">
        <v>300</v>
      </c>
      <c r="F1717" s="4" t="s">
        <v>4863</v>
      </c>
      <c r="G1717" s="382" t="s">
        <v>5605</v>
      </c>
      <c r="H1717" s="457" t="s">
        <v>5608</v>
      </c>
      <c r="I1717" s="447" t="s">
        <v>5610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575</v>
      </c>
      <c r="U1717" s="2" t="str">
        <f>U1716</f>
        <v>監測</v>
      </c>
      <c r="V1717" s="150" t="s">
        <v>92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753</v>
      </c>
      <c r="C1718" s="40">
        <v>737</v>
      </c>
      <c r="D1718" s="38" t="s">
        <v>751</v>
      </c>
      <c r="E1718" s="4" t="s">
        <v>300</v>
      </c>
      <c r="F1718" s="4" t="s">
        <v>4864</v>
      </c>
      <c r="G1718" s="382" t="s">
        <v>5605</v>
      </c>
      <c r="H1718" s="457" t="s">
        <v>5606</v>
      </c>
      <c r="I1718" s="447" t="s">
        <v>5610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754</v>
      </c>
      <c r="Q1718" s="396">
        <v>41.9</v>
      </c>
      <c r="R1718" s="396">
        <v>350</v>
      </c>
      <c r="S1718" s="396">
        <v>88.8</v>
      </c>
      <c r="T1718" s="2" t="s">
        <v>575</v>
      </c>
      <c r="U1718" s="2" t="s">
        <v>8</v>
      </c>
      <c r="V1718" s="150" t="s">
        <v>92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755</v>
      </c>
      <c r="C1719" s="40">
        <v>745</v>
      </c>
      <c r="D1719" s="38" t="s">
        <v>751</v>
      </c>
      <c r="E1719" s="4" t="s">
        <v>300</v>
      </c>
      <c r="F1719" s="4" t="s">
        <v>4865</v>
      </c>
      <c r="G1719" s="382" t="s">
        <v>5605</v>
      </c>
      <c r="H1719" s="457" t="s">
        <v>5606</v>
      </c>
      <c r="I1719" s="447" t="s">
        <v>5610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575</v>
      </c>
      <c r="U1719" s="2" t="s">
        <v>8</v>
      </c>
      <c r="V1719" s="150" t="s">
        <v>92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760</v>
      </c>
      <c r="C1720" s="40">
        <v>735</v>
      </c>
      <c r="D1720" s="38" t="s">
        <v>759</v>
      </c>
      <c r="E1720" s="4" t="s">
        <v>300</v>
      </c>
      <c r="F1720" s="4" t="s">
        <v>4866</v>
      </c>
      <c r="G1720" s="382" t="s">
        <v>5605</v>
      </c>
      <c r="H1720" s="457" t="s">
        <v>5606</v>
      </c>
      <c r="I1720" s="447" t="s">
        <v>5610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575</v>
      </c>
      <c r="U1720" s="2" t="s">
        <v>8</v>
      </c>
      <c r="V1720" s="150" t="s">
        <v>92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770</v>
      </c>
      <c r="C1721" s="40">
        <v>825</v>
      </c>
      <c r="D1721" s="38" t="s">
        <v>769</v>
      </c>
      <c r="E1721" s="4" t="s">
        <v>457</v>
      </c>
      <c r="F1721" s="4" t="s">
        <v>4867</v>
      </c>
      <c r="G1721" s="382" t="s">
        <v>5605</v>
      </c>
      <c r="H1721" s="457" t="s">
        <v>5606</v>
      </c>
      <c r="I1721" s="447" t="s">
        <v>5610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575</v>
      </c>
      <c r="U1721" s="2" t="s">
        <v>8</v>
      </c>
      <c r="V1721" s="150" t="s">
        <v>92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851</v>
      </c>
      <c r="C1722" s="40">
        <v>2151</v>
      </c>
      <c r="D1722" s="38" t="s">
        <v>846</v>
      </c>
      <c r="E1722" s="4" t="s">
        <v>300</v>
      </c>
      <c r="F1722" s="4" t="s">
        <v>4868</v>
      </c>
      <c r="G1722" s="382" t="s">
        <v>5605</v>
      </c>
      <c r="H1722" s="457" t="s">
        <v>5606</v>
      </c>
      <c r="I1722" s="447" t="s">
        <v>5610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575</v>
      </c>
      <c r="U1722" s="2" t="s">
        <v>8</v>
      </c>
      <c r="V1722" s="451" t="s">
        <v>575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867</v>
      </c>
      <c r="C1723" s="40">
        <v>740</v>
      </c>
      <c r="D1723" s="38" t="s">
        <v>866</v>
      </c>
      <c r="E1723" s="4" t="s">
        <v>300</v>
      </c>
      <c r="F1723" s="4" t="s">
        <v>4869</v>
      </c>
      <c r="G1723" s="382" t="s">
        <v>5605</v>
      </c>
      <c r="H1723" s="457" t="s">
        <v>5606</v>
      </c>
      <c r="I1723" s="447" t="s">
        <v>5610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77</v>
      </c>
      <c r="Q1723" s="396">
        <v>41.7</v>
      </c>
      <c r="R1723" s="396">
        <v>361</v>
      </c>
      <c r="S1723" s="396">
        <v>105</v>
      </c>
      <c r="T1723" s="2" t="s">
        <v>575</v>
      </c>
      <c r="U1723" s="2" t="s">
        <v>8</v>
      </c>
      <c r="V1723" s="150" t="s">
        <v>92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879</v>
      </c>
      <c r="C1724" s="40">
        <v>714</v>
      </c>
      <c r="D1724" s="38" t="s">
        <v>878</v>
      </c>
      <c r="E1724" s="4" t="s">
        <v>300</v>
      </c>
      <c r="F1724" s="4" t="s">
        <v>4870</v>
      </c>
      <c r="G1724" s="382" t="s">
        <v>5605</v>
      </c>
      <c r="H1724" s="457" t="s">
        <v>5606</v>
      </c>
      <c r="I1724" s="447" t="s">
        <v>5610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575</v>
      </c>
      <c r="U1724" s="2" t="s">
        <v>8</v>
      </c>
      <c r="V1724" s="150" t="s">
        <v>92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880</v>
      </c>
      <c r="C1725" s="40">
        <v>715</v>
      </c>
      <c r="D1725" s="38" t="s">
        <v>878</v>
      </c>
      <c r="E1725" s="4" t="s">
        <v>300</v>
      </c>
      <c r="F1725" s="4" t="s">
        <v>4871</v>
      </c>
      <c r="G1725" s="382" t="s">
        <v>5605</v>
      </c>
      <c r="H1725" s="457" t="s">
        <v>5608</v>
      </c>
      <c r="I1725" s="447" t="s">
        <v>5610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575</v>
      </c>
      <c r="U1725" s="2" t="str">
        <f>U1724</f>
        <v>監測</v>
      </c>
      <c r="V1725" s="150" t="s">
        <v>92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881</v>
      </c>
      <c r="C1726" s="40">
        <v>716</v>
      </c>
      <c r="D1726" s="38" t="s">
        <v>878</v>
      </c>
      <c r="E1726" s="4" t="s">
        <v>300</v>
      </c>
      <c r="F1726" s="4" t="s">
        <v>4872</v>
      </c>
      <c r="G1726" s="382" t="s">
        <v>5605</v>
      </c>
      <c r="H1726" s="457" t="s">
        <v>5608</v>
      </c>
      <c r="I1726" s="447" t="s">
        <v>5610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575</v>
      </c>
      <c r="U1726" s="2" t="str">
        <f>U1724</f>
        <v>監測</v>
      </c>
      <c r="V1726" s="150" t="s">
        <v>92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882</v>
      </c>
      <c r="C1727" s="40">
        <v>717</v>
      </c>
      <c r="D1727" s="38" t="s">
        <v>878</v>
      </c>
      <c r="E1727" s="4" t="s">
        <v>300</v>
      </c>
      <c r="F1727" s="4" t="s">
        <v>4873</v>
      </c>
      <c r="G1727" s="382" t="s">
        <v>5605</v>
      </c>
      <c r="H1727" s="457" t="s">
        <v>5608</v>
      </c>
      <c r="I1727" s="447" t="s">
        <v>5610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575</v>
      </c>
      <c r="U1727" s="2" t="str">
        <f>U1724</f>
        <v>監測</v>
      </c>
      <c r="V1727" s="150" t="s">
        <v>92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883</v>
      </c>
      <c r="C1728" s="40">
        <v>718</v>
      </c>
      <c r="D1728" s="38" t="s">
        <v>878</v>
      </c>
      <c r="E1728" s="4" t="s">
        <v>300</v>
      </c>
      <c r="F1728" s="4" t="s">
        <v>4874</v>
      </c>
      <c r="G1728" s="382" t="s">
        <v>5605</v>
      </c>
      <c r="H1728" s="457" t="s">
        <v>5608</v>
      </c>
      <c r="I1728" s="447" t="s">
        <v>5610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575</v>
      </c>
      <c r="U1728" s="2" t="str">
        <f>U1724</f>
        <v>監測</v>
      </c>
      <c r="V1728" s="150" t="s">
        <v>92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884</v>
      </c>
      <c r="C1729" s="40">
        <v>719</v>
      </c>
      <c r="D1729" s="38" t="s">
        <v>878</v>
      </c>
      <c r="E1729" s="4" t="s">
        <v>300</v>
      </c>
      <c r="F1729" s="4" t="s">
        <v>4875</v>
      </c>
      <c r="G1729" s="382" t="s">
        <v>5605</v>
      </c>
      <c r="H1729" s="457" t="s">
        <v>5608</v>
      </c>
      <c r="I1729" s="447" t="s">
        <v>5610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575</v>
      </c>
      <c r="U1729" s="2" t="str">
        <f>U1724</f>
        <v>監測</v>
      </c>
      <c r="V1729" s="150" t="s">
        <v>92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981</v>
      </c>
      <c r="C1730" s="40">
        <v>1295</v>
      </c>
      <c r="D1730" s="38" t="s">
        <v>979</v>
      </c>
      <c r="E1730" s="4" t="s">
        <v>457</v>
      </c>
      <c r="F1730" s="4" t="s">
        <v>4876</v>
      </c>
      <c r="G1730" s="382" t="s">
        <v>5605</v>
      </c>
      <c r="H1730" s="457" t="s">
        <v>5606</v>
      </c>
      <c r="I1730" s="447" t="s">
        <v>5610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575</v>
      </c>
      <c r="U1730" s="2" t="s">
        <v>8</v>
      </c>
      <c r="V1730" s="150" t="s">
        <v>92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982</v>
      </c>
      <c r="C1731" s="40">
        <v>1296</v>
      </c>
      <c r="D1731" s="38" t="s">
        <v>979</v>
      </c>
      <c r="E1731" s="4" t="s">
        <v>457</v>
      </c>
      <c r="F1731" s="4" t="s">
        <v>4877</v>
      </c>
      <c r="G1731" s="382" t="s">
        <v>5605</v>
      </c>
      <c r="H1731" s="457" t="s">
        <v>5606</v>
      </c>
      <c r="I1731" s="447" t="s">
        <v>5610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102</v>
      </c>
      <c r="Q1731" s="396">
        <v>31.8</v>
      </c>
      <c r="R1731" s="396">
        <v>256</v>
      </c>
      <c r="S1731" s="406">
        <v>60.7</v>
      </c>
      <c r="T1731" s="2" t="s">
        <v>575</v>
      </c>
      <c r="U1731" s="2" t="s">
        <v>8</v>
      </c>
      <c r="V1731" s="150" t="s">
        <v>92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1027</v>
      </c>
      <c r="C1732" s="40">
        <v>730</v>
      </c>
      <c r="D1732" s="38" t="s">
        <v>1026</v>
      </c>
      <c r="E1732" s="4" t="s">
        <v>300</v>
      </c>
      <c r="F1732" s="4" t="s">
        <v>4878</v>
      </c>
      <c r="G1732" s="382" t="s">
        <v>5605</v>
      </c>
      <c r="H1732" s="457" t="s">
        <v>5606</v>
      </c>
      <c r="I1732" s="447" t="s">
        <v>5610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575</v>
      </c>
      <c r="U1732" s="2" t="s">
        <v>8</v>
      </c>
      <c r="V1732" s="150" t="s">
        <v>92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1028</v>
      </c>
      <c r="C1733" s="40">
        <v>744</v>
      </c>
      <c r="D1733" s="38" t="s">
        <v>1026</v>
      </c>
      <c r="E1733" s="4" t="s">
        <v>300</v>
      </c>
      <c r="F1733" s="4" t="s">
        <v>4879</v>
      </c>
      <c r="G1733" s="382" t="s">
        <v>5605</v>
      </c>
      <c r="H1733" s="457" t="s">
        <v>5606</v>
      </c>
      <c r="I1733" s="447" t="s">
        <v>5610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575</v>
      </c>
      <c r="U1733" s="2" t="s">
        <v>8</v>
      </c>
      <c r="V1733" s="150" t="s">
        <v>92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1098</v>
      </c>
      <c r="C1734" s="40">
        <v>1275</v>
      </c>
      <c r="D1734" s="38" t="s">
        <v>1095</v>
      </c>
      <c r="E1734" s="4" t="s">
        <v>457</v>
      </c>
      <c r="F1734" s="4" t="s">
        <v>4880</v>
      </c>
      <c r="G1734" s="382" t="s">
        <v>5605</v>
      </c>
      <c r="H1734" s="457" t="s">
        <v>5606</v>
      </c>
      <c r="I1734" s="447" t="s">
        <v>5610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102</v>
      </c>
      <c r="Q1734" s="396">
        <v>36.700000000000003</v>
      </c>
      <c r="R1734" s="396">
        <v>287</v>
      </c>
      <c r="S1734" s="396">
        <v>35.1</v>
      </c>
      <c r="T1734" s="2" t="s">
        <v>575</v>
      </c>
      <c r="U1734" s="2" t="s">
        <v>8</v>
      </c>
      <c r="V1734" s="150" t="s">
        <v>92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1099</v>
      </c>
      <c r="C1735" s="40">
        <v>1274</v>
      </c>
      <c r="D1735" s="38" t="s">
        <v>1095</v>
      </c>
      <c r="E1735" s="4" t="s">
        <v>457</v>
      </c>
      <c r="F1735" s="4" t="s">
        <v>4881</v>
      </c>
      <c r="G1735" s="382" t="s">
        <v>5605</v>
      </c>
      <c r="H1735" s="457" t="s">
        <v>5608</v>
      </c>
      <c r="I1735" s="447" t="s">
        <v>5610</v>
      </c>
      <c r="J1735" s="43">
        <v>196956</v>
      </c>
      <c r="K1735" s="43">
        <v>2663795</v>
      </c>
      <c r="L1735" s="396" t="s">
        <v>1100</v>
      </c>
      <c r="M1735" s="396">
        <v>4.6399999999999997</v>
      </c>
      <c r="N1735" s="396">
        <v>188</v>
      </c>
      <c r="O1735" s="396">
        <v>46.5</v>
      </c>
      <c r="P1735" s="396" t="s">
        <v>287</v>
      </c>
      <c r="Q1735" s="396">
        <v>50.5</v>
      </c>
      <c r="R1735" s="396">
        <v>360</v>
      </c>
      <c r="S1735" s="396">
        <v>48.9</v>
      </c>
      <c r="T1735" s="2" t="s">
        <v>575</v>
      </c>
      <c r="U1735" s="2" t="str">
        <f>U1734</f>
        <v>監測</v>
      </c>
      <c r="V1735" s="150" t="s">
        <v>92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1104</v>
      </c>
      <c r="C1736" s="40">
        <v>1267</v>
      </c>
      <c r="D1736" s="38" t="s">
        <v>1103</v>
      </c>
      <c r="E1736" s="4" t="s">
        <v>457</v>
      </c>
      <c r="F1736" s="4" t="s">
        <v>4882</v>
      </c>
      <c r="G1736" s="382" t="s">
        <v>5605</v>
      </c>
      <c r="H1736" s="457" t="s">
        <v>5606</v>
      </c>
      <c r="I1736" s="447" t="s">
        <v>5610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575</v>
      </c>
      <c r="U1736" s="2" t="s">
        <v>8</v>
      </c>
      <c r="V1736" s="150" t="s">
        <v>92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1105</v>
      </c>
      <c r="C1737" s="40">
        <v>1425</v>
      </c>
      <c r="D1737" s="38" t="s">
        <v>1103</v>
      </c>
      <c r="E1737" s="4" t="s">
        <v>457</v>
      </c>
      <c r="F1737" s="4" t="s">
        <v>4883</v>
      </c>
      <c r="G1737" s="382" t="s">
        <v>5605</v>
      </c>
      <c r="H1737" s="457" t="s">
        <v>5608</v>
      </c>
      <c r="I1737" s="447" t="s">
        <v>5610</v>
      </c>
      <c r="J1737" s="43">
        <v>197549</v>
      </c>
      <c r="K1737" s="43">
        <v>2663970</v>
      </c>
      <c r="L1737" s="396" t="s">
        <v>391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575</v>
      </c>
      <c r="U1737" s="2" t="str">
        <f>U1736</f>
        <v>監測</v>
      </c>
      <c r="V1737" s="150" t="s">
        <v>92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1200</v>
      </c>
      <c r="C1738" s="40">
        <v>2324</v>
      </c>
      <c r="D1738" s="38" t="s">
        <v>1199</v>
      </c>
      <c r="E1738" s="4" t="s">
        <v>300</v>
      </c>
      <c r="F1738" s="4" t="s">
        <v>4884</v>
      </c>
      <c r="G1738" s="382" t="s">
        <v>5605</v>
      </c>
      <c r="H1738" s="457" t="s">
        <v>5606</v>
      </c>
      <c r="I1738" s="447" t="s">
        <v>5610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575</v>
      </c>
      <c r="U1738" s="2" t="s">
        <v>8</v>
      </c>
      <c r="V1738" s="150" t="s">
        <v>92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1213</v>
      </c>
      <c r="C1739" s="40">
        <v>2313</v>
      </c>
      <c r="D1739" s="38" t="s">
        <v>1209</v>
      </c>
      <c r="E1739" s="4" t="s">
        <v>300</v>
      </c>
      <c r="F1739" s="4" t="s">
        <v>4885</v>
      </c>
      <c r="G1739" s="382" t="s">
        <v>5605</v>
      </c>
      <c r="H1739" s="457" t="s">
        <v>5606</v>
      </c>
      <c r="I1739" s="447" t="s">
        <v>5610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575</v>
      </c>
      <c r="U1739" s="2" t="s">
        <v>8</v>
      </c>
      <c r="V1739" s="150" t="s">
        <v>92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1337</v>
      </c>
      <c r="C1740" s="40">
        <v>596</v>
      </c>
      <c r="D1740" s="38" t="s">
        <v>1336</v>
      </c>
      <c r="E1740" s="4" t="s">
        <v>1010</v>
      </c>
      <c r="F1740" s="4" t="s">
        <v>4886</v>
      </c>
      <c r="G1740" s="382" t="s">
        <v>5605</v>
      </c>
      <c r="H1740" s="457" t="s">
        <v>5606</v>
      </c>
      <c r="I1740" s="447" t="s">
        <v>5610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236</v>
      </c>
      <c r="Q1740" s="396">
        <v>30.5</v>
      </c>
      <c r="R1740" s="396">
        <v>236</v>
      </c>
      <c r="S1740" s="396">
        <v>166</v>
      </c>
      <c r="T1740" s="2" t="s">
        <v>575</v>
      </c>
      <c r="U1740" s="2" t="s">
        <v>8</v>
      </c>
      <c r="V1740" s="150" t="s">
        <v>92</v>
      </c>
      <c r="W1740" s="39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393"/>
      <c r="AK1740" s="393"/>
    </row>
    <row r="1741" spans="1:37" ht="14.4" thickBot="1" x14ac:dyDescent="0.35">
      <c r="A1741" s="15">
        <v>1740</v>
      </c>
      <c r="B1741" s="40" t="s">
        <v>1341</v>
      </c>
      <c r="C1741" s="40">
        <v>287</v>
      </c>
      <c r="D1741" s="38" t="s">
        <v>1339</v>
      </c>
      <c r="E1741" s="4" t="s">
        <v>1010</v>
      </c>
      <c r="F1741" s="4" t="s">
        <v>4887</v>
      </c>
      <c r="G1741" s="382" t="s">
        <v>5605</v>
      </c>
      <c r="H1741" s="457" t="s">
        <v>5606</v>
      </c>
      <c r="I1741" s="447" t="s">
        <v>5610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575</v>
      </c>
      <c r="U1741" s="2" t="s">
        <v>8</v>
      </c>
      <c r="V1741" s="150" t="s">
        <v>92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1394</v>
      </c>
      <c r="C1742" s="40">
        <v>2116</v>
      </c>
      <c r="D1742" s="38" t="s">
        <v>1396</v>
      </c>
      <c r="E1742" s="4" t="s">
        <v>1010</v>
      </c>
      <c r="F1742" s="4" t="s">
        <v>4888</v>
      </c>
      <c r="G1742" s="382" t="s">
        <v>5605</v>
      </c>
      <c r="H1742" s="457" t="s">
        <v>5606</v>
      </c>
      <c r="I1742" s="447" t="s">
        <v>5610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575</v>
      </c>
      <c r="U1742" s="2" t="s">
        <v>8</v>
      </c>
      <c r="V1742" s="150" t="s">
        <v>1193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1403</v>
      </c>
      <c r="C1743" s="40">
        <v>2280</v>
      </c>
      <c r="D1743" s="38" t="s">
        <v>1402</v>
      </c>
      <c r="E1743" s="4" t="s">
        <v>300</v>
      </c>
      <c r="F1743" s="4" t="s">
        <v>4889</v>
      </c>
      <c r="G1743" s="382" t="s">
        <v>5605</v>
      </c>
      <c r="H1743" s="457" t="s">
        <v>5606</v>
      </c>
      <c r="I1743" s="447" t="s">
        <v>5610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575</v>
      </c>
      <c r="U1743" s="2" t="s">
        <v>8</v>
      </c>
      <c r="V1743" s="150" t="s">
        <v>92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1410</v>
      </c>
      <c r="C1744" s="40">
        <v>2250</v>
      </c>
      <c r="D1744" s="38" t="s">
        <v>1409</v>
      </c>
      <c r="E1744" s="4" t="s">
        <v>300</v>
      </c>
      <c r="F1744" s="4" t="s">
        <v>4890</v>
      </c>
      <c r="G1744" s="382" t="s">
        <v>5605</v>
      </c>
      <c r="H1744" s="457" t="s">
        <v>5606</v>
      </c>
      <c r="I1744" s="447" t="s">
        <v>5610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331</v>
      </c>
      <c r="Q1744" s="396">
        <v>30.1</v>
      </c>
      <c r="R1744" s="396">
        <v>321</v>
      </c>
      <c r="S1744" s="396">
        <v>126</v>
      </c>
      <c r="T1744" s="2" t="s">
        <v>575</v>
      </c>
      <c r="U1744" s="2" t="s">
        <v>8</v>
      </c>
      <c r="V1744" s="150" t="s">
        <v>92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1424</v>
      </c>
      <c r="C1745" s="40">
        <v>2240</v>
      </c>
      <c r="D1745" s="38" t="s">
        <v>1421</v>
      </c>
      <c r="E1745" s="4" t="s">
        <v>300</v>
      </c>
      <c r="F1745" s="4" t="s">
        <v>4891</v>
      </c>
      <c r="G1745" s="382" t="s">
        <v>5605</v>
      </c>
      <c r="H1745" s="457" t="s">
        <v>5606</v>
      </c>
      <c r="I1745" s="447" t="s">
        <v>5610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575</v>
      </c>
      <c r="U1745" s="2" t="s">
        <v>8</v>
      </c>
      <c r="V1745" s="150" t="s">
        <v>92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1482</v>
      </c>
      <c r="C1746" s="40">
        <v>1227</v>
      </c>
      <c r="D1746" s="38" t="s">
        <v>1481</v>
      </c>
      <c r="E1746" s="4" t="s">
        <v>457</v>
      </c>
      <c r="F1746" s="4" t="s">
        <v>4892</v>
      </c>
      <c r="G1746" s="382" t="s">
        <v>5605</v>
      </c>
      <c r="H1746" s="457" t="s">
        <v>5606</v>
      </c>
      <c r="I1746" s="447" t="s">
        <v>5610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575</v>
      </c>
      <c r="U1746" s="2" t="s">
        <v>8</v>
      </c>
      <c r="V1746" s="150" t="s">
        <v>92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1484</v>
      </c>
      <c r="C1747" s="40">
        <v>1705</v>
      </c>
      <c r="D1747" s="38" t="s">
        <v>1485</v>
      </c>
      <c r="E1747" s="4" t="s">
        <v>457</v>
      </c>
      <c r="F1747" s="4" t="s">
        <v>4893</v>
      </c>
      <c r="G1747" s="382" t="s">
        <v>5605</v>
      </c>
      <c r="H1747" s="457" t="s">
        <v>5606</v>
      </c>
      <c r="I1747" s="447" t="s">
        <v>5610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575</v>
      </c>
      <c r="U1747" s="2" t="s">
        <v>8</v>
      </c>
      <c r="V1747" s="150" t="s">
        <v>92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1490</v>
      </c>
      <c r="C1748" s="40">
        <v>1704</v>
      </c>
      <c r="D1748" s="38" t="s">
        <v>1488</v>
      </c>
      <c r="E1748" s="4" t="s">
        <v>457</v>
      </c>
      <c r="F1748" s="4" t="s">
        <v>4894</v>
      </c>
      <c r="G1748" s="382" t="s">
        <v>5605</v>
      </c>
      <c r="H1748" s="457" t="s">
        <v>5606</v>
      </c>
      <c r="I1748" s="447" t="s">
        <v>5610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575</v>
      </c>
      <c r="U1748" s="2" t="s">
        <v>8</v>
      </c>
      <c r="V1748" s="150" t="s">
        <v>92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1499</v>
      </c>
      <c r="C1749" s="40">
        <v>609</v>
      </c>
      <c r="D1749" s="38" t="s">
        <v>1491</v>
      </c>
      <c r="E1749" s="4" t="s">
        <v>1010</v>
      </c>
      <c r="F1749" s="4" t="s">
        <v>4895</v>
      </c>
      <c r="G1749" s="382" t="s">
        <v>5605</v>
      </c>
      <c r="H1749" s="457" t="s">
        <v>5606</v>
      </c>
      <c r="I1749" s="447" t="s">
        <v>5610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59</v>
      </c>
      <c r="Q1749" s="396">
        <v>31.5</v>
      </c>
      <c r="R1749" s="396">
        <v>290</v>
      </c>
      <c r="S1749" s="396">
        <v>64</v>
      </c>
      <c r="T1749" s="2" t="s">
        <v>575</v>
      </c>
      <c r="U1749" s="2" t="s">
        <v>8</v>
      </c>
      <c r="V1749" s="150" t="s">
        <v>92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1502</v>
      </c>
      <c r="C1750" s="40">
        <v>608</v>
      </c>
      <c r="D1750" s="38" t="s">
        <v>1491</v>
      </c>
      <c r="E1750" s="4" t="s">
        <v>1010</v>
      </c>
      <c r="F1750" s="4" t="s">
        <v>4896</v>
      </c>
      <c r="G1750" s="382" t="s">
        <v>5605</v>
      </c>
      <c r="H1750" s="457" t="s">
        <v>5608</v>
      </c>
      <c r="I1750" s="447" t="s">
        <v>5610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575</v>
      </c>
      <c r="U1750" s="2" t="str">
        <f>U1749</f>
        <v>監測</v>
      </c>
      <c r="V1750" s="150" t="s">
        <v>92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1510</v>
      </c>
      <c r="C1751" s="40">
        <v>580</v>
      </c>
      <c r="D1751" s="38" t="s">
        <v>1509</v>
      </c>
      <c r="E1751" s="4" t="s">
        <v>1010</v>
      </c>
      <c r="F1751" s="4" t="s">
        <v>4897</v>
      </c>
      <c r="G1751" s="382" t="s">
        <v>5605</v>
      </c>
      <c r="H1751" s="457" t="s">
        <v>5606</v>
      </c>
      <c r="I1751" s="447" t="s">
        <v>5610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566</v>
      </c>
      <c r="Q1751" s="396">
        <v>29.1</v>
      </c>
      <c r="R1751" s="396">
        <v>277</v>
      </c>
      <c r="S1751" s="396">
        <v>81.599999999999994</v>
      </c>
      <c r="T1751" s="2" t="s">
        <v>575</v>
      </c>
      <c r="U1751" s="2" t="s">
        <v>8</v>
      </c>
      <c r="V1751" s="150" t="s">
        <v>92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1522</v>
      </c>
      <c r="C1752" s="40">
        <v>579</v>
      </c>
      <c r="D1752" s="38" t="s">
        <v>1516</v>
      </c>
      <c r="E1752" s="4" t="s">
        <v>1010</v>
      </c>
      <c r="F1752" s="4" t="s">
        <v>4898</v>
      </c>
      <c r="G1752" s="382" t="s">
        <v>5605</v>
      </c>
      <c r="H1752" s="457" t="s">
        <v>5606</v>
      </c>
      <c r="I1752" s="447" t="s">
        <v>5610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575</v>
      </c>
      <c r="U1752" s="2" t="s">
        <v>8</v>
      </c>
      <c r="V1752" s="150" t="s">
        <v>92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1524</v>
      </c>
      <c r="C1753" s="40">
        <v>356</v>
      </c>
      <c r="D1753" s="38" t="s">
        <v>1523</v>
      </c>
      <c r="E1753" s="4" t="s">
        <v>1010</v>
      </c>
      <c r="F1753" s="4" t="s">
        <v>4899</v>
      </c>
      <c r="G1753" s="382" t="s">
        <v>5605</v>
      </c>
      <c r="H1753" s="457" t="s">
        <v>5606</v>
      </c>
      <c r="I1753" s="447" t="s">
        <v>5610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575</v>
      </c>
      <c r="U1753" s="2" t="s">
        <v>8</v>
      </c>
      <c r="V1753" s="150" t="s">
        <v>92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1529</v>
      </c>
      <c r="C1754" s="40">
        <v>351</v>
      </c>
      <c r="D1754" s="38" t="s">
        <v>1526</v>
      </c>
      <c r="E1754" s="4" t="s">
        <v>1010</v>
      </c>
      <c r="F1754" s="4" t="s">
        <v>4900</v>
      </c>
      <c r="G1754" s="382" t="s">
        <v>5605</v>
      </c>
      <c r="H1754" s="457" t="s">
        <v>5606</v>
      </c>
      <c r="I1754" s="447" t="s">
        <v>5610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575</v>
      </c>
      <c r="U1754" s="2" t="s">
        <v>8</v>
      </c>
      <c r="V1754" s="150" t="s">
        <v>92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1530</v>
      </c>
      <c r="C1755" s="40">
        <v>352</v>
      </c>
      <c r="D1755" s="38" t="s">
        <v>1526</v>
      </c>
      <c r="E1755" s="4" t="s">
        <v>1010</v>
      </c>
      <c r="F1755" s="4" t="s">
        <v>4901</v>
      </c>
      <c r="G1755" s="382" t="s">
        <v>5605</v>
      </c>
      <c r="H1755" s="457" t="s">
        <v>5606</v>
      </c>
      <c r="I1755" s="447" t="s">
        <v>5610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575</v>
      </c>
      <c r="U1755" s="2" t="s">
        <v>8</v>
      </c>
      <c r="V1755" s="150" t="s">
        <v>92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1546</v>
      </c>
      <c r="C1756" s="40">
        <v>341</v>
      </c>
      <c r="D1756" s="38" t="s">
        <v>1541</v>
      </c>
      <c r="E1756" s="4" t="s">
        <v>1010</v>
      </c>
      <c r="F1756" s="4" t="s">
        <v>4902</v>
      </c>
      <c r="G1756" s="382" t="s">
        <v>5605</v>
      </c>
      <c r="H1756" s="457" t="s">
        <v>5606</v>
      </c>
      <c r="I1756" s="447" t="s">
        <v>5610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575</v>
      </c>
      <c r="U1756" s="2" t="s">
        <v>8</v>
      </c>
      <c r="V1756" s="150" t="s">
        <v>92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1552</v>
      </c>
      <c r="C1757" s="40">
        <v>338</v>
      </c>
      <c r="D1757" s="38" t="s">
        <v>1541</v>
      </c>
      <c r="E1757" s="4" t="s">
        <v>1010</v>
      </c>
      <c r="F1757" s="4" t="s">
        <v>4903</v>
      </c>
      <c r="G1757" s="382" t="s">
        <v>5605</v>
      </c>
      <c r="H1757" s="457" t="s">
        <v>5606</v>
      </c>
      <c r="I1757" s="447" t="s">
        <v>5610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575</v>
      </c>
      <c r="U1757" s="2" t="s">
        <v>8</v>
      </c>
      <c r="V1757" s="150" t="s">
        <v>92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1562</v>
      </c>
      <c r="C1758" s="40">
        <v>2118</v>
      </c>
      <c r="D1758" s="38" t="s">
        <v>1565</v>
      </c>
      <c r="E1758" s="4" t="s">
        <v>1010</v>
      </c>
      <c r="F1758" s="4" t="s">
        <v>4904</v>
      </c>
      <c r="G1758" s="382" t="s">
        <v>5605</v>
      </c>
      <c r="H1758" s="457" t="s">
        <v>5606</v>
      </c>
      <c r="I1758" s="447" t="s">
        <v>5610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575</v>
      </c>
      <c r="U1758" s="2" t="s">
        <v>8</v>
      </c>
      <c r="V1758" s="150" t="s">
        <v>92</v>
      </c>
      <c r="W1758" s="39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1706</v>
      </c>
      <c r="C1759" s="40">
        <v>2230</v>
      </c>
      <c r="D1759" s="38" t="s">
        <v>1554</v>
      </c>
      <c r="E1759" s="4" t="s">
        <v>300</v>
      </c>
      <c r="F1759" s="4" t="s">
        <v>4905</v>
      </c>
      <c r="G1759" s="382" t="s">
        <v>5605</v>
      </c>
      <c r="H1759" s="457" t="s">
        <v>5606</v>
      </c>
      <c r="I1759" s="447" t="s">
        <v>5610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575</v>
      </c>
      <c r="U1759" s="2" t="s">
        <v>8</v>
      </c>
      <c r="V1759" s="150" t="s">
        <v>92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1620</v>
      </c>
      <c r="C1760" s="40">
        <v>1511</v>
      </c>
      <c r="D1760" s="38" t="s">
        <v>1618</v>
      </c>
      <c r="E1760" s="4" t="s">
        <v>457</v>
      </c>
      <c r="F1760" s="4" t="s">
        <v>4906</v>
      </c>
      <c r="G1760" s="382" t="s">
        <v>5605</v>
      </c>
      <c r="H1760" s="457" t="s">
        <v>5606</v>
      </c>
      <c r="I1760" s="447" t="s">
        <v>5610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575</v>
      </c>
      <c r="U1760" s="2" t="s">
        <v>8</v>
      </c>
      <c r="V1760" s="150" t="s">
        <v>92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1621</v>
      </c>
      <c r="C1761" s="40">
        <v>1515</v>
      </c>
      <c r="D1761" s="38" t="s">
        <v>1618</v>
      </c>
      <c r="E1761" s="4" t="s">
        <v>457</v>
      </c>
      <c r="F1761" s="4" t="s">
        <v>4907</v>
      </c>
      <c r="G1761" s="382" t="s">
        <v>5605</v>
      </c>
      <c r="H1761" s="457" t="s">
        <v>5606</v>
      </c>
      <c r="I1761" s="447" t="s">
        <v>5610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575</v>
      </c>
      <c r="U1761" s="2" t="s">
        <v>8</v>
      </c>
      <c r="V1761" s="150" t="s">
        <v>92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1661</v>
      </c>
      <c r="C1762" s="40">
        <v>537</v>
      </c>
      <c r="D1762" s="38" t="s">
        <v>1660</v>
      </c>
      <c r="E1762" s="4" t="s">
        <v>1010</v>
      </c>
      <c r="F1762" s="4" t="s">
        <v>4908</v>
      </c>
      <c r="G1762" s="382" t="s">
        <v>5605</v>
      </c>
      <c r="H1762" s="457" t="s">
        <v>5606</v>
      </c>
      <c r="I1762" s="447" t="s">
        <v>5610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52</v>
      </c>
      <c r="Q1762" s="396">
        <v>30.7</v>
      </c>
      <c r="R1762" s="396">
        <v>263</v>
      </c>
      <c r="S1762" s="396">
        <v>72.400000000000006</v>
      </c>
      <c r="T1762" s="2" t="s">
        <v>575</v>
      </c>
      <c r="U1762" s="2" t="s">
        <v>8</v>
      </c>
      <c r="V1762" s="150" t="s">
        <v>92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1676</v>
      </c>
      <c r="C1763" s="40">
        <v>558</v>
      </c>
      <c r="D1763" s="38" t="s">
        <v>1675</v>
      </c>
      <c r="E1763" s="4" t="s">
        <v>1010</v>
      </c>
      <c r="F1763" s="4" t="s">
        <v>4909</v>
      </c>
      <c r="G1763" s="382" t="s">
        <v>5605</v>
      </c>
      <c r="H1763" s="457" t="s">
        <v>5606</v>
      </c>
      <c r="I1763" s="447" t="s">
        <v>5610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575</v>
      </c>
      <c r="U1763" s="2" t="s">
        <v>8</v>
      </c>
      <c r="V1763" s="150" t="s">
        <v>92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1720</v>
      </c>
      <c r="C1764" s="40">
        <v>246</v>
      </c>
      <c r="D1764" s="38" t="s">
        <v>1719</v>
      </c>
      <c r="E1764" s="4" t="s">
        <v>1010</v>
      </c>
      <c r="F1764" s="4" t="s">
        <v>4910</v>
      </c>
      <c r="G1764" s="382" t="s">
        <v>5605</v>
      </c>
      <c r="H1764" s="457" t="s">
        <v>5606</v>
      </c>
      <c r="I1764" s="447" t="s">
        <v>5610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575</v>
      </c>
      <c r="U1764" s="2" t="s">
        <v>8</v>
      </c>
      <c r="V1764" s="150" t="s">
        <v>92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393"/>
      <c r="AK1764" s="393"/>
    </row>
    <row r="1765" spans="1:37" ht="14.4" thickBot="1" x14ac:dyDescent="0.35">
      <c r="A1765" s="15">
        <v>1764</v>
      </c>
      <c r="B1765" s="40" t="s">
        <v>1726</v>
      </c>
      <c r="C1765" s="40">
        <v>2084</v>
      </c>
      <c r="D1765" s="38" t="s">
        <v>1725</v>
      </c>
      <c r="E1765" s="4" t="s">
        <v>1010</v>
      </c>
      <c r="F1765" s="4" t="s">
        <v>4911</v>
      </c>
      <c r="G1765" s="382" t="s">
        <v>5605</v>
      </c>
      <c r="H1765" s="457" t="s">
        <v>5606</v>
      </c>
      <c r="I1765" s="447" t="s">
        <v>5610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575</v>
      </c>
      <c r="U1765" s="2" t="s">
        <v>8</v>
      </c>
      <c r="V1765" s="150" t="s">
        <v>92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1739</v>
      </c>
      <c r="C1766" s="40">
        <v>2256</v>
      </c>
      <c r="D1766" s="38" t="s">
        <v>1738</v>
      </c>
      <c r="E1766" s="4" t="s">
        <v>300</v>
      </c>
      <c r="F1766" s="4" t="s">
        <v>4912</v>
      </c>
      <c r="G1766" s="382" t="s">
        <v>5605</v>
      </c>
      <c r="H1766" s="457" t="s">
        <v>5606</v>
      </c>
      <c r="I1766" s="447" t="s">
        <v>5610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331</v>
      </c>
      <c r="Q1766" s="396">
        <v>32.6</v>
      </c>
      <c r="R1766" s="396">
        <v>468</v>
      </c>
      <c r="S1766" s="396">
        <v>177</v>
      </c>
      <c r="T1766" s="2" t="s">
        <v>575</v>
      </c>
      <c r="U1766" s="2" t="s">
        <v>8</v>
      </c>
      <c r="V1766" s="150" t="s">
        <v>92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393"/>
      <c r="AK1766" s="393"/>
    </row>
    <row r="1767" spans="1:37" ht="14.4" thickBot="1" x14ac:dyDescent="0.35">
      <c r="A1767" s="15">
        <v>1766</v>
      </c>
      <c r="B1767" s="40" t="s">
        <v>1757</v>
      </c>
      <c r="C1767" s="40">
        <v>1512</v>
      </c>
      <c r="D1767" s="38" t="s">
        <v>1756</v>
      </c>
      <c r="E1767" s="4" t="s">
        <v>457</v>
      </c>
      <c r="F1767" s="4" t="s">
        <v>4913</v>
      </c>
      <c r="G1767" s="382" t="s">
        <v>5605</v>
      </c>
      <c r="H1767" s="457" t="s">
        <v>5608</v>
      </c>
      <c r="I1767" s="447" t="s">
        <v>5610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575</v>
      </c>
      <c r="U1767" s="2" t="e">
        <f>#REF!</f>
        <v>#REF!</v>
      </c>
      <c r="V1767" s="150" t="s">
        <v>92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1775</v>
      </c>
      <c r="C1768" s="40">
        <v>1492</v>
      </c>
      <c r="D1768" s="38" t="s">
        <v>1772</v>
      </c>
      <c r="E1768" s="4" t="s">
        <v>457</v>
      </c>
      <c r="F1768" s="4" t="s">
        <v>4914</v>
      </c>
      <c r="G1768" s="382" t="s">
        <v>5605</v>
      </c>
      <c r="H1768" s="457" t="s">
        <v>5606</v>
      </c>
      <c r="I1768" s="447" t="s">
        <v>5610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575</v>
      </c>
      <c r="U1768" s="2" t="s">
        <v>8</v>
      </c>
      <c r="V1768" s="150" t="s">
        <v>92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1779</v>
      </c>
      <c r="C1769" s="40">
        <v>1500</v>
      </c>
      <c r="D1769" s="38" t="s">
        <v>1772</v>
      </c>
      <c r="E1769" s="4" t="s">
        <v>457</v>
      </c>
      <c r="F1769" s="4" t="s">
        <v>4915</v>
      </c>
      <c r="G1769" s="382" t="s">
        <v>5605</v>
      </c>
      <c r="H1769" s="457" t="s">
        <v>5606</v>
      </c>
      <c r="I1769" s="447" t="s">
        <v>5610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575</v>
      </c>
      <c r="U1769" s="2" t="s">
        <v>8</v>
      </c>
      <c r="V1769" s="150" t="s">
        <v>92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1780</v>
      </c>
      <c r="C1770" s="40">
        <v>1502</v>
      </c>
      <c r="D1770" s="38" t="s">
        <v>1772</v>
      </c>
      <c r="E1770" s="4" t="s">
        <v>457</v>
      </c>
      <c r="F1770" s="4" t="s">
        <v>4916</v>
      </c>
      <c r="G1770" s="382" t="s">
        <v>5605</v>
      </c>
      <c r="H1770" s="457" t="s">
        <v>5606</v>
      </c>
      <c r="I1770" s="447" t="s">
        <v>5610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886</v>
      </c>
      <c r="Q1770" s="396">
        <v>24.7</v>
      </c>
      <c r="R1770" s="396">
        <v>226</v>
      </c>
      <c r="S1770" s="396">
        <v>63.8</v>
      </c>
      <c r="T1770" s="2" t="s">
        <v>575</v>
      </c>
      <c r="U1770" s="2" t="s">
        <v>8</v>
      </c>
      <c r="V1770" s="150" t="s">
        <v>92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1781</v>
      </c>
      <c r="C1771" s="40">
        <v>1503</v>
      </c>
      <c r="D1771" s="38" t="s">
        <v>1772</v>
      </c>
      <c r="E1771" s="4" t="s">
        <v>457</v>
      </c>
      <c r="F1771" s="4" t="s">
        <v>4917</v>
      </c>
      <c r="G1771" s="382" t="s">
        <v>5605</v>
      </c>
      <c r="H1771" s="456" t="s">
        <v>5608</v>
      </c>
      <c r="I1771" s="447" t="s">
        <v>5610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886</v>
      </c>
      <c r="Q1771" s="396">
        <v>24.7</v>
      </c>
      <c r="R1771" s="396">
        <v>226</v>
      </c>
      <c r="S1771" s="396">
        <v>63.8</v>
      </c>
      <c r="T1771" s="2" t="s">
        <v>575</v>
      </c>
      <c r="U1771" s="2" t="str">
        <f>U1770</f>
        <v>監測</v>
      </c>
      <c r="V1771" s="150" t="s">
        <v>92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1805</v>
      </c>
      <c r="C1772" s="40">
        <v>531</v>
      </c>
      <c r="D1772" s="38" t="s">
        <v>1798</v>
      </c>
      <c r="E1772" s="4" t="s">
        <v>1010</v>
      </c>
      <c r="F1772" s="4" t="s">
        <v>4918</v>
      </c>
      <c r="G1772" s="382" t="s">
        <v>5605</v>
      </c>
      <c r="H1772" s="457" t="s">
        <v>5606</v>
      </c>
      <c r="I1772" s="447" t="s">
        <v>5610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1806</v>
      </c>
      <c r="Q1772" s="396">
        <v>28.3</v>
      </c>
      <c r="R1772" s="396">
        <v>275</v>
      </c>
      <c r="S1772" s="396">
        <v>81.900000000000006</v>
      </c>
      <c r="T1772" s="2" t="s">
        <v>575</v>
      </c>
      <c r="U1772" s="2" t="s">
        <v>8</v>
      </c>
      <c r="V1772" s="150" t="s">
        <v>92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1831</v>
      </c>
      <c r="C1773" s="40">
        <v>554</v>
      </c>
      <c r="D1773" s="38" t="s">
        <v>1828</v>
      </c>
      <c r="E1773" s="4" t="s">
        <v>1010</v>
      </c>
      <c r="F1773" s="4" t="s">
        <v>4919</v>
      </c>
      <c r="G1773" s="382" t="s">
        <v>5605</v>
      </c>
      <c r="H1773" s="457" t="s">
        <v>5606</v>
      </c>
      <c r="I1773" s="447" t="s">
        <v>5610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575</v>
      </c>
      <c r="U1773" s="2" t="s">
        <v>8</v>
      </c>
      <c r="V1773" s="150" t="s">
        <v>92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393"/>
      <c r="AK1773" s="393"/>
    </row>
    <row r="1774" spans="1:37" ht="14.4" thickBot="1" x14ac:dyDescent="0.35">
      <c r="A1774" s="15">
        <v>1773</v>
      </c>
      <c r="B1774" s="40" t="s">
        <v>1858</v>
      </c>
      <c r="C1774" s="40">
        <v>2088</v>
      </c>
      <c r="D1774" s="38" t="s">
        <v>1732</v>
      </c>
      <c r="E1774" s="4" t="s">
        <v>1010</v>
      </c>
      <c r="F1774" s="4" t="s">
        <v>4920</v>
      </c>
      <c r="G1774" s="382" t="s">
        <v>5605</v>
      </c>
      <c r="H1774" s="457" t="s">
        <v>5606</v>
      </c>
      <c r="I1774" s="447" t="s">
        <v>5610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575</v>
      </c>
      <c r="U1774" s="2" t="s">
        <v>8</v>
      </c>
      <c r="V1774" s="150" t="s">
        <v>92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1975</v>
      </c>
      <c r="C1775" s="40">
        <v>1491</v>
      </c>
      <c r="D1775" s="38" t="s">
        <v>1973</v>
      </c>
      <c r="E1775" s="4" t="s">
        <v>457</v>
      </c>
      <c r="F1775" s="4" t="s">
        <v>4921</v>
      </c>
      <c r="G1775" s="382" t="s">
        <v>5605</v>
      </c>
      <c r="H1775" s="457" t="s">
        <v>5606</v>
      </c>
      <c r="I1775" s="447" t="s">
        <v>5610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575</v>
      </c>
      <c r="U1775" s="2" t="s">
        <v>8</v>
      </c>
      <c r="V1775" s="150" t="s">
        <v>92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1561</v>
      </c>
      <c r="C1776" s="40">
        <v>454</v>
      </c>
      <c r="D1776" s="38" t="s">
        <v>1560</v>
      </c>
      <c r="E1776" s="4" t="s">
        <v>1010</v>
      </c>
      <c r="F1776" s="4" t="s">
        <v>4922</v>
      </c>
      <c r="G1776" s="382" t="s">
        <v>5605</v>
      </c>
      <c r="H1776" s="457" t="s">
        <v>5608</v>
      </c>
      <c r="I1776" s="447" t="s">
        <v>5610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575</v>
      </c>
      <c r="U1776" s="2" t="str">
        <f>U1777</f>
        <v>監測</v>
      </c>
      <c r="V1776" s="150" t="s">
        <v>92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1985</v>
      </c>
      <c r="C1777" s="40">
        <v>455</v>
      </c>
      <c r="D1777" s="38" t="s">
        <v>1984</v>
      </c>
      <c r="E1777" s="4" t="s">
        <v>1010</v>
      </c>
      <c r="F1777" s="4" t="s">
        <v>4923</v>
      </c>
      <c r="G1777" s="382" t="s">
        <v>5605</v>
      </c>
      <c r="H1777" s="457" t="s">
        <v>5606</v>
      </c>
      <c r="I1777" s="447" t="s">
        <v>5610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575</v>
      </c>
      <c r="U1777" s="2" t="s">
        <v>8</v>
      </c>
      <c r="V1777" s="150" t="s">
        <v>92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1986</v>
      </c>
      <c r="C1778" s="40">
        <v>453</v>
      </c>
      <c r="D1778" s="38" t="s">
        <v>1984</v>
      </c>
      <c r="E1778" s="4" t="s">
        <v>1010</v>
      </c>
      <c r="F1778" s="4" t="s">
        <v>4924</v>
      </c>
      <c r="G1778" s="382" t="s">
        <v>5605</v>
      </c>
      <c r="H1778" s="456" t="s">
        <v>5608</v>
      </c>
      <c r="I1778" s="447" t="s">
        <v>5610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575</v>
      </c>
      <c r="U1778" s="2" t="str">
        <f>U1777</f>
        <v>監測</v>
      </c>
      <c r="V1778" s="150" t="s">
        <v>92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2046</v>
      </c>
      <c r="C1779" s="40">
        <v>2103</v>
      </c>
      <c r="D1779" s="38" t="s">
        <v>2044</v>
      </c>
      <c r="E1779" s="4" t="s">
        <v>1010</v>
      </c>
      <c r="F1779" s="4" t="s">
        <v>4925</v>
      </c>
      <c r="G1779" s="382" t="s">
        <v>5605</v>
      </c>
      <c r="H1779" s="457" t="s">
        <v>5606</v>
      </c>
      <c r="I1779" s="447" t="s">
        <v>5610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575</v>
      </c>
      <c r="U1779" s="2" t="s">
        <v>8</v>
      </c>
      <c r="V1779" s="150" t="s">
        <v>92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1943</v>
      </c>
      <c r="C1780" s="40">
        <v>1740</v>
      </c>
      <c r="D1780" s="38" t="s">
        <v>1938</v>
      </c>
      <c r="E1780" s="4" t="s">
        <v>457</v>
      </c>
      <c r="F1780" s="4" t="s">
        <v>4926</v>
      </c>
      <c r="G1780" s="382" t="s">
        <v>5605</v>
      </c>
      <c r="H1780" s="457" t="s">
        <v>5606</v>
      </c>
      <c r="I1780" s="447" t="s">
        <v>5610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575</v>
      </c>
      <c r="U1780" s="2" t="s">
        <v>8</v>
      </c>
      <c r="V1780" s="150" t="s">
        <v>92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2088</v>
      </c>
      <c r="C1781" s="40">
        <v>1725</v>
      </c>
      <c r="D1781" s="38" t="s">
        <v>2086</v>
      </c>
      <c r="E1781" s="4" t="s">
        <v>457</v>
      </c>
      <c r="F1781" s="4" t="s">
        <v>4927</v>
      </c>
      <c r="G1781" s="382" t="s">
        <v>5605</v>
      </c>
      <c r="H1781" s="457" t="s">
        <v>5606</v>
      </c>
      <c r="I1781" s="447" t="s">
        <v>5610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575</v>
      </c>
      <c r="U1781" s="2" t="s">
        <v>8</v>
      </c>
      <c r="V1781" s="150" t="s">
        <v>92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2106</v>
      </c>
      <c r="C1782" s="40">
        <v>1763</v>
      </c>
      <c r="D1782" s="38" t="s">
        <v>2100</v>
      </c>
      <c r="E1782" s="4" t="s">
        <v>457</v>
      </c>
      <c r="F1782" s="4" t="s">
        <v>4928</v>
      </c>
      <c r="G1782" s="382" t="s">
        <v>5605</v>
      </c>
      <c r="H1782" s="457" t="s">
        <v>5606</v>
      </c>
      <c r="I1782" s="447" t="s">
        <v>5610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575</v>
      </c>
      <c r="U1782" s="2" t="s">
        <v>8</v>
      </c>
      <c r="V1782" s="150" t="s">
        <v>92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2107</v>
      </c>
      <c r="C1783" s="40">
        <v>1764</v>
      </c>
      <c r="D1783" s="38" t="s">
        <v>2100</v>
      </c>
      <c r="E1783" s="4" t="s">
        <v>457</v>
      </c>
      <c r="F1783" s="4" t="s">
        <v>4929</v>
      </c>
      <c r="G1783" s="382" t="s">
        <v>5605</v>
      </c>
      <c r="H1783" s="457" t="s">
        <v>5606</v>
      </c>
      <c r="I1783" s="447" t="s">
        <v>5610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575</v>
      </c>
      <c r="U1783" s="2" t="s">
        <v>8</v>
      </c>
      <c r="V1783" s="150" t="s">
        <v>92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2108</v>
      </c>
      <c r="C1784" s="40">
        <v>1765</v>
      </c>
      <c r="D1784" s="38" t="s">
        <v>2100</v>
      </c>
      <c r="E1784" s="4" t="s">
        <v>457</v>
      </c>
      <c r="F1784" s="4" t="s">
        <v>4930</v>
      </c>
      <c r="G1784" s="382" t="s">
        <v>5605</v>
      </c>
      <c r="H1784" s="457" t="s">
        <v>5606</v>
      </c>
      <c r="I1784" s="447" t="s">
        <v>5610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575</v>
      </c>
      <c r="U1784" s="2" t="s">
        <v>8</v>
      </c>
      <c r="V1784" s="150" t="s">
        <v>92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2112</v>
      </c>
      <c r="C1785" s="40">
        <v>1782</v>
      </c>
      <c r="D1785" s="38" t="s">
        <v>2100</v>
      </c>
      <c r="E1785" s="4" t="s">
        <v>457</v>
      </c>
      <c r="F1785" s="4" t="s">
        <v>4931</v>
      </c>
      <c r="G1785" s="382" t="s">
        <v>5605</v>
      </c>
      <c r="H1785" s="457" t="s">
        <v>5606</v>
      </c>
      <c r="I1785" s="447" t="s">
        <v>5610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575</v>
      </c>
      <c r="U1785" s="2" t="s">
        <v>8</v>
      </c>
      <c r="V1785" s="150" t="s">
        <v>92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2123</v>
      </c>
      <c r="C1786" s="40">
        <v>2438</v>
      </c>
      <c r="D1786" s="38" t="s">
        <v>2100</v>
      </c>
      <c r="E1786" s="4" t="s">
        <v>457</v>
      </c>
      <c r="F1786" s="4" t="s">
        <v>4932</v>
      </c>
      <c r="G1786" s="382" t="s">
        <v>5605</v>
      </c>
      <c r="H1786" s="457" t="s">
        <v>5606</v>
      </c>
      <c r="I1786" s="447" t="s">
        <v>5610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41</v>
      </c>
      <c r="Q1786" s="396">
        <v>26</v>
      </c>
      <c r="R1786" s="396">
        <v>441</v>
      </c>
      <c r="S1786" s="396">
        <v>43</v>
      </c>
      <c r="T1786" s="2" t="s">
        <v>575</v>
      </c>
      <c r="U1786" s="2" t="s">
        <v>8</v>
      </c>
      <c r="V1786" s="150" t="s">
        <v>92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2117</v>
      </c>
      <c r="C1787" s="40">
        <v>1815</v>
      </c>
      <c r="D1787" s="38" t="s">
        <v>2100</v>
      </c>
      <c r="E1787" s="4" t="s">
        <v>457</v>
      </c>
      <c r="F1787" s="4" t="s">
        <v>4933</v>
      </c>
      <c r="G1787" s="382" t="s">
        <v>5605</v>
      </c>
      <c r="H1787" s="457" t="s">
        <v>5606</v>
      </c>
      <c r="I1787" s="447" t="s">
        <v>5610</v>
      </c>
      <c r="J1787" s="43">
        <v>196136</v>
      </c>
      <c r="K1787" s="43">
        <v>2665430</v>
      </c>
      <c r="L1787" s="396" t="s">
        <v>391</v>
      </c>
      <c r="M1787" s="397">
        <v>11.2</v>
      </c>
      <c r="N1787" s="396">
        <v>91.8</v>
      </c>
      <c r="O1787" s="396">
        <v>39.1</v>
      </c>
      <c r="P1787" s="396" t="s">
        <v>102</v>
      </c>
      <c r="Q1787" s="396">
        <v>27.2</v>
      </c>
      <c r="R1787" s="396">
        <v>395</v>
      </c>
      <c r="S1787" s="396">
        <v>43.6</v>
      </c>
      <c r="T1787" s="2" t="s">
        <v>575</v>
      </c>
      <c r="U1787" s="2" t="s">
        <v>8</v>
      </c>
      <c r="V1787" s="150" t="s">
        <v>92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2158</v>
      </c>
      <c r="C1788" s="40">
        <v>119</v>
      </c>
      <c r="D1788" s="38" t="s">
        <v>2156</v>
      </c>
      <c r="E1788" s="4" t="s">
        <v>1010</v>
      </c>
      <c r="F1788" s="4" t="s">
        <v>4934</v>
      </c>
      <c r="G1788" s="382" t="s">
        <v>5605</v>
      </c>
      <c r="H1788" s="457" t="s">
        <v>5606</v>
      </c>
      <c r="I1788" s="447" t="s">
        <v>5610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575</v>
      </c>
      <c r="U1788" s="2" t="s">
        <v>8</v>
      </c>
      <c r="V1788" s="150" t="s">
        <v>92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2204</v>
      </c>
      <c r="C1789" s="40">
        <v>2048</v>
      </c>
      <c r="D1789" s="38" t="s">
        <v>2203</v>
      </c>
      <c r="E1789" s="4" t="s">
        <v>1010</v>
      </c>
      <c r="F1789" s="4" t="s">
        <v>4935</v>
      </c>
      <c r="G1789" s="382" t="s">
        <v>5605</v>
      </c>
      <c r="H1789" s="457" t="s">
        <v>5606</v>
      </c>
      <c r="I1789" s="447" t="s">
        <v>5610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575</v>
      </c>
      <c r="U1789" s="2" t="s">
        <v>8</v>
      </c>
      <c r="V1789" s="150" t="s">
        <v>92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2206</v>
      </c>
      <c r="C1790" s="40">
        <v>2050</v>
      </c>
      <c r="D1790" s="38" t="s">
        <v>2205</v>
      </c>
      <c r="E1790" s="4" t="s">
        <v>1010</v>
      </c>
      <c r="F1790" s="4" t="s">
        <v>4936</v>
      </c>
      <c r="G1790" s="382" t="s">
        <v>5605</v>
      </c>
      <c r="H1790" s="457" t="s">
        <v>5606</v>
      </c>
      <c r="I1790" s="447" t="s">
        <v>5610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575</v>
      </c>
      <c r="U1790" s="2" t="s">
        <v>8</v>
      </c>
      <c r="V1790" s="150" t="s">
        <v>92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2253</v>
      </c>
      <c r="C1791" s="40">
        <v>2418</v>
      </c>
      <c r="D1791" s="38" t="s">
        <v>2252</v>
      </c>
      <c r="E1791" s="4" t="s">
        <v>457</v>
      </c>
      <c r="F1791" s="4" t="s">
        <v>4937</v>
      </c>
      <c r="G1791" s="382" t="s">
        <v>5605</v>
      </c>
      <c r="H1791" s="457" t="s">
        <v>5606</v>
      </c>
      <c r="I1791" s="447" t="s">
        <v>5610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575</v>
      </c>
      <c r="U1791" s="2" t="s">
        <v>8</v>
      </c>
      <c r="V1791" s="150" t="s">
        <v>92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2269</v>
      </c>
      <c r="C1792" s="40">
        <v>1615</v>
      </c>
      <c r="D1792" s="38" t="s">
        <v>2268</v>
      </c>
      <c r="E1792" s="4" t="s">
        <v>457</v>
      </c>
      <c r="F1792" s="4" t="s">
        <v>4938</v>
      </c>
      <c r="G1792" s="382" t="s">
        <v>5605</v>
      </c>
      <c r="H1792" s="457" t="s">
        <v>5606</v>
      </c>
      <c r="I1792" s="447" t="s">
        <v>5610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102</v>
      </c>
      <c r="Q1792" s="396">
        <v>21.1</v>
      </c>
      <c r="R1792" s="396">
        <v>172</v>
      </c>
      <c r="S1792" s="396">
        <v>55.8</v>
      </c>
      <c r="T1792" s="2" t="s">
        <v>575</v>
      </c>
      <c r="U1792" s="2" t="s">
        <v>8</v>
      </c>
      <c r="V1792" s="150" t="s">
        <v>92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2270</v>
      </c>
      <c r="C1793" s="40">
        <v>1640</v>
      </c>
      <c r="D1793" s="38" t="s">
        <v>2268</v>
      </c>
      <c r="E1793" s="4" t="s">
        <v>457</v>
      </c>
      <c r="F1793" s="4" t="s">
        <v>4939</v>
      </c>
      <c r="G1793" s="382" t="s">
        <v>5605</v>
      </c>
      <c r="H1793" s="456" t="s">
        <v>5608</v>
      </c>
      <c r="I1793" s="447" t="s">
        <v>5610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575</v>
      </c>
      <c r="U1793" s="2" t="str">
        <f>U1792</f>
        <v>監測</v>
      </c>
      <c r="V1793" s="150" t="s">
        <v>92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3111</v>
      </c>
      <c r="C1794" s="40">
        <v>2057</v>
      </c>
      <c r="D1794" s="38" t="s">
        <v>2334</v>
      </c>
      <c r="E1794" s="4" t="s">
        <v>1010</v>
      </c>
      <c r="F1794" s="4" t="s">
        <v>4940</v>
      </c>
      <c r="G1794" s="382" t="s">
        <v>5605</v>
      </c>
      <c r="H1794" s="457" t="s">
        <v>5606</v>
      </c>
      <c r="I1794" s="447" t="s">
        <v>5610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575</v>
      </c>
      <c r="U1794" s="2" t="s">
        <v>8</v>
      </c>
      <c r="V1794" s="150" t="s">
        <v>92</v>
      </c>
      <c r="W1794" s="39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393"/>
      <c r="AK1794" s="393"/>
    </row>
    <row r="1795" spans="1:37" ht="14.4" thickBot="1" x14ac:dyDescent="0.35">
      <c r="A1795" s="15">
        <v>1794</v>
      </c>
      <c r="B1795" s="40" t="s">
        <v>2459</v>
      </c>
      <c r="C1795" s="40">
        <v>393</v>
      </c>
      <c r="D1795" s="38" t="s">
        <v>2455</v>
      </c>
      <c r="E1795" s="4" t="s">
        <v>1010</v>
      </c>
      <c r="F1795" s="4" t="s">
        <v>4941</v>
      </c>
      <c r="G1795" s="382" t="s">
        <v>5605</v>
      </c>
      <c r="H1795" s="457" t="s">
        <v>5606</v>
      </c>
      <c r="I1795" s="447" t="s">
        <v>5610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155</v>
      </c>
      <c r="Q1795" s="396">
        <v>30.9</v>
      </c>
      <c r="R1795" s="396">
        <v>262</v>
      </c>
      <c r="S1795" s="396">
        <v>122</v>
      </c>
      <c r="T1795" s="2" t="s">
        <v>575</v>
      </c>
      <c r="U1795" s="2" t="s">
        <v>8</v>
      </c>
      <c r="V1795" s="150" t="s">
        <v>92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2517</v>
      </c>
      <c r="C1796" s="40">
        <v>662</v>
      </c>
      <c r="D1796" s="38" t="s">
        <v>2516</v>
      </c>
      <c r="E1796" s="4" t="s">
        <v>300</v>
      </c>
      <c r="F1796" s="4" t="s">
        <v>4942</v>
      </c>
      <c r="G1796" s="382" t="s">
        <v>5605</v>
      </c>
      <c r="H1796" s="457" t="s">
        <v>5606</v>
      </c>
      <c r="I1796" s="447" t="s">
        <v>5610</v>
      </c>
      <c r="J1796" s="43">
        <v>203568</v>
      </c>
      <c r="K1796" s="43">
        <v>2665826</v>
      </c>
      <c r="L1796" s="396" t="s">
        <v>391</v>
      </c>
      <c r="M1796" s="396" t="s">
        <v>2518</v>
      </c>
      <c r="N1796" s="396">
        <v>143</v>
      </c>
      <c r="O1796" s="396">
        <v>77.900000000000006</v>
      </c>
      <c r="P1796" s="396" t="s">
        <v>102</v>
      </c>
      <c r="Q1796" s="396">
        <v>25.6</v>
      </c>
      <c r="R1796" s="396">
        <v>185</v>
      </c>
      <c r="S1796" s="396">
        <v>51.2</v>
      </c>
      <c r="T1796" s="2" t="s">
        <v>575</v>
      </c>
      <c r="U1796" s="2" t="s">
        <v>8</v>
      </c>
      <c r="V1796" s="18" t="s">
        <v>2996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2519</v>
      </c>
      <c r="C1797" s="40">
        <v>665</v>
      </c>
      <c r="D1797" s="38" t="s">
        <v>2516</v>
      </c>
      <c r="E1797" s="4" t="s">
        <v>300</v>
      </c>
      <c r="F1797" s="4" t="s">
        <v>4943</v>
      </c>
      <c r="G1797" s="382" t="s">
        <v>5605</v>
      </c>
      <c r="H1797" s="457" t="s">
        <v>5606</v>
      </c>
      <c r="I1797" s="447" t="s">
        <v>5610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122</v>
      </c>
      <c r="Q1797" s="396">
        <v>25.6</v>
      </c>
      <c r="R1797" s="396">
        <v>308</v>
      </c>
      <c r="S1797" s="396">
        <v>89.4</v>
      </c>
      <c r="T1797" s="2" t="s">
        <v>575</v>
      </c>
      <c r="U1797" s="2" t="s">
        <v>8</v>
      </c>
      <c r="V1797" s="18" t="s">
        <v>2996</v>
      </c>
      <c r="W1797" s="39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2520</v>
      </c>
      <c r="C1798" s="40">
        <v>668</v>
      </c>
      <c r="D1798" s="38" t="s">
        <v>2516</v>
      </c>
      <c r="E1798" s="4" t="s">
        <v>300</v>
      </c>
      <c r="F1798" s="4" t="s">
        <v>4944</v>
      </c>
      <c r="G1798" s="382" t="s">
        <v>5605</v>
      </c>
      <c r="H1798" s="457" t="s">
        <v>5606</v>
      </c>
      <c r="I1798" s="447" t="s">
        <v>5610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41</v>
      </c>
      <c r="Q1798" s="396">
        <v>44</v>
      </c>
      <c r="R1798" s="396">
        <v>215</v>
      </c>
      <c r="S1798" s="396">
        <v>60</v>
      </c>
      <c r="T1798" s="2" t="s">
        <v>575</v>
      </c>
      <c r="U1798" s="2" t="s">
        <v>8</v>
      </c>
      <c r="V1798" s="18" t="s">
        <v>2996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2548</v>
      </c>
      <c r="C1799" s="40">
        <v>149</v>
      </c>
      <c r="D1799" s="38" t="s">
        <v>2546</v>
      </c>
      <c r="E1799" s="4" t="s">
        <v>1010</v>
      </c>
      <c r="F1799" s="4" t="s">
        <v>4945</v>
      </c>
      <c r="G1799" s="382" t="s">
        <v>5605</v>
      </c>
      <c r="H1799" s="457" t="s">
        <v>5606</v>
      </c>
      <c r="I1799" s="447" t="s">
        <v>5610</v>
      </c>
      <c r="J1799" s="43">
        <v>197237.790182</v>
      </c>
      <c r="K1799" s="43">
        <v>2666115.9676899998</v>
      </c>
      <c r="L1799" s="396" t="s">
        <v>614</v>
      </c>
      <c r="M1799" s="397">
        <v>19.100000000000001</v>
      </c>
      <c r="N1799" s="396">
        <v>85.6</v>
      </c>
      <c r="O1799" s="396">
        <v>89.1</v>
      </c>
      <c r="P1799" s="396" t="s">
        <v>172</v>
      </c>
      <c r="Q1799" s="396">
        <v>25.6</v>
      </c>
      <c r="R1799" s="396">
        <v>323</v>
      </c>
      <c r="S1799" s="396">
        <v>118</v>
      </c>
      <c r="T1799" s="2" t="s">
        <v>575</v>
      </c>
      <c r="U1799" s="2" t="s">
        <v>8</v>
      </c>
      <c r="V1799" s="150" t="s">
        <v>92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2554</v>
      </c>
      <c r="C1800" s="40">
        <v>140</v>
      </c>
      <c r="D1800" s="38" t="s">
        <v>2553</v>
      </c>
      <c r="E1800" s="4" t="s">
        <v>1010</v>
      </c>
      <c r="F1800" s="4" t="s">
        <v>4946</v>
      </c>
      <c r="G1800" s="382" t="s">
        <v>5605</v>
      </c>
      <c r="H1800" s="457" t="s">
        <v>5606</v>
      </c>
      <c r="I1800" s="447" t="s">
        <v>5610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575</v>
      </c>
      <c r="U1800" s="2" t="s">
        <v>8</v>
      </c>
      <c r="V1800" s="150" t="s">
        <v>92</v>
      </c>
      <c r="W1800" s="39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2553</v>
      </c>
      <c r="E1801" s="4" t="s">
        <v>1010</v>
      </c>
      <c r="F1801" s="4" t="s">
        <v>4947</v>
      </c>
      <c r="G1801" s="382" t="s">
        <v>5605</v>
      </c>
      <c r="H1801" s="456" t="s">
        <v>5608</v>
      </c>
      <c r="I1801" s="447" t="s">
        <v>5610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575</v>
      </c>
      <c r="U1801" s="2" t="str">
        <f>U1800</f>
        <v>監測</v>
      </c>
      <c r="V1801" s="150" t="s">
        <v>92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2555</v>
      </c>
      <c r="C1802" s="40">
        <v>143</v>
      </c>
      <c r="D1802" s="38" t="s">
        <v>2553</v>
      </c>
      <c r="E1802" s="4" t="s">
        <v>1010</v>
      </c>
      <c r="F1802" s="4" t="s">
        <v>4948</v>
      </c>
      <c r="G1802" s="382" t="s">
        <v>5605</v>
      </c>
      <c r="H1802" s="457" t="s">
        <v>5606</v>
      </c>
      <c r="I1802" s="447" t="s">
        <v>5610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575</v>
      </c>
      <c r="U1802" s="2" t="s">
        <v>8</v>
      </c>
      <c r="V1802" s="150" t="s">
        <v>92</v>
      </c>
      <c r="W1802" s="39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2556</v>
      </c>
      <c r="C1803" s="40">
        <v>139</v>
      </c>
      <c r="D1803" s="38" t="s">
        <v>2553</v>
      </c>
      <c r="E1803" s="4" t="s">
        <v>1010</v>
      </c>
      <c r="F1803" s="4" t="s">
        <v>4949</v>
      </c>
      <c r="G1803" s="382" t="s">
        <v>5605</v>
      </c>
      <c r="H1803" s="457" t="s">
        <v>5606</v>
      </c>
      <c r="I1803" s="447" t="s">
        <v>5610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575</v>
      </c>
      <c r="U1803" s="2" t="s">
        <v>8</v>
      </c>
      <c r="V1803" s="150" t="s">
        <v>92</v>
      </c>
      <c r="W1803" s="39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2562</v>
      </c>
      <c r="C1804" s="40">
        <v>135</v>
      </c>
      <c r="D1804" s="38" t="s">
        <v>2558</v>
      </c>
      <c r="E1804" s="4" t="s">
        <v>1010</v>
      </c>
      <c r="F1804" s="4" t="s">
        <v>4950</v>
      </c>
      <c r="G1804" s="382" t="s">
        <v>5605</v>
      </c>
      <c r="H1804" s="457" t="s">
        <v>5606</v>
      </c>
      <c r="I1804" s="447" t="s">
        <v>5610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122</v>
      </c>
      <c r="Q1804" s="396">
        <v>29.8</v>
      </c>
      <c r="R1804" s="396">
        <v>393</v>
      </c>
      <c r="S1804" s="396">
        <v>157</v>
      </c>
      <c r="T1804" s="2" t="s">
        <v>575</v>
      </c>
      <c r="U1804" s="2" t="s">
        <v>8</v>
      </c>
      <c r="V1804" s="150" t="s">
        <v>92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2655</v>
      </c>
      <c r="C1805" s="40">
        <v>146</v>
      </c>
      <c r="D1805" s="38" t="s">
        <v>2654</v>
      </c>
      <c r="E1805" s="4" t="s">
        <v>1010</v>
      </c>
      <c r="F1805" s="4" t="s">
        <v>4951</v>
      </c>
      <c r="G1805" s="382" t="s">
        <v>5605</v>
      </c>
      <c r="H1805" s="457" t="s">
        <v>5606</v>
      </c>
      <c r="I1805" s="447" t="s">
        <v>5610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55</v>
      </c>
      <c r="Q1805" s="396">
        <v>23.1</v>
      </c>
      <c r="R1805" s="396">
        <v>490</v>
      </c>
      <c r="S1805" s="396">
        <v>198</v>
      </c>
      <c r="T1805" s="2" t="s">
        <v>575</v>
      </c>
      <c r="U1805" s="2" t="s">
        <v>8</v>
      </c>
      <c r="V1805" s="150" t="s">
        <v>92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2681</v>
      </c>
      <c r="C1806" s="40">
        <v>375</v>
      </c>
      <c r="D1806" s="38" t="s">
        <v>2674</v>
      </c>
      <c r="E1806" s="4" t="s">
        <v>1010</v>
      </c>
      <c r="F1806" s="4" t="s">
        <v>4952</v>
      </c>
      <c r="G1806" s="382" t="s">
        <v>5605</v>
      </c>
      <c r="H1806" s="457" t="s">
        <v>5606</v>
      </c>
      <c r="I1806" s="447" t="s">
        <v>5610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575</v>
      </c>
      <c r="U1806" s="2" t="s">
        <v>8</v>
      </c>
      <c r="V1806" s="150" t="s">
        <v>92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2729</v>
      </c>
      <c r="C1807" s="40">
        <v>2175</v>
      </c>
      <c r="D1807" s="38" t="s">
        <v>2726</v>
      </c>
      <c r="E1807" s="4" t="s">
        <v>1010</v>
      </c>
      <c r="F1807" s="4" t="s">
        <v>4953</v>
      </c>
      <c r="G1807" s="382" t="s">
        <v>5605</v>
      </c>
      <c r="H1807" s="457" t="s">
        <v>5606</v>
      </c>
      <c r="I1807" s="447" t="s">
        <v>5610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575</v>
      </c>
      <c r="U1807" s="2" t="s">
        <v>8</v>
      </c>
      <c r="V1807" s="150" t="s">
        <v>92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2870</v>
      </c>
      <c r="C1808" s="58">
        <v>1679</v>
      </c>
      <c r="D1808" s="56" t="s">
        <v>2869</v>
      </c>
      <c r="E1808" s="408" t="s">
        <v>457</v>
      </c>
      <c r="F1808" s="408" t="s">
        <v>4954</v>
      </c>
      <c r="G1808" s="382" t="s">
        <v>5605</v>
      </c>
      <c r="H1808" s="458" t="s">
        <v>5606</v>
      </c>
      <c r="I1808" s="447" t="s">
        <v>5610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575</v>
      </c>
      <c r="U1808" s="59" t="s">
        <v>8</v>
      </c>
      <c r="V1808" s="150" t="s">
        <v>92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474</v>
      </c>
      <c r="C1809" s="27">
        <v>1870</v>
      </c>
      <c r="D1809" s="27" t="s">
        <v>3112</v>
      </c>
      <c r="E1809" s="350" t="s">
        <v>300</v>
      </c>
      <c r="F1809" s="350" t="s">
        <v>4955</v>
      </c>
      <c r="G1809" s="382" t="s">
        <v>5605</v>
      </c>
      <c r="H1809" s="457" t="s">
        <v>5606</v>
      </c>
      <c r="I1809" s="447" t="s">
        <v>5610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575</v>
      </c>
      <c r="U1809" s="30" t="s">
        <v>8</v>
      </c>
      <c r="V1809" s="150" t="s">
        <v>92</v>
      </c>
      <c r="W1809" s="27">
        <v>113</v>
      </c>
      <c r="X1809" s="409"/>
      <c r="Y1809" s="410"/>
      <c r="Z1809" s="29" t="s">
        <v>2939</v>
      </c>
      <c r="AA1809" s="409"/>
      <c r="AB1809" s="409"/>
      <c r="AC1809" s="409"/>
      <c r="AD1809" s="409"/>
      <c r="AE1809" s="29" t="s">
        <v>2939</v>
      </c>
      <c r="AF1809" s="409"/>
      <c r="AG1809" s="409"/>
      <c r="AH1809" s="409"/>
      <c r="AI1809" s="409"/>
      <c r="AJ1809" s="29" t="s">
        <v>2894</v>
      </c>
      <c r="AK1809" s="35"/>
    </row>
    <row r="1810" spans="1:37" ht="16.8" thickBot="1" x14ac:dyDescent="0.35">
      <c r="A1810" s="15">
        <v>1809</v>
      </c>
      <c r="B1810" s="40" t="s">
        <v>478</v>
      </c>
      <c r="C1810" s="38">
        <v>1830</v>
      </c>
      <c r="D1810" s="38" t="s">
        <v>473</v>
      </c>
      <c r="E1810" s="4" t="s">
        <v>300</v>
      </c>
      <c r="F1810" s="4" t="s">
        <v>4956</v>
      </c>
      <c r="G1810" s="382" t="s">
        <v>5605</v>
      </c>
      <c r="H1810" s="456" t="s">
        <v>5608</v>
      </c>
      <c r="I1810" s="447" t="s">
        <v>5610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575</v>
      </c>
      <c r="U1810" s="30" t="s">
        <v>8</v>
      </c>
      <c r="V1810" s="150" t="s">
        <v>92</v>
      </c>
      <c r="W1810" s="38">
        <v>113</v>
      </c>
      <c r="X1810" s="5"/>
      <c r="Y1810" s="411"/>
      <c r="Z1810" s="40" t="s">
        <v>2939</v>
      </c>
      <c r="AA1810" s="5"/>
      <c r="AB1810" s="5"/>
      <c r="AC1810" s="5"/>
      <c r="AD1810" s="5"/>
      <c r="AE1810" s="40" t="s">
        <v>2939</v>
      </c>
      <c r="AF1810" s="5"/>
      <c r="AG1810" s="5"/>
      <c r="AH1810" s="5"/>
      <c r="AI1810" s="5"/>
      <c r="AJ1810" s="29" t="s">
        <v>2894</v>
      </c>
      <c r="AK1810" s="156"/>
    </row>
    <row r="1811" spans="1:37" ht="16.8" thickBot="1" x14ac:dyDescent="0.35">
      <c r="A1811" s="15">
        <v>1810</v>
      </c>
      <c r="B1811" s="83" t="s">
        <v>482</v>
      </c>
      <c r="C1811" s="113">
        <v>2444</v>
      </c>
      <c r="D1811" s="113" t="s">
        <v>473</v>
      </c>
      <c r="E1811" s="131" t="s">
        <v>300</v>
      </c>
      <c r="F1811" s="131" t="s">
        <v>4957</v>
      </c>
      <c r="G1811" s="382" t="s">
        <v>5605</v>
      </c>
      <c r="H1811" s="456" t="s">
        <v>5608</v>
      </c>
      <c r="I1811" s="447" t="s">
        <v>5610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575</v>
      </c>
      <c r="U1811" s="30" t="s">
        <v>8</v>
      </c>
      <c r="V1811" s="150" t="s">
        <v>92</v>
      </c>
      <c r="W1811" s="113">
        <v>113</v>
      </c>
      <c r="X1811" s="412"/>
      <c r="Y1811" s="413"/>
      <c r="Z1811" s="83" t="s">
        <v>2939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2894</v>
      </c>
      <c r="AK1811" s="156"/>
    </row>
    <row r="1812" spans="1:37" ht="14.4" thickBot="1" x14ac:dyDescent="0.35">
      <c r="A1812" s="15">
        <v>1811</v>
      </c>
      <c r="B1812" s="40" t="s">
        <v>1151</v>
      </c>
      <c r="C1812" s="40">
        <v>621</v>
      </c>
      <c r="D1812" s="38" t="s">
        <v>1143</v>
      </c>
      <c r="E1812" s="40" t="s">
        <v>2963</v>
      </c>
      <c r="F1812" s="40" t="s">
        <v>4958</v>
      </c>
      <c r="G1812" s="382" t="s">
        <v>5605</v>
      </c>
      <c r="H1812" s="457" t="s">
        <v>5606</v>
      </c>
      <c r="I1812" s="447" t="s">
        <v>5610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122</v>
      </c>
      <c r="Q1812" s="43">
        <v>33.4</v>
      </c>
      <c r="R1812" s="43">
        <v>527</v>
      </c>
      <c r="S1812" s="43">
        <v>118</v>
      </c>
      <c r="T1812" s="2" t="s">
        <v>575</v>
      </c>
      <c r="U1812" s="2" t="s">
        <v>8</v>
      </c>
      <c r="V1812" s="150" t="s">
        <v>92</v>
      </c>
      <c r="W1812" s="39">
        <v>113</v>
      </c>
      <c r="X1812" s="40"/>
      <c r="Y1812" s="40"/>
      <c r="Z1812" s="40"/>
      <c r="AA1812" s="40" t="s">
        <v>2939</v>
      </c>
      <c r="AB1812" s="40"/>
      <c r="AC1812" s="40"/>
      <c r="AD1812" s="40"/>
      <c r="AE1812" s="40" t="s">
        <v>2939</v>
      </c>
      <c r="AF1812" s="40"/>
      <c r="AG1812" s="40"/>
      <c r="AH1812" s="40"/>
      <c r="AI1812" s="40"/>
      <c r="AJ1812" s="75" t="s">
        <v>2939</v>
      </c>
      <c r="AK1812" s="92"/>
    </row>
    <row r="1813" spans="1:37" ht="14.4" thickBot="1" x14ac:dyDescent="0.35">
      <c r="A1813" s="15">
        <v>1812</v>
      </c>
      <c r="B1813" s="29" t="s">
        <v>1194</v>
      </c>
      <c r="C1813" s="29">
        <v>320</v>
      </c>
      <c r="D1813" s="27" t="s">
        <v>1192</v>
      </c>
      <c r="E1813" s="29" t="s">
        <v>2963</v>
      </c>
      <c r="F1813" s="29" t="s">
        <v>4959</v>
      </c>
      <c r="G1813" s="382" t="s">
        <v>5605</v>
      </c>
      <c r="H1813" s="457" t="s">
        <v>5606</v>
      </c>
      <c r="I1813" s="447" t="s">
        <v>5610</v>
      </c>
      <c r="J1813" s="33">
        <v>199987.26</v>
      </c>
      <c r="K1813" s="33">
        <v>2663946.4700000002</v>
      </c>
      <c r="L1813" s="33" t="s">
        <v>40</v>
      </c>
      <c r="M1813" s="33">
        <v>16</v>
      </c>
      <c r="N1813" s="33">
        <v>101</v>
      </c>
      <c r="O1813" s="33">
        <v>84</v>
      </c>
      <c r="P1813" s="33" t="s">
        <v>41</v>
      </c>
      <c r="Q1813" s="33">
        <v>38</v>
      </c>
      <c r="R1813" s="33">
        <v>296</v>
      </c>
      <c r="S1813" s="33">
        <v>75</v>
      </c>
      <c r="T1813" s="2" t="s">
        <v>575</v>
      </c>
      <c r="U1813" s="30" t="s">
        <v>8</v>
      </c>
      <c r="V1813" s="150" t="s">
        <v>92</v>
      </c>
      <c r="W1813" s="28">
        <v>113</v>
      </c>
      <c r="X1813" s="29"/>
      <c r="Y1813" s="29"/>
      <c r="Z1813" s="29" t="s">
        <v>2939</v>
      </c>
      <c r="AA1813" s="29"/>
      <c r="AB1813" s="29"/>
      <c r="AC1813" s="29"/>
      <c r="AD1813" s="29" t="s">
        <v>2939</v>
      </c>
      <c r="AE1813" s="29"/>
      <c r="AF1813" s="29"/>
      <c r="AG1813" s="29"/>
      <c r="AH1813" s="29"/>
      <c r="AI1813" s="29"/>
      <c r="AJ1813" s="27" t="s">
        <v>2894</v>
      </c>
      <c r="AK1813" s="160"/>
    </row>
    <row r="1814" spans="1:37" ht="14.4" thickBot="1" x14ac:dyDescent="0.35">
      <c r="A1814" s="15">
        <v>1813</v>
      </c>
      <c r="B1814" s="75" t="s">
        <v>1214</v>
      </c>
      <c r="C1814" s="75">
        <v>2314</v>
      </c>
      <c r="D1814" s="67" t="s">
        <v>1212</v>
      </c>
      <c r="E1814" s="75" t="s">
        <v>2915</v>
      </c>
      <c r="F1814" s="75" t="s">
        <v>4960</v>
      </c>
      <c r="G1814" s="382" t="s">
        <v>5605</v>
      </c>
      <c r="H1814" s="457" t="s">
        <v>5606</v>
      </c>
      <c r="I1814" s="447" t="s">
        <v>5610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331</v>
      </c>
      <c r="Q1814" s="72">
        <v>33.9</v>
      </c>
      <c r="R1814" s="72">
        <v>341</v>
      </c>
      <c r="S1814" s="72">
        <v>171</v>
      </c>
      <c r="T1814" s="2" t="s">
        <v>575</v>
      </c>
      <c r="U1814" s="69" t="s">
        <v>8</v>
      </c>
      <c r="V1814" s="150" t="s">
        <v>92</v>
      </c>
      <c r="W1814" s="70">
        <v>113</v>
      </c>
      <c r="X1814" s="75"/>
      <c r="Y1814" s="215"/>
      <c r="Z1814" s="75" t="s">
        <v>2939</v>
      </c>
      <c r="AA1814" s="75"/>
      <c r="AB1814" s="75"/>
      <c r="AC1814" s="75"/>
      <c r="AD1814" s="75"/>
      <c r="AE1814" s="75" t="s">
        <v>2939</v>
      </c>
      <c r="AF1814" s="75"/>
      <c r="AG1814" s="75"/>
      <c r="AH1814" s="75"/>
      <c r="AI1814" s="75"/>
      <c r="AJ1814" s="414" t="s">
        <v>303</v>
      </c>
      <c r="AK1814" s="179"/>
    </row>
    <row r="1815" spans="1:37" ht="14.4" thickBot="1" x14ac:dyDescent="0.35">
      <c r="A1815" s="15">
        <v>1814</v>
      </c>
      <c r="B1815" s="83" t="s">
        <v>1218</v>
      </c>
      <c r="C1815" s="83">
        <v>2398</v>
      </c>
      <c r="D1815" s="113" t="s">
        <v>1209</v>
      </c>
      <c r="E1815" s="83" t="s">
        <v>2915</v>
      </c>
      <c r="F1815" s="83" t="s">
        <v>4961</v>
      </c>
      <c r="G1815" s="382" t="s">
        <v>5605</v>
      </c>
      <c r="H1815" s="457" t="s">
        <v>5606</v>
      </c>
      <c r="I1815" s="447" t="s">
        <v>5610</v>
      </c>
      <c r="J1815" s="88">
        <v>200226.41</v>
      </c>
      <c r="K1815" s="88">
        <v>2663988.21</v>
      </c>
      <c r="L1815" s="88" t="s">
        <v>40</v>
      </c>
      <c r="M1815" s="89">
        <v>10</v>
      </c>
      <c r="N1815" s="88">
        <v>38</v>
      </c>
      <c r="O1815" s="88">
        <v>100</v>
      </c>
      <c r="P1815" s="88" t="s">
        <v>41</v>
      </c>
      <c r="Q1815" s="88">
        <v>42</v>
      </c>
      <c r="R1815" s="72">
        <v>297</v>
      </c>
      <c r="S1815" s="88">
        <v>88</v>
      </c>
      <c r="T1815" s="2" t="s">
        <v>575</v>
      </c>
      <c r="U1815" s="85" t="s">
        <v>8</v>
      </c>
      <c r="V1815" s="150" t="s">
        <v>92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2939</v>
      </c>
      <c r="AF1815" s="83"/>
      <c r="AG1815" s="83"/>
      <c r="AH1815" s="83"/>
      <c r="AI1815" s="83"/>
      <c r="AJ1815" s="340" t="s">
        <v>303</v>
      </c>
      <c r="AK1815" s="174"/>
    </row>
    <row r="1816" spans="1:37" ht="14.4" thickBot="1" x14ac:dyDescent="0.35">
      <c r="A1816" s="15">
        <v>1815</v>
      </c>
      <c r="B1816" s="29" t="s">
        <v>1395</v>
      </c>
      <c r="C1816" s="29">
        <v>2117</v>
      </c>
      <c r="D1816" s="27" t="s">
        <v>1396</v>
      </c>
      <c r="E1816" s="29" t="s">
        <v>2963</v>
      </c>
      <c r="F1816" s="29" t="s">
        <v>4962</v>
      </c>
      <c r="G1816" s="382" t="s">
        <v>5605</v>
      </c>
      <c r="H1816" s="434" t="s">
        <v>5606</v>
      </c>
      <c r="I1816" s="447" t="s">
        <v>5610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575</v>
      </c>
      <c r="U1816" s="30" t="s">
        <v>8</v>
      </c>
      <c r="V1816" s="150" t="s">
        <v>1193</v>
      </c>
      <c r="W1816" s="28">
        <v>113</v>
      </c>
      <c r="X1816" s="29"/>
      <c r="Y1816" s="29"/>
      <c r="Z1816" s="29" t="s">
        <v>2939</v>
      </c>
      <c r="AA1816" s="29"/>
      <c r="AB1816" s="29"/>
      <c r="AC1816" s="29"/>
      <c r="AD1816" s="29" t="s">
        <v>2939</v>
      </c>
      <c r="AE1816" s="29"/>
      <c r="AF1816" s="29"/>
      <c r="AG1816" s="29"/>
      <c r="AH1816" s="29"/>
      <c r="AI1816" s="29"/>
      <c r="AJ1816" s="141" t="s">
        <v>303</v>
      </c>
      <c r="AK1816" s="254"/>
    </row>
    <row r="1817" spans="1:37" ht="14.4" thickBot="1" x14ac:dyDescent="0.35">
      <c r="A1817" s="15">
        <v>1816</v>
      </c>
      <c r="B1817" s="83" t="s">
        <v>1698</v>
      </c>
      <c r="C1817" s="277">
        <v>148</v>
      </c>
      <c r="D1817" s="113" t="s">
        <v>1826</v>
      </c>
      <c r="E1817" s="83" t="s">
        <v>2963</v>
      </c>
      <c r="F1817" s="131" t="s">
        <v>4963</v>
      </c>
      <c r="G1817" s="382" t="s">
        <v>5605</v>
      </c>
      <c r="H1817" s="434" t="s">
        <v>5606</v>
      </c>
      <c r="I1817" s="447" t="s">
        <v>5610</v>
      </c>
      <c r="J1817" s="88">
        <v>199847.58</v>
      </c>
      <c r="K1817" s="88">
        <v>2664535.02</v>
      </c>
      <c r="L1817" s="88" t="s">
        <v>40</v>
      </c>
      <c r="M1817" s="89">
        <v>9</v>
      </c>
      <c r="N1817" s="88">
        <v>112</v>
      </c>
      <c r="O1817" s="88">
        <v>115</v>
      </c>
      <c r="P1817" s="88" t="s">
        <v>41</v>
      </c>
      <c r="Q1817" s="88">
        <v>34</v>
      </c>
      <c r="R1817" s="43">
        <v>289</v>
      </c>
      <c r="S1817" s="43">
        <v>159</v>
      </c>
      <c r="T1817" s="2" t="s">
        <v>575</v>
      </c>
      <c r="U1817" s="85" t="s">
        <v>8</v>
      </c>
      <c r="V1817" s="150" t="s">
        <v>92</v>
      </c>
      <c r="W1817" s="86">
        <v>113</v>
      </c>
      <c r="X1817" s="83"/>
      <c r="Y1817" s="137"/>
      <c r="Z1817" s="83" t="s">
        <v>2939</v>
      </c>
      <c r="AA1817" s="83"/>
      <c r="AB1817" s="83"/>
      <c r="AC1817" s="83" t="s">
        <v>2939</v>
      </c>
      <c r="AD1817" s="83"/>
      <c r="AE1817" s="83"/>
      <c r="AF1817" s="83"/>
      <c r="AG1817" s="83"/>
      <c r="AH1817" s="83"/>
      <c r="AI1817" s="83"/>
      <c r="AJ1817" s="141" t="s">
        <v>303</v>
      </c>
      <c r="AK1817" s="266"/>
    </row>
    <row r="1818" spans="1:37" ht="14.4" thickBot="1" x14ac:dyDescent="0.35">
      <c r="A1818" s="15">
        <v>1817</v>
      </c>
      <c r="B1818" s="29" t="s">
        <v>1557</v>
      </c>
      <c r="C1818" s="29">
        <v>342</v>
      </c>
      <c r="D1818" s="27" t="s">
        <v>3113</v>
      </c>
      <c r="E1818" s="29" t="s">
        <v>2963</v>
      </c>
      <c r="F1818" s="29" t="s">
        <v>4964</v>
      </c>
      <c r="G1818" s="382" t="s">
        <v>5894</v>
      </c>
      <c r="H1818" s="145" t="s">
        <v>5606</v>
      </c>
      <c r="I1818" s="498" t="s">
        <v>5895</v>
      </c>
      <c r="J1818" s="38">
        <v>200234.36</v>
      </c>
      <c r="K1818" s="38">
        <v>2664409.0099999998</v>
      </c>
      <c r="L1818" s="38" t="s">
        <v>40</v>
      </c>
      <c r="M1818" s="38">
        <v>9</v>
      </c>
      <c r="N1818" s="38">
        <v>85</v>
      </c>
      <c r="O1818" s="38">
        <v>139</v>
      </c>
      <c r="P1818" s="38" t="s">
        <v>41</v>
      </c>
      <c r="Q1818" s="38">
        <v>35</v>
      </c>
      <c r="R1818" s="38">
        <v>282</v>
      </c>
      <c r="S1818" s="38">
        <v>146</v>
      </c>
      <c r="T1818" s="2" t="s">
        <v>575</v>
      </c>
      <c r="U1818" s="30" t="s">
        <v>8</v>
      </c>
      <c r="V1818" s="150" t="s">
        <v>575</v>
      </c>
      <c r="W1818" s="28">
        <v>113</v>
      </c>
      <c r="X1818" s="29"/>
      <c r="Y1818" s="29"/>
      <c r="Z1818" s="29" t="s">
        <v>2939</v>
      </c>
      <c r="AA1818" s="29"/>
      <c r="AB1818" s="29"/>
      <c r="AC1818" s="29"/>
      <c r="AD1818" s="29"/>
      <c r="AE1818" s="29" t="s">
        <v>2939</v>
      </c>
      <c r="AF1818" s="29"/>
      <c r="AG1818" s="29"/>
      <c r="AH1818" s="29"/>
      <c r="AI1818" s="29"/>
      <c r="AJ1818" s="141" t="s">
        <v>303</v>
      </c>
      <c r="AK1818" s="254"/>
    </row>
    <row r="1819" spans="1:37" ht="14.4" thickBot="1" x14ac:dyDescent="0.35">
      <c r="A1819" s="15">
        <v>1818</v>
      </c>
      <c r="B1819" s="83" t="s">
        <v>1558</v>
      </c>
      <c r="C1819" s="83">
        <v>343</v>
      </c>
      <c r="D1819" s="113" t="s">
        <v>1556</v>
      </c>
      <c r="E1819" s="83" t="s">
        <v>2963</v>
      </c>
      <c r="F1819" s="83" t="s">
        <v>4965</v>
      </c>
      <c r="G1819" s="382" t="s">
        <v>5894</v>
      </c>
      <c r="H1819" s="340" t="s">
        <v>5606</v>
      </c>
      <c r="I1819" s="498" t="s">
        <v>5895</v>
      </c>
      <c r="J1819" s="38">
        <v>200292.21</v>
      </c>
      <c r="K1819" s="38">
        <v>2664426.5299999998</v>
      </c>
      <c r="L1819" s="38" t="s">
        <v>40</v>
      </c>
      <c r="M1819" s="38">
        <v>9</v>
      </c>
      <c r="N1819" s="38">
        <v>75</v>
      </c>
      <c r="O1819" s="38">
        <v>118</v>
      </c>
      <c r="P1819" s="38" t="s">
        <v>41</v>
      </c>
      <c r="Q1819" s="38">
        <v>32</v>
      </c>
      <c r="R1819" s="38">
        <v>244</v>
      </c>
      <c r="S1819" s="38">
        <v>161</v>
      </c>
      <c r="T1819" s="2" t="s">
        <v>575</v>
      </c>
      <c r="U1819" s="85" t="s">
        <v>8</v>
      </c>
      <c r="V1819" s="150" t="s">
        <v>575</v>
      </c>
      <c r="W1819" s="86">
        <v>113</v>
      </c>
      <c r="X1819" s="83"/>
      <c r="Y1819" s="83"/>
      <c r="Z1819" s="83" t="s">
        <v>2939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303</v>
      </c>
      <c r="AK1819" s="266"/>
    </row>
    <row r="1820" spans="1:37" ht="14.4" thickBot="1" x14ac:dyDescent="0.35">
      <c r="A1820" s="15">
        <v>1819</v>
      </c>
      <c r="B1820" s="40" t="s">
        <v>1570</v>
      </c>
      <c r="C1820" s="40">
        <v>2278</v>
      </c>
      <c r="D1820" s="38" t="s">
        <v>1568</v>
      </c>
      <c r="E1820" s="40" t="s">
        <v>2915</v>
      </c>
      <c r="F1820" s="40" t="s">
        <v>4966</v>
      </c>
      <c r="G1820" s="382" t="s">
        <v>5605</v>
      </c>
      <c r="H1820" s="340" t="s">
        <v>5606</v>
      </c>
      <c r="I1820" s="447" t="s">
        <v>5610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575</v>
      </c>
      <c r="U1820" s="2" t="s">
        <v>8</v>
      </c>
      <c r="V1820" s="150" t="s">
        <v>92</v>
      </c>
      <c r="W1820" s="39">
        <v>113</v>
      </c>
      <c r="X1820" s="40"/>
      <c r="Y1820" s="40"/>
      <c r="Z1820" s="40"/>
      <c r="AA1820" s="40" t="s">
        <v>2939</v>
      </c>
      <c r="AB1820" s="40"/>
      <c r="AC1820" s="40"/>
      <c r="AD1820" s="40" t="s">
        <v>2939</v>
      </c>
      <c r="AE1820" s="40"/>
      <c r="AF1820" s="40"/>
      <c r="AG1820" s="40"/>
      <c r="AH1820" s="40"/>
      <c r="AI1820" s="40"/>
      <c r="AJ1820" s="79" t="s">
        <v>303</v>
      </c>
      <c r="AK1820" s="196"/>
    </row>
    <row r="1821" spans="1:37" ht="14.4" thickBot="1" x14ac:dyDescent="0.35">
      <c r="A1821" s="15">
        <v>1820</v>
      </c>
      <c r="B1821" s="40" t="s">
        <v>1593</v>
      </c>
      <c r="C1821" s="40">
        <v>2275</v>
      </c>
      <c r="D1821" s="38" t="s">
        <v>1590</v>
      </c>
      <c r="E1821" s="40" t="s">
        <v>2915</v>
      </c>
      <c r="F1821" s="40" t="s">
        <v>4967</v>
      </c>
      <c r="G1821" s="382" t="s">
        <v>5605</v>
      </c>
      <c r="H1821" s="340" t="s">
        <v>5606</v>
      </c>
      <c r="I1821" s="447" t="s">
        <v>5610</v>
      </c>
      <c r="J1821" s="43">
        <v>201769.38</v>
      </c>
      <c r="K1821" s="43">
        <v>2664492.83</v>
      </c>
      <c r="L1821" s="43" t="s">
        <v>40</v>
      </c>
      <c r="M1821" s="44">
        <v>8</v>
      </c>
      <c r="N1821" s="43">
        <v>95</v>
      </c>
      <c r="O1821" s="43">
        <v>118</v>
      </c>
      <c r="P1821" s="43" t="s">
        <v>41</v>
      </c>
      <c r="Q1821" s="43">
        <v>39</v>
      </c>
      <c r="R1821" s="43">
        <v>239</v>
      </c>
      <c r="S1821" s="43">
        <v>185</v>
      </c>
      <c r="T1821" s="2" t="s">
        <v>575</v>
      </c>
      <c r="U1821" s="2" t="s">
        <v>8</v>
      </c>
      <c r="V1821" s="150" t="s">
        <v>92</v>
      </c>
      <c r="W1821" s="39">
        <v>113</v>
      </c>
      <c r="X1821" s="40"/>
      <c r="Y1821" s="40"/>
      <c r="Z1821" s="40"/>
      <c r="AA1821" s="40" t="s">
        <v>2939</v>
      </c>
      <c r="AB1821" s="40"/>
      <c r="AC1821" s="40"/>
      <c r="AD1821" s="40" t="s">
        <v>2939</v>
      </c>
      <c r="AE1821" s="40"/>
      <c r="AF1821" s="40"/>
      <c r="AG1821" s="40"/>
      <c r="AH1821" s="40"/>
      <c r="AI1821" s="40"/>
      <c r="AJ1821" s="79" t="s">
        <v>303</v>
      </c>
      <c r="AK1821" s="196"/>
    </row>
    <row r="1822" spans="1:37" ht="14.4" thickBot="1" x14ac:dyDescent="0.35">
      <c r="A1822" s="15">
        <v>1821</v>
      </c>
      <c r="B1822" s="29" t="s">
        <v>1648</v>
      </c>
      <c r="C1822" s="29">
        <v>601</v>
      </c>
      <c r="D1822" s="27" t="s">
        <v>3114</v>
      </c>
      <c r="E1822" s="29" t="s">
        <v>2963</v>
      </c>
      <c r="F1822" s="29" t="s">
        <v>4968</v>
      </c>
      <c r="G1822" s="382" t="s">
        <v>5605</v>
      </c>
      <c r="H1822" s="340" t="s">
        <v>5606</v>
      </c>
      <c r="I1822" s="447" t="s">
        <v>5610</v>
      </c>
      <c r="J1822" s="33">
        <v>198189.35</v>
      </c>
      <c r="K1822" s="33">
        <v>2664649.23</v>
      </c>
      <c r="L1822" s="33" t="s">
        <v>40</v>
      </c>
      <c r="M1822" s="33">
        <v>14</v>
      </c>
      <c r="N1822" s="33">
        <v>93</v>
      </c>
      <c r="O1822" s="33">
        <v>77</v>
      </c>
      <c r="P1822" s="33" t="s">
        <v>41</v>
      </c>
      <c r="Q1822" s="33">
        <v>37</v>
      </c>
      <c r="R1822" s="33">
        <v>279</v>
      </c>
      <c r="S1822" s="33">
        <v>74</v>
      </c>
      <c r="T1822" s="2" t="s">
        <v>575</v>
      </c>
      <c r="U1822" s="30" t="s">
        <v>8</v>
      </c>
      <c r="V1822" s="97" t="s">
        <v>2397</v>
      </c>
      <c r="W1822" s="28">
        <v>113</v>
      </c>
      <c r="X1822" s="29"/>
      <c r="Y1822" s="29"/>
      <c r="Z1822" s="29"/>
      <c r="AA1822" s="29" t="s">
        <v>2939</v>
      </c>
      <c r="AB1822" s="29"/>
      <c r="AC1822" s="29"/>
      <c r="AD1822" s="29"/>
      <c r="AE1822" s="29" t="s">
        <v>2939</v>
      </c>
      <c r="AF1822" s="29"/>
      <c r="AG1822" s="29"/>
      <c r="AH1822" s="29"/>
      <c r="AI1822" s="29"/>
      <c r="AJ1822" s="79" t="s">
        <v>303</v>
      </c>
      <c r="AK1822" s="247"/>
    </row>
    <row r="1823" spans="1:37" ht="14.4" thickBot="1" x14ac:dyDescent="0.35">
      <c r="A1823" s="15">
        <v>1822</v>
      </c>
      <c r="B1823" s="40" t="s">
        <v>1649</v>
      </c>
      <c r="C1823" s="40">
        <v>603</v>
      </c>
      <c r="D1823" s="38" t="s">
        <v>1647</v>
      </c>
      <c r="E1823" s="40" t="s">
        <v>2963</v>
      </c>
      <c r="F1823" s="40" t="s">
        <v>4969</v>
      </c>
      <c r="G1823" s="382" t="s">
        <v>5605</v>
      </c>
      <c r="H1823" s="340" t="s">
        <v>5606</v>
      </c>
      <c r="I1823" s="447" t="s">
        <v>5610</v>
      </c>
      <c r="J1823" s="43">
        <v>198183.01</v>
      </c>
      <c r="K1823" s="43">
        <v>2664627.34</v>
      </c>
      <c r="L1823" s="43" t="s">
        <v>40</v>
      </c>
      <c r="M1823" s="43">
        <v>15</v>
      </c>
      <c r="N1823" s="43">
        <v>142</v>
      </c>
      <c r="O1823" s="43">
        <v>112</v>
      </c>
      <c r="P1823" s="43" t="s">
        <v>41</v>
      </c>
      <c r="Q1823" s="43">
        <v>43</v>
      </c>
      <c r="R1823" s="43">
        <v>471</v>
      </c>
      <c r="S1823" s="43">
        <v>99</v>
      </c>
      <c r="T1823" s="2" t="s">
        <v>575</v>
      </c>
      <c r="U1823" s="2" t="s">
        <v>8</v>
      </c>
      <c r="V1823" s="97" t="s">
        <v>2397</v>
      </c>
      <c r="W1823" s="39">
        <v>113</v>
      </c>
      <c r="X1823" s="40"/>
      <c r="Y1823" s="40"/>
      <c r="Z1823" s="40"/>
      <c r="AA1823" s="40" t="s">
        <v>2939</v>
      </c>
      <c r="AB1823" s="40"/>
      <c r="AC1823" s="40"/>
      <c r="AD1823" s="40"/>
      <c r="AE1823" s="40" t="s">
        <v>2939</v>
      </c>
      <c r="AF1823" s="40"/>
      <c r="AG1823" s="40"/>
      <c r="AH1823" s="40"/>
      <c r="AI1823" s="40"/>
      <c r="AJ1823" s="79" t="s">
        <v>303</v>
      </c>
      <c r="AK1823" s="196"/>
    </row>
    <row r="1824" spans="1:37" ht="14.4" thickBot="1" x14ac:dyDescent="0.35">
      <c r="A1824" s="15">
        <v>1823</v>
      </c>
      <c r="B1824" s="83" t="s">
        <v>1652</v>
      </c>
      <c r="C1824" s="83">
        <v>602</v>
      </c>
      <c r="D1824" s="113" t="s">
        <v>1647</v>
      </c>
      <c r="E1824" s="83" t="s">
        <v>2963</v>
      </c>
      <c r="F1824" s="83" t="s">
        <v>4970</v>
      </c>
      <c r="G1824" s="382" t="s">
        <v>5605</v>
      </c>
      <c r="H1824" s="456" t="s">
        <v>5608</v>
      </c>
      <c r="I1824" s="447" t="s">
        <v>5610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575</v>
      </c>
      <c r="U1824" s="2" t="s">
        <v>8</v>
      </c>
      <c r="V1824" s="97" t="s">
        <v>2397</v>
      </c>
      <c r="W1824" s="86">
        <v>113</v>
      </c>
      <c r="X1824" s="83"/>
      <c r="Y1824" s="83"/>
      <c r="Z1824" s="83"/>
      <c r="AA1824" s="83" t="s">
        <v>2939</v>
      </c>
      <c r="AB1824" s="83"/>
      <c r="AC1824" s="83"/>
      <c r="AD1824" s="83"/>
      <c r="AE1824" s="83"/>
      <c r="AF1824" s="83" t="s">
        <v>2939</v>
      </c>
      <c r="AG1824" s="83"/>
      <c r="AH1824" s="83"/>
      <c r="AI1824" s="83"/>
      <c r="AJ1824" s="79" t="s">
        <v>303</v>
      </c>
      <c r="AK1824" s="196"/>
    </row>
    <row r="1825" spans="1:37" ht="14.4" thickBot="1" x14ac:dyDescent="0.35">
      <c r="A1825" s="15">
        <v>1824</v>
      </c>
      <c r="B1825" s="83" t="s">
        <v>1969</v>
      </c>
      <c r="C1825" s="83">
        <v>1483</v>
      </c>
      <c r="D1825" s="113" t="s">
        <v>1962</v>
      </c>
      <c r="E1825" s="83" t="s">
        <v>2929</v>
      </c>
      <c r="F1825" s="83" t="s">
        <v>4971</v>
      </c>
      <c r="G1825" s="382" t="s">
        <v>5605</v>
      </c>
      <c r="H1825" s="340" t="s">
        <v>5606</v>
      </c>
      <c r="I1825" s="447" t="s">
        <v>5610</v>
      </c>
      <c r="J1825" s="88">
        <v>197931.3</v>
      </c>
      <c r="K1825" s="88">
        <v>2665251.9900000002</v>
      </c>
      <c r="L1825" s="88" t="s">
        <v>40</v>
      </c>
      <c r="M1825" s="89">
        <v>9</v>
      </c>
      <c r="N1825" s="88">
        <v>143</v>
      </c>
      <c r="O1825" s="88">
        <v>112</v>
      </c>
      <c r="P1825" s="88" t="s">
        <v>41</v>
      </c>
      <c r="Q1825" s="88">
        <v>44</v>
      </c>
      <c r="R1825" s="88">
        <v>227</v>
      </c>
      <c r="S1825" s="88">
        <v>26</v>
      </c>
      <c r="T1825" s="2" t="s">
        <v>575</v>
      </c>
      <c r="U1825" s="2" t="s">
        <v>8</v>
      </c>
      <c r="V1825" s="150" t="s">
        <v>92</v>
      </c>
      <c r="W1825" s="86">
        <v>113</v>
      </c>
      <c r="X1825" s="83"/>
      <c r="Y1825" s="83"/>
      <c r="Z1825" s="83"/>
      <c r="AA1825" s="83"/>
      <c r="AB1825" s="83"/>
      <c r="AC1825" s="83" t="s">
        <v>2898</v>
      </c>
      <c r="AD1825" s="83"/>
      <c r="AE1825" s="83"/>
      <c r="AF1825" s="83"/>
      <c r="AG1825" s="83"/>
      <c r="AH1825" s="83"/>
      <c r="AI1825" s="83"/>
      <c r="AJ1825" s="79" t="s">
        <v>303</v>
      </c>
      <c r="AK1825" s="196"/>
    </row>
    <row r="1826" spans="1:37" ht="14.4" thickBot="1" x14ac:dyDescent="0.35">
      <c r="A1826" s="15">
        <v>1825</v>
      </c>
      <c r="B1826" s="29" t="s">
        <v>2419</v>
      </c>
      <c r="C1826" s="29">
        <v>203</v>
      </c>
      <c r="D1826" s="27" t="s">
        <v>2327</v>
      </c>
      <c r="E1826" s="29" t="s">
        <v>2963</v>
      </c>
      <c r="F1826" s="29" t="s">
        <v>4972</v>
      </c>
      <c r="G1826" s="382" t="s">
        <v>5605</v>
      </c>
      <c r="H1826" s="340" t="s">
        <v>5606</v>
      </c>
      <c r="I1826" s="447" t="s">
        <v>5610</v>
      </c>
      <c r="J1826" s="33">
        <v>200051.59599999999</v>
      </c>
      <c r="K1826" s="33">
        <v>2665658.3709999998</v>
      </c>
      <c r="L1826" s="33" t="s">
        <v>40</v>
      </c>
      <c r="M1826" s="33">
        <v>18</v>
      </c>
      <c r="N1826" s="33">
        <v>59</v>
      </c>
      <c r="O1826" s="33">
        <v>120</v>
      </c>
      <c r="P1826" s="33" t="s">
        <v>41</v>
      </c>
      <c r="Q1826" s="33">
        <v>38</v>
      </c>
      <c r="R1826" s="33">
        <v>299</v>
      </c>
      <c r="S1826" s="33">
        <v>140</v>
      </c>
      <c r="T1826" s="2" t="s">
        <v>575</v>
      </c>
      <c r="U1826" s="30" t="s">
        <v>8</v>
      </c>
      <c r="V1826" s="150" t="s">
        <v>92</v>
      </c>
      <c r="W1826" s="28">
        <v>113</v>
      </c>
      <c r="X1826" s="29"/>
      <c r="Y1826" s="102"/>
      <c r="Z1826" s="29"/>
      <c r="AA1826" s="29" t="s">
        <v>2939</v>
      </c>
      <c r="AB1826" s="29"/>
      <c r="AC1826" s="29"/>
      <c r="AD1826" s="29" t="s">
        <v>2939</v>
      </c>
      <c r="AE1826" s="29"/>
      <c r="AF1826" s="29"/>
      <c r="AG1826" s="29"/>
      <c r="AH1826" s="29"/>
      <c r="AI1826" s="29"/>
      <c r="AJ1826" s="141" t="s">
        <v>303</v>
      </c>
      <c r="AK1826" s="247"/>
    </row>
    <row r="1827" spans="1:37" ht="14.4" thickBot="1" x14ac:dyDescent="0.35">
      <c r="A1827" s="15">
        <v>1826</v>
      </c>
      <c r="B1827" s="29" t="s">
        <v>2403</v>
      </c>
      <c r="C1827" s="29">
        <v>126</v>
      </c>
      <c r="D1827" s="27" t="s">
        <v>2404</v>
      </c>
      <c r="E1827" s="29" t="s">
        <v>2963</v>
      </c>
      <c r="F1827" s="29" t="s">
        <v>4973</v>
      </c>
      <c r="G1827" s="382" t="s">
        <v>5605</v>
      </c>
      <c r="H1827" s="340" t="s">
        <v>5606</v>
      </c>
      <c r="I1827" s="447" t="s">
        <v>5610</v>
      </c>
      <c r="J1827" s="187">
        <v>198073.15</v>
      </c>
      <c r="K1827" s="187">
        <v>2665926.1</v>
      </c>
      <c r="L1827" s="33" t="s">
        <v>40</v>
      </c>
      <c r="M1827" s="34">
        <v>8</v>
      </c>
      <c r="N1827" s="33">
        <v>185</v>
      </c>
      <c r="O1827" s="33">
        <v>129</v>
      </c>
      <c r="P1827" s="33" t="s">
        <v>41</v>
      </c>
      <c r="Q1827" s="33">
        <v>38</v>
      </c>
      <c r="R1827" s="33">
        <v>340</v>
      </c>
      <c r="S1827" s="33">
        <v>61</v>
      </c>
      <c r="T1827" s="2" t="s">
        <v>575</v>
      </c>
      <c r="U1827" s="30" t="s">
        <v>8</v>
      </c>
      <c r="V1827" s="150" t="s">
        <v>92</v>
      </c>
      <c r="W1827" s="28">
        <v>113</v>
      </c>
      <c r="X1827" s="29"/>
      <c r="Y1827" s="29"/>
      <c r="Z1827" s="29" t="s">
        <v>2939</v>
      </c>
      <c r="AA1827" s="29"/>
      <c r="AB1827" s="29"/>
      <c r="AC1827" s="29" t="s">
        <v>2939</v>
      </c>
      <c r="AD1827" s="29"/>
      <c r="AE1827" s="29"/>
      <c r="AF1827" s="29"/>
      <c r="AG1827" s="29"/>
      <c r="AH1827" s="29"/>
      <c r="AI1827" s="29"/>
      <c r="AJ1827" s="141" t="s">
        <v>303</v>
      </c>
      <c r="AK1827" s="247"/>
    </row>
    <row r="1828" spans="1:37" ht="14.4" thickBot="1" x14ac:dyDescent="0.35">
      <c r="A1828" s="15">
        <v>1827</v>
      </c>
      <c r="B1828" s="29" t="s">
        <v>2573</v>
      </c>
      <c r="C1828" s="29">
        <v>498</v>
      </c>
      <c r="D1828" s="27" t="s">
        <v>2572</v>
      </c>
      <c r="E1828" s="29" t="s">
        <v>2963</v>
      </c>
      <c r="F1828" s="29" t="s">
        <v>4974</v>
      </c>
      <c r="G1828" s="382" t="s">
        <v>5605</v>
      </c>
      <c r="H1828" s="340" t="s">
        <v>5606</v>
      </c>
      <c r="I1828" s="447" t="s">
        <v>5610</v>
      </c>
      <c r="J1828" s="33">
        <v>199461.28</v>
      </c>
      <c r="K1828" s="33">
        <v>2666115.6800000002</v>
      </c>
      <c r="L1828" s="33" t="s">
        <v>40</v>
      </c>
      <c r="M1828" s="33">
        <v>11</v>
      </c>
      <c r="N1828" s="33">
        <v>110</v>
      </c>
      <c r="O1828" s="33">
        <v>126</v>
      </c>
      <c r="P1828" s="33" t="s">
        <v>41</v>
      </c>
      <c r="Q1828" s="33">
        <v>38</v>
      </c>
      <c r="R1828" s="33">
        <v>304</v>
      </c>
      <c r="S1828" s="33">
        <v>183</v>
      </c>
      <c r="T1828" s="2" t="s">
        <v>575</v>
      </c>
      <c r="U1828" s="30" t="s">
        <v>303</v>
      </c>
      <c r="V1828" s="79" t="s">
        <v>1114</v>
      </c>
      <c r="W1828" s="28">
        <v>113</v>
      </c>
      <c r="X1828" s="29"/>
      <c r="Y1828" s="29"/>
      <c r="Z1828" s="29"/>
      <c r="AA1828" s="29" t="s">
        <v>2939</v>
      </c>
      <c r="AB1828" s="29"/>
      <c r="AC1828" s="29"/>
      <c r="AD1828" s="29"/>
      <c r="AE1828" s="29" t="s">
        <v>2939</v>
      </c>
      <c r="AF1828" s="29"/>
      <c r="AG1828" s="29"/>
      <c r="AH1828" s="29"/>
      <c r="AI1828" s="29"/>
      <c r="AJ1828" s="141" t="s">
        <v>303</v>
      </c>
      <c r="AK1828" s="247"/>
    </row>
    <row r="1829" spans="1:37" ht="14.4" thickBot="1" x14ac:dyDescent="0.35">
      <c r="A1829" s="15">
        <v>1828</v>
      </c>
      <c r="B1829" s="29" t="s">
        <v>2677</v>
      </c>
      <c r="C1829" s="29">
        <v>376</v>
      </c>
      <c r="D1829" s="27" t="s">
        <v>2676</v>
      </c>
      <c r="E1829" s="29" t="s">
        <v>2963</v>
      </c>
      <c r="F1829" s="29" t="s">
        <v>4975</v>
      </c>
      <c r="G1829" s="382" t="s">
        <v>5605</v>
      </c>
      <c r="H1829" s="340" t="s">
        <v>5606</v>
      </c>
      <c r="I1829" s="447" t="s">
        <v>5610</v>
      </c>
      <c r="J1829" s="33">
        <v>199368.39</v>
      </c>
      <c r="K1829" s="33">
        <v>2666527.88</v>
      </c>
      <c r="L1829" s="33" t="s">
        <v>40</v>
      </c>
      <c r="M1829" s="34">
        <v>13</v>
      </c>
      <c r="N1829" s="33">
        <v>63</v>
      </c>
      <c r="O1829" s="33">
        <v>156</v>
      </c>
      <c r="P1829" s="33" t="s">
        <v>41</v>
      </c>
      <c r="Q1829" s="33">
        <v>27</v>
      </c>
      <c r="R1829" s="33">
        <v>286</v>
      </c>
      <c r="S1829" s="33">
        <v>200</v>
      </c>
      <c r="T1829" s="2" t="s">
        <v>575</v>
      </c>
      <c r="U1829" s="30" t="s">
        <v>8</v>
      </c>
      <c r="V1829" s="150" t="s">
        <v>92</v>
      </c>
      <c r="W1829" s="28">
        <v>113</v>
      </c>
      <c r="X1829" s="29"/>
      <c r="Y1829" s="29"/>
      <c r="Z1829" s="29" t="s">
        <v>2939</v>
      </c>
      <c r="AA1829" s="29"/>
      <c r="AB1829" s="29"/>
      <c r="AC1829" s="29" t="s">
        <v>2939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2682</v>
      </c>
      <c r="C1830" s="40">
        <v>378</v>
      </c>
      <c r="D1830" s="38" t="s">
        <v>2674</v>
      </c>
      <c r="E1830" s="40" t="s">
        <v>2963</v>
      </c>
      <c r="F1830" s="40" t="s">
        <v>4976</v>
      </c>
      <c r="G1830" s="382" t="s">
        <v>5605</v>
      </c>
      <c r="H1830" s="340" t="s">
        <v>5606</v>
      </c>
      <c r="I1830" s="447" t="s">
        <v>5610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575</v>
      </c>
      <c r="U1830" s="2" t="s">
        <v>303</v>
      </c>
      <c r="V1830" s="150" t="s">
        <v>92</v>
      </c>
      <c r="W1830" s="39">
        <v>113</v>
      </c>
      <c r="X1830" s="40" t="s">
        <v>2898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1694</v>
      </c>
      <c r="C1831" s="40">
        <v>313</v>
      </c>
      <c r="D1831" s="38" t="s">
        <v>1826</v>
      </c>
      <c r="E1831" s="40" t="s">
        <v>2963</v>
      </c>
      <c r="F1831" s="40" t="s">
        <v>4977</v>
      </c>
      <c r="G1831" s="382" t="s">
        <v>5605</v>
      </c>
      <c r="H1831" s="150" t="s">
        <v>5606</v>
      </c>
      <c r="I1831" s="447" t="s">
        <v>5610</v>
      </c>
      <c r="J1831" s="43">
        <v>199991.37</v>
      </c>
      <c r="K1831" s="43">
        <v>2664792.84</v>
      </c>
      <c r="L1831" s="43" t="s">
        <v>40</v>
      </c>
      <c r="M1831" s="44">
        <v>11</v>
      </c>
      <c r="N1831" s="43">
        <v>77</v>
      </c>
      <c r="O1831" s="43">
        <v>117</v>
      </c>
      <c r="P1831" s="43" t="s">
        <v>41</v>
      </c>
      <c r="Q1831" s="43">
        <v>34</v>
      </c>
      <c r="R1831" s="43">
        <v>281</v>
      </c>
      <c r="S1831" s="43">
        <v>148</v>
      </c>
      <c r="T1831" s="2" t="s">
        <v>575</v>
      </c>
      <c r="U1831" s="2" t="s">
        <v>8</v>
      </c>
      <c r="V1831" s="150" t="s">
        <v>92</v>
      </c>
      <c r="W1831" s="39">
        <v>113</v>
      </c>
      <c r="X1831" s="40"/>
      <c r="Y1831" s="40"/>
      <c r="Z1831" s="40"/>
      <c r="AA1831" s="40" t="s">
        <v>2939</v>
      </c>
      <c r="AB1831" s="40"/>
      <c r="AC1831" s="40"/>
      <c r="AD1831" s="40"/>
      <c r="AE1831" s="40" t="s">
        <v>2939</v>
      </c>
      <c r="AF1831" s="40"/>
      <c r="AG1831" s="40"/>
      <c r="AH1831" s="40"/>
      <c r="AI1831" s="40"/>
      <c r="AJ1831" s="334" t="s">
        <v>303</v>
      </c>
      <c r="AK1831" s="415"/>
    </row>
    <row r="1832" spans="1:37" ht="14.4" thickBot="1" x14ac:dyDescent="0.35">
      <c r="A1832" s="15">
        <v>1831</v>
      </c>
      <c r="B1832" s="29" t="s">
        <v>1678</v>
      </c>
      <c r="C1832" s="29">
        <v>564</v>
      </c>
      <c r="D1832" s="27" t="s">
        <v>1677</v>
      </c>
      <c r="E1832" s="29" t="s">
        <v>2963</v>
      </c>
      <c r="F1832" s="29" t="s">
        <v>4978</v>
      </c>
      <c r="G1832" s="382" t="s">
        <v>5605</v>
      </c>
      <c r="H1832" s="434" t="s">
        <v>5606</v>
      </c>
      <c r="I1832" s="447" t="s">
        <v>5610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287</v>
      </c>
      <c r="Q1832" s="33">
        <v>24.3</v>
      </c>
      <c r="R1832" s="33">
        <v>292</v>
      </c>
      <c r="S1832" s="33">
        <v>100</v>
      </c>
      <c r="T1832" s="2" t="s">
        <v>575</v>
      </c>
      <c r="U1832" s="30" t="s">
        <v>8</v>
      </c>
      <c r="V1832" s="150" t="s">
        <v>92</v>
      </c>
      <c r="W1832" s="28">
        <v>108</v>
      </c>
      <c r="X1832" s="29"/>
      <c r="Y1832" s="29"/>
      <c r="Z1832" s="29"/>
      <c r="AA1832" s="29" t="s">
        <v>2943</v>
      </c>
      <c r="AB1832" s="29"/>
      <c r="AC1832" s="29"/>
      <c r="AD1832" s="29"/>
      <c r="AE1832" s="29" t="s">
        <v>2939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54</v>
      </c>
      <c r="C1833" s="29">
        <v>1928</v>
      </c>
      <c r="D1833" s="27" t="s">
        <v>50</v>
      </c>
      <c r="E1833" s="350" t="s">
        <v>48</v>
      </c>
      <c r="F1833" s="350" t="s">
        <v>4979</v>
      </c>
      <c r="G1833" s="382" t="s">
        <v>5605</v>
      </c>
      <c r="H1833" s="460" t="s">
        <v>5608</v>
      </c>
      <c r="I1833" s="447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55</v>
      </c>
      <c r="Q1833" s="33">
        <v>42</v>
      </c>
      <c r="R1833" s="33">
        <v>254</v>
      </c>
      <c r="S1833" s="33">
        <v>77.5</v>
      </c>
      <c r="T1833" s="30" t="s">
        <v>56</v>
      </c>
      <c r="U1833" s="30" t="s">
        <v>56</v>
      </c>
      <c r="V1833" s="150" t="s">
        <v>92</v>
      </c>
      <c r="W1833" s="27">
        <v>109</v>
      </c>
      <c r="X1833" s="350"/>
      <c r="Y1833" s="350"/>
      <c r="Z1833" s="350"/>
      <c r="AA1833" s="350"/>
      <c r="AB1833" s="350"/>
      <c r="AC1833" s="350" t="s">
        <v>303</v>
      </c>
      <c r="AD1833" s="350"/>
      <c r="AE1833" s="350"/>
      <c r="AF1833" s="350" t="s">
        <v>56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70</v>
      </c>
      <c r="E1834" s="4" t="s">
        <v>48</v>
      </c>
      <c r="F1834" s="4" t="s">
        <v>4980</v>
      </c>
      <c r="G1834" s="382" t="s">
        <v>5605</v>
      </c>
      <c r="H1834" s="457" t="s">
        <v>5608</v>
      </c>
      <c r="I1834" s="447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56</v>
      </c>
      <c r="U1834" s="2" t="s">
        <v>56</v>
      </c>
      <c r="V1834" s="150" t="s">
        <v>92</v>
      </c>
      <c r="W1834" s="38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96</v>
      </c>
      <c r="C1835" s="40">
        <v>1084</v>
      </c>
      <c r="D1835" s="38" t="s">
        <v>95</v>
      </c>
      <c r="E1835" s="4" t="s">
        <v>48</v>
      </c>
      <c r="F1835" s="4" t="s">
        <v>4981</v>
      </c>
      <c r="G1835" s="382" t="s">
        <v>5605</v>
      </c>
      <c r="H1835" s="457" t="s">
        <v>5608</v>
      </c>
      <c r="I1835" s="447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97</v>
      </c>
      <c r="Q1835" s="43">
        <v>35.700000000000003</v>
      </c>
      <c r="R1835" s="43">
        <v>215</v>
      </c>
      <c r="S1835" s="43">
        <v>43.3</v>
      </c>
      <c r="T1835" s="2" t="s">
        <v>56</v>
      </c>
      <c r="U1835" s="2" t="s">
        <v>56</v>
      </c>
      <c r="V1835" s="150" t="s">
        <v>92</v>
      </c>
      <c r="W1835" s="38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147</v>
      </c>
      <c r="C1836" s="40">
        <v>2010</v>
      </c>
      <c r="D1836" s="38" t="s">
        <v>145</v>
      </c>
      <c r="E1836" s="4" t="s">
        <v>48</v>
      </c>
      <c r="F1836" s="4" t="s">
        <v>4982</v>
      </c>
      <c r="G1836" s="382" t="s">
        <v>5605</v>
      </c>
      <c r="H1836" s="457" t="s">
        <v>5608</v>
      </c>
      <c r="I1836" s="447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56</v>
      </c>
      <c r="U1836" s="2" t="s">
        <v>56</v>
      </c>
      <c r="V1836" s="150" t="s">
        <v>92</v>
      </c>
      <c r="W1836" s="38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376</v>
      </c>
      <c r="C1837" s="38">
        <v>1851</v>
      </c>
      <c r="D1837" s="38" t="s">
        <v>374</v>
      </c>
      <c r="E1837" s="4" t="s">
        <v>300</v>
      </c>
      <c r="F1837" s="4" t="s">
        <v>4983</v>
      </c>
      <c r="G1837" s="382" t="s">
        <v>5605</v>
      </c>
      <c r="H1837" s="457" t="s">
        <v>5608</v>
      </c>
      <c r="I1837" s="447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331</v>
      </c>
      <c r="Q1837" s="43">
        <v>32</v>
      </c>
      <c r="R1837" s="43">
        <v>444</v>
      </c>
      <c r="S1837" s="43">
        <v>166</v>
      </c>
      <c r="T1837" s="2" t="s">
        <v>56</v>
      </c>
      <c r="U1837" s="2" t="s">
        <v>56</v>
      </c>
      <c r="V1837" s="150" t="s">
        <v>92</v>
      </c>
      <c r="W1837" s="38">
        <v>104</v>
      </c>
      <c r="X1837" s="392"/>
      <c r="Y1837" s="392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379</v>
      </c>
      <c r="C1838" s="38">
        <v>1878</v>
      </c>
      <c r="D1838" s="38" t="s">
        <v>374</v>
      </c>
      <c r="E1838" s="4" t="s">
        <v>300</v>
      </c>
      <c r="F1838" s="4" t="s">
        <v>4984</v>
      </c>
      <c r="G1838" s="382" t="s">
        <v>5605</v>
      </c>
      <c r="H1838" s="457" t="s">
        <v>5608</v>
      </c>
      <c r="I1838" s="447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56</v>
      </c>
      <c r="U1838" s="2" t="s">
        <v>56</v>
      </c>
      <c r="V1838" s="150" t="s">
        <v>92</v>
      </c>
      <c r="W1838" s="38">
        <v>105</v>
      </c>
      <c r="X1838" s="4"/>
      <c r="Y1838" s="392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387</v>
      </c>
      <c r="C1839" s="38">
        <v>975</v>
      </c>
      <c r="D1839" s="38" t="s">
        <v>385</v>
      </c>
      <c r="E1839" s="4" t="s">
        <v>300</v>
      </c>
      <c r="F1839" s="4" t="s">
        <v>4985</v>
      </c>
      <c r="G1839" s="382" t="s">
        <v>5605</v>
      </c>
      <c r="H1839" s="457" t="s">
        <v>5608</v>
      </c>
      <c r="I1839" s="447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56</v>
      </c>
      <c r="U1839" s="2" t="s">
        <v>56</v>
      </c>
      <c r="V1839" s="150" t="s">
        <v>92</v>
      </c>
      <c r="W1839" s="38">
        <v>104</v>
      </c>
      <c r="X1839" s="392"/>
      <c r="Y1839" s="392"/>
      <c r="Z1839" s="4"/>
      <c r="AA1839" s="40" t="s">
        <v>2905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388</v>
      </c>
      <c r="C1840" s="38">
        <v>979</v>
      </c>
      <c r="D1840" s="38" t="s">
        <v>385</v>
      </c>
      <c r="E1840" s="4" t="s">
        <v>300</v>
      </c>
      <c r="F1840" s="4" t="s">
        <v>4986</v>
      </c>
      <c r="G1840" s="382" t="s">
        <v>5605</v>
      </c>
      <c r="H1840" s="457" t="s">
        <v>5608</v>
      </c>
      <c r="I1840" s="447"/>
      <c r="J1840" s="43">
        <v>201704</v>
      </c>
      <c r="K1840" s="43">
        <v>2661506</v>
      </c>
      <c r="L1840" s="43" t="s">
        <v>389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56</v>
      </c>
      <c r="U1840" s="2" t="s">
        <v>56</v>
      </c>
      <c r="V1840" s="150" t="s">
        <v>92</v>
      </c>
      <c r="W1840" s="38">
        <v>104</v>
      </c>
      <c r="X1840" s="4"/>
      <c r="Y1840" s="392"/>
      <c r="Z1840" s="40" t="s">
        <v>2939</v>
      </c>
      <c r="AA1840" s="40" t="s">
        <v>2905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430</v>
      </c>
      <c r="C1841" s="40">
        <v>1166</v>
      </c>
      <c r="D1841" s="416" t="s">
        <v>422</v>
      </c>
      <c r="E1841" s="4" t="s">
        <v>300</v>
      </c>
      <c r="F1841" s="4" t="s">
        <v>4987</v>
      </c>
      <c r="G1841" s="382" t="s">
        <v>5605</v>
      </c>
      <c r="H1841" s="457" t="s">
        <v>5608</v>
      </c>
      <c r="I1841" s="447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56</v>
      </c>
      <c r="U1841" s="2" t="s">
        <v>56</v>
      </c>
      <c r="V1841" s="108" t="s">
        <v>2914</v>
      </c>
      <c r="W1841" s="41">
        <v>109</v>
      </c>
      <c r="X1841" s="4"/>
      <c r="Y1841" s="392"/>
      <c r="Z1841" s="4"/>
      <c r="AA1841" s="4"/>
      <c r="AB1841" s="4"/>
      <c r="AC1841" s="40" t="s">
        <v>2898</v>
      </c>
      <c r="AD1841" s="4"/>
      <c r="AE1841" s="4"/>
      <c r="AF1841" s="40" t="s">
        <v>2905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444</v>
      </c>
      <c r="C1842" s="38">
        <v>1161</v>
      </c>
      <c r="D1842" s="38" t="s">
        <v>435</v>
      </c>
      <c r="E1842" s="150" t="s">
        <v>300</v>
      </c>
      <c r="F1842" s="150" t="s">
        <v>4988</v>
      </c>
      <c r="G1842" s="382" t="s">
        <v>5605</v>
      </c>
      <c r="H1842" s="456" t="s">
        <v>5608</v>
      </c>
      <c r="I1842" s="447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56</v>
      </c>
      <c r="U1842" s="2" t="s">
        <v>56</v>
      </c>
      <c r="V1842" s="150" t="s">
        <v>92</v>
      </c>
      <c r="W1842" s="39">
        <v>109</v>
      </c>
      <c r="X1842" s="40" t="s">
        <v>2905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275</v>
      </c>
      <c r="C1843" s="40">
        <v>8</v>
      </c>
      <c r="D1843" s="38" t="s">
        <v>273</v>
      </c>
      <c r="E1843" s="4" t="s">
        <v>48</v>
      </c>
      <c r="F1843" s="4" t="s">
        <v>4989</v>
      </c>
      <c r="G1843" s="382" t="s">
        <v>5605</v>
      </c>
      <c r="H1843" s="457" t="s">
        <v>5608</v>
      </c>
      <c r="I1843" s="447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56</v>
      </c>
      <c r="U1843" s="2" t="s">
        <v>56</v>
      </c>
      <c r="V1843" s="150" t="s">
        <v>92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2939</v>
      </c>
      <c r="AF1843" s="4"/>
      <c r="AG1843" s="4"/>
      <c r="AH1843" s="40" t="s">
        <v>2939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490</v>
      </c>
      <c r="C1844" s="40">
        <v>988</v>
      </c>
      <c r="D1844" s="38" t="s">
        <v>488</v>
      </c>
      <c r="E1844" s="4" t="s">
        <v>300</v>
      </c>
      <c r="F1844" s="4" t="s">
        <v>4990</v>
      </c>
      <c r="G1844" s="382" t="s">
        <v>5605</v>
      </c>
      <c r="H1844" s="457" t="s">
        <v>5608</v>
      </c>
      <c r="I1844" s="447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56</v>
      </c>
      <c r="U1844" s="2" t="s">
        <v>56</v>
      </c>
      <c r="V1844" s="150" t="s">
        <v>92</v>
      </c>
      <c r="W1844" s="38">
        <v>107</v>
      </c>
      <c r="X1844" s="4"/>
      <c r="Y1844" s="4"/>
      <c r="Z1844" s="40" t="s">
        <v>2939</v>
      </c>
      <c r="AA1844" s="4"/>
      <c r="AB1844" s="4"/>
      <c r="AC1844" s="4"/>
      <c r="AD1844" s="40" t="s">
        <v>2905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495</v>
      </c>
      <c r="C1845" s="133">
        <v>1155</v>
      </c>
      <c r="D1845" s="38" t="s">
        <v>491</v>
      </c>
      <c r="E1845" s="4" t="s">
        <v>300</v>
      </c>
      <c r="F1845" s="4" t="s">
        <v>4991</v>
      </c>
      <c r="G1845" s="382" t="s">
        <v>5605</v>
      </c>
      <c r="H1845" s="457" t="s">
        <v>5608</v>
      </c>
      <c r="I1845" s="447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56</v>
      </c>
      <c r="U1845" s="2" t="s">
        <v>56</v>
      </c>
      <c r="V1845" s="150" t="s">
        <v>92</v>
      </c>
      <c r="W1845" s="38">
        <v>103</v>
      </c>
      <c r="X1845" s="4"/>
      <c r="Y1845" s="392"/>
      <c r="Z1845" s="40" t="s">
        <v>2905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500</v>
      </c>
      <c r="C1846" s="40">
        <v>1154</v>
      </c>
      <c r="D1846" s="38" t="s">
        <v>499</v>
      </c>
      <c r="E1846" s="4" t="s">
        <v>300</v>
      </c>
      <c r="F1846" s="4" t="s">
        <v>4992</v>
      </c>
      <c r="G1846" s="382" t="s">
        <v>5605</v>
      </c>
      <c r="H1846" s="457" t="s">
        <v>5608</v>
      </c>
      <c r="I1846" s="447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56</v>
      </c>
      <c r="U1846" s="2" t="s">
        <v>56</v>
      </c>
      <c r="V1846" s="150" t="s">
        <v>92</v>
      </c>
      <c r="W1846" s="38">
        <v>105</v>
      </c>
      <c r="X1846" s="4"/>
      <c r="Y1846" s="392"/>
      <c r="Z1846" s="4"/>
      <c r="AA1846" s="4"/>
      <c r="AB1846" s="40" t="s">
        <v>2905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514</v>
      </c>
      <c r="C1847" s="40">
        <v>1863</v>
      </c>
      <c r="D1847" s="38" t="s">
        <v>513</v>
      </c>
      <c r="E1847" s="4" t="s">
        <v>300</v>
      </c>
      <c r="F1847" s="4" t="s">
        <v>4993</v>
      </c>
      <c r="G1847" s="382" t="s">
        <v>5605</v>
      </c>
      <c r="H1847" s="457" t="s">
        <v>5608</v>
      </c>
      <c r="I1847" s="447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331</v>
      </c>
      <c r="Q1847" s="43">
        <v>43.3</v>
      </c>
      <c r="R1847" s="43">
        <v>338</v>
      </c>
      <c r="S1847" s="43">
        <v>79.900000000000006</v>
      </c>
      <c r="T1847" s="2" t="s">
        <v>56</v>
      </c>
      <c r="U1847" s="2" t="s">
        <v>56</v>
      </c>
      <c r="V1847" s="150" t="s">
        <v>92</v>
      </c>
      <c r="W1847" s="38">
        <v>103</v>
      </c>
      <c r="X1847" s="4"/>
      <c r="Y1847" s="392"/>
      <c r="Z1847" s="40" t="s">
        <v>2905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580</v>
      </c>
      <c r="C1848" s="40">
        <v>1855</v>
      </c>
      <c r="D1848" s="38" t="s">
        <v>579</v>
      </c>
      <c r="E1848" s="4" t="s">
        <v>300</v>
      </c>
      <c r="F1848" s="4" t="s">
        <v>4994</v>
      </c>
      <c r="G1848" s="382" t="s">
        <v>5605</v>
      </c>
      <c r="H1848" s="457" t="s">
        <v>5608</v>
      </c>
      <c r="I1848" s="447"/>
      <c r="J1848" s="43">
        <v>200777</v>
      </c>
      <c r="K1848" s="43">
        <v>2662394</v>
      </c>
      <c r="L1848" s="43" t="s">
        <v>412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56</v>
      </c>
      <c r="U1848" s="2" t="s">
        <v>56</v>
      </c>
      <c r="V1848" s="150" t="s">
        <v>92</v>
      </c>
      <c r="W1848" s="41">
        <v>103</v>
      </c>
      <c r="X1848" s="4"/>
      <c r="Y1848" s="392"/>
      <c r="Z1848" s="40" t="s">
        <v>2905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583</v>
      </c>
      <c r="C1849" s="40">
        <v>1828</v>
      </c>
      <c r="D1849" s="38" t="s">
        <v>579</v>
      </c>
      <c r="E1849" s="4" t="s">
        <v>300</v>
      </c>
      <c r="F1849" s="4" t="s">
        <v>4995</v>
      </c>
      <c r="G1849" s="382" t="s">
        <v>5605</v>
      </c>
      <c r="H1849" s="457" t="s">
        <v>5608</v>
      </c>
      <c r="I1849" s="447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56</v>
      </c>
      <c r="U1849" s="2" t="s">
        <v>56</v>
      </c>
      <c r="V1849" s="150" t="s">
        <v>92</v>
      </c>
      <c r="W1849" s="41">
        <v>101</v>
      </c>
      <c r="X1849" s="40" t="s">
        <v>2905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590</v>
      </c>
      <c r="C1850" s="40">
        <v>934</v>
      </c>
      <c r="D1850" s="38" t="s">
        <v>588</v>
      </c>
      <c r="E1850" s="4" t="s">
        <v>457</v>
      </c>
      <c r="F1850" s="4" t="s">
        <v>4996</v>
      </c>
      <c r="G1850" s="382" t="s">
        <v>5605</v>
      </c>
      <c r="H1850" s="457" t="s">
        <v>5608</v>
      </c>
      <c r="I1850" s="447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77</v>
      </c>
      <c r="Q1850" s="43">
        <v>32.9</v>
      </c>
      <c r="R1850" s="43">
        <v>253</v>
      </c>
      <c r="S1850" s="43">
        <v>31.7</v>
      </c>
      <c r="T1850" s="2" t="s">
        <v>56</v>
      </c>
      <c r="U1850" s="2" t="s">
        <v>56</v>
      </c>
      <c r="V1850" s="150" t="s">
        <v>92</v>
      </c>
      <c r="W1850" s="38">
        <v>110</v>
      </c>
      <c r="X1850" s="4"/>
      <c r="Y1850" s="4"/>
      <c r="Z1850" s="4"/>
      <c r="AA1850" s="4"/>
      <c r="AB1850" s="4"/>
      <c r="AC1850" s="40" t="s">
        <v>2894</v>
      </c>
      <c r="AD1850" s="4"/>
      <c r="AE1850" s="4"/>
      <c r="AF1850" s="40" t="s">
        <v>2894</v>
      </c>
      <c r="AG1850" s="40" t="s">
        <v>2905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622</v>
      </c>
      <c r="C1851" s="133">
        <v>1824</v>
      </c>
      <c r="D1851" s="38" t="s">
        <v>617</v>
      </c>
      <c r="E1851" s="4" t="s">
        <v>300</v>
      </c>
      <c r="F1851" s="4" t="s">
        <v>4997</v>
      </c>
      <c r="G1851" s="382" t="s">
        <v>5605</v>
      </c>
      <c r="H1851" s="457" t="s">
        <v>5608</v>
      </c>
      <c r="I1851" s="447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56</v>
      </c>
      <c r="U1851" s="2" t="s">
        <v>56</v>
      </c>
      <c r="V1851" s="150" t="s">
        <v>92</v>
      </c>
      <c r="W1851" s="41">
        <v>102</v>
      </c>
      <c r="X1851" s="40" t="s">
        <v>2894</v>
      </c>
      <c r="Y1851" s="40" t="s">
        <v>2905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635</v>
      </c>
      <c r="C1852" s="133">
        <v>705</v>
      </c>
      <c r="D1852" s="38" t="s">
        <v>634</v>
      </c>
      <c r="E1852" s="4" t="s">
        <v>300</v>
      </c>
      <c r="F1852" s="4" t="s">
        <v>4998</v>
      </c>
      <c r="G1852" s="382" t="s">
        <v>5605</v>
      </c>
      <c r="H1852" s="457" t="s">
        <v>5608</v>
      </c>
      <c r="I1852" s="447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331</v>
      </c>
      <c r="Q1852" s="43">
        <v>44.5</v>
      </c>
      <c r="R1852" s="43">
        <v>329</v>
      </c>
      <c r="S1852" s="43">
        <v>52.2</v>
      </c>
      <c r="T1852" s="2" t="s">
        <v>56</v>
      </c>
      <c r="U1852" s="2" t="s">
        <v>56</v>
      </c>
      <c r="V1852" s="150" t="s">
        <v>92</v>
      </c>
      <c r="W1852" s="41">
        <v>106</v>
      </c>
      <c r="X1852" s="4"/>
      <c r="Y1852" s="392"/>
      <c r="Z1852" s="4"/>
      <c r="AA1852" s="4"/>
      <c r="AB1852" s="4"/>
      <c r="AC1852" s="40" t="s">
        <v>2905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677</v>
      </c>
      <c r="C1853" s="40">
        <v>702</v>
      </c>
      <c r="D1853" s="38" t="s">
        <v>676</v>
      </c>
      <c r="E1853" s="4" t="s">
        <v>300</v>
      </c>
      <c r="F1853" s="4" t="s">
        <v>4999</v>
      </c>
      <c r="G1853" s="382" t="s">
        <v>5605</v>
      </c>
      <c r="H1853" s="457" t="s">
        <v>5608</v>
      </c>
      <c r="I1853" s="447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331</v>
      </c>
      <c r="Q1853" s="43">
        <v>45.6</v>
      </c>
      <c r="R1853" s="43">
        <v>231</v>
      </c>
      <c r="S1853" s="43">
        <v>80.2</v>
      </c>
      <c r="T1853" s="2" t="s">
        <v>56</v>
      </c>
      <c r="U1853" s="2" t="s">
        <v>56</v>
      </c>
      <c r="V1853" s="150" t="s">
        <v>92</v>
      </c>
      <c r="W1853" s="39">
        <v>106</v>
      </c>
      <c r="X1853" s="4"/>
      <c r="Y1853" s="392"/>
      <c r="Z1853" s="4"/>
      <c r="AA1853" s="4"/>
      <c r="AB1853" s="4"/>
      <c r="AC1853" s="40" t="s">
        <v>2905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681</v>
      </c>
      <c r="C1854" s="40">
        <v>1113</v>
      </c>
      <c r="D1854" s="38" t="s">
        <v>680</v>
      </c>
      <c r="E1854" s="4" t="s">
        <v>300</v>
      </c>
      <c r="F1854" s="4" t="s">
        <v>5000</v>
      </c>
      <c r="G1854" s="382" t="s">
        <v>5605</v>
      </c>
      <c r="H1854" s="457" t="s">
        <v>5608</v>
      </c>
      <c r="I1854" s="447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56</v>
      </c>
      <c r="U1854" s="2" t="s">
        <v>56</v>
      </c>
      <c r="V1854" s="150" t="s">
        <v>92</v>
      </c>
      <c r="W1854" s="39">
        <v>107</v>
      </c>
      <c r="X1854" s="4"/>
      <c r="Y1854" s="4"/>
      <c r="Z1854" s="40" t="s">
        <v>2905</v>
      </c>
      <c r="AA1854" s="4"/>
      <c r="AB1854" s="4"/>
      <c r="AC1854" s="4"/>
      <c r="AD1854" s="40" t="s">
        <v>2905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761</v>
      </c>
      <c r="C1855" s="40">
        <v>738</v>
      </c>
      <c r="D1855" s="38" t="s">
        <v>759</v>
      </c>
      <c r="E1855" s="4" t="s">
        <v>300</v>
      </c>
      <c r="F1855" s="4" t="s">
        <v>5001</v>
      </c>
      <c r="G1855" s="382" t="s">
        <v>5605</v>
      </c>
      <c r="H1855" s="457" t="s">
        <v>5608</v>
      </c>
      <c r="I1855" s="447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56</v>
      </c>
      <c r="U1855" s="2" t="s">
        <v>56</v>
      </c>
      <c r="V1855" s="150" t="s">
        <v>92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936</v>
      </c>
      <c r="C1856" s="40">
        <v>1256</v>
      </c>
      <c r="D1856" s="38" t="s">
        <v>935</v>
      </c>
      <c r="E1856" s="4" t="s">
        <v>457</v>
      </c>
      <c r="F1856" s="4" t="s">
        <v>5002</v>
      </c>
      <c r="G1856" s="382" t="s">
        <v>5605</v>
      </c>
      <c r="H1856" s="457" t="s">
        <v>5608</v>
      </c>
      <c r="I1856" s="447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56</v>
      </c>
      <c r="U1856" s="2" t="s">
        <v>56</v>
      </c>
      <c r="V1856" s="150" t="s">
        <v>92</v>
      </c>
      <c r="W1856" s="39">
        <v>104</v>
      </c>
      <c r="X1856" s="392"/>
      <c r="Y1856" s="392"/>
      <c r="Z1856" s="4"/>
      <c r="AA1856" s="40" t="s">
        <v>2905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834</v>
      </c>
      <c r="C1857" s="40">
        <v>2158</v>
      </c>
      <c r="D1857" s="38" t="s">
        <v>833</v>
      </c>
      <c r="E1857" s="4" t="s">
        <v>300</v>
      </c>
      <c r="F1857" s="4" t="s">
        <v>5003</v>
      </c>
      <c r="G1857" s="382" t="s">
        <v>5605</v>
      </c>
      <c r="H1857" s="457" t="s">
        <v>5608</v>
      </c>
      <c r="I1857" s="447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331</v>
      </c>
      <c r="Q1857" s="396">
        <v>34</v>
      </c>
      <c r="R1857" s="396">
        <v>320</v>
      </c>
      <c r="S1857" s="396">
        <v>104</v>
      </c>
      <c r="T1857" s="2" t="s">
        <v>56</v>
      </c>
      <c r="U1857" s="2" t="s">
        <v>56</v>
      </c>
      <c r="V1857" s="150" t="s">
        <v>92</v>
      </c>
      <c r="W1857" s="39">
        <v>104</v>
      </c>
      <c r="X1857" s="392"/>
      <c r="Y1857" s="392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852</v>
      </c>
      <c r="C1858" s="40">
        <v>2155</v>
      </c>
      <c r="D1858" s="38" t="s">
        <v>846</v>
      </c>
      <c r="E1858" s="4" t="s">
        <v>300</v>
      </c>
      <c r="F1858" s="4" t="s">
        <v>5004</v>
      </c>
      <c r="G1858" s="382" t="s">
        <v>5605</v>
      </c>
      <c r="H1858" s="457" t="s">
        <v>5608</v>
      </c>
      <c r="I1858" s="447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56</v>
      </c>
      <c r="U1858" s="2" t="s">
        <v>56</v>
      </c>
      <c r="V1858" s="451" t="s">
        <v>575</v>
      </c>
      <c r="W1858" s="39">
        <v>104</v>
      </c>
      <c r="X1858" s="392"/>
      <c r="Y1858" s="392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853</v>
      </c>
      <c r="C1859" s="40">
        <v>2317</v>
      </c>
      <c r="D1859" s="38" t="s">
        <v>846</v>
      </c>
      <c r="E1859" s="4" t="s">
        <v>300</v>
      </c>
      <c r="F1859" s="4" t="s">
        <v>5005</v>
      </c>
      <c r="G1859" s="382" t="s">
        <v>5605</v>
      </c>
      <c r="H1859" s="457" t="s">
        <v>5608</v>
      </c>
      <c r="I1859" s="447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56</v>
      </c>
      <c r="U1859" s="2" t="s">
        <v>56</v>
      </c>
      <c r="V1859" s="451" t="s">
        <v>575</v>
      </c>
      <c r="W1859" s="39">
        <v>105</v>
      </c>
      <c r="X1859" s="4"/>
      <c r="Y1859" s="392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739</v>
      </c>
      <c r="C1860" s="40">
        <v>2303</v>
      </c>
      <c r="D1860" s="38" t="s">
        <v>736</v>
      </c>
      <c r="E1860" s="4" t="s">
        <v>300</v>
      </c>
      <c r="F1860" s="4" t="s">
        <v>5006</v>
      </c>
      <c r="G1860" s="382" t="s">
        <v>5605</v>
      </c>
      <c r="H1860" s="457" t="s">
        <v>5608</v>
      </c>
      <c r="I1860" s="447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56</v>
      </c>
      <c r="U1860" s="2" t="s">
        <v>56</v>
      </c>
      <c r="V1860" s="150" t="s">
        <v>92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947</v>
      </c>
      <c r="C1861" s="40">
        <v>1255</v>
      </c>
      <c r="D1861" s="38" t="s">
        <v>938</v>
      </c>
      <c r="E1861" s="4" t="s">
        <v>457</v>
      </c>
      <c r="F1861" s="4" t="s">
        <v>5007</v>
      </c>
      <c r="G1861" s="382" t="s">
        <v>5605</v>
      </c>
      <c r="H1861" s="457" t="s">
        <v>5608</v>
      </c>
      <c r="I1861" s="447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56</v>
      </c>
      <c r="U1861" s="2" t="s">
        <v>56</v>
      </c>
      <c r="V1861" s="150" t="s">
        <v>92</v>
      </c>
      <c r="W1861" s="39">
        <v>104</v>
      </c>
      <c r="X1861" s="392"/>
      <c r="Y1861" s="392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964</v>
      </c>
      <c r="C1862" s="40">
        <v>1300</v>
      </c>
      <c r="D1862" s="38" t="s">
        <v>963</v>
      </c>
      <c r="E1862" s="4" t="s">
        <v>457</v>
      </c>
      <c r="F1862" s="4" t="s">
        <v>5008</v>
      </c>
      <c r="G1862" s="382" t="s">
        <v>5605</v>
      </c>
      <c r="H1862" s="457" t="s">
        <v>5608</v>
      </c>
      <c r="I1862" s="447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56</v>
      </c>
      <c r="U1862" s="2" t="s">
        <v>56</v>
      </c>
      <c r="V1862" s="150" t="s">
        <v>92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977</v>
      </c>
      <c r="C1863" s="40">
        <v>1273</v>
      </c>
      <c r="D1863" s="38" t="s">
        <v>3115</v>
      </c>
      <c r="E1863" s="4" t="s">
        <v>457</v>
      </c>
      <c r="F1863" s="4" t="s">
        <v>5009</v>
      </c>
      <c r="G1863" s="382" t="s">
        <v>5605</v>
      </c>
      <c r="H1863" s="457" t="s">
        <v>5608</v>
      </c>
      <c r="I1863" s="447"/>
      <c r="J1863" s="43">
        <v>196964</v>
      </c>
      <c r="K1863" s="43">
        <v>2663792</v>
      </c>
      <c r="L1863" s="396" t="s">
        <v>975</v>
      </c>
      <c r="M1863" s="396">
        <v>5.25</v>
      </c>
      <c r="N1863" s="396">
        <v>175</v>
      </c>
      <c r="O1863" s="396">
        <v>25.8</v>
      </c>
      <c r="P1863" s="396" t="s">
        <v>192</v>
      </c>
      <c r="Q1863" s="396">
        <v>36.700000000000003</v>
      </c>
      <c r="R1863" s="396">
        <v>317</v>
      </c>
      <c r="S1863" s="396">
        <v>25.9</v>
      </c>
      <c r="T1863" s="2" t="s">
        <v>56</v>
      </c>
      <c r="U1863" s="2" t="s">
        <v>56</v>
      </c>
      <c r="V1863" s="150" t="s">
        <v>92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980</v>
      </c>
      <c r="C1864" s="40">
        <v>1268</v>
      </c>
      <c r="D1864" s="38" t="s">
        <v>979</v>
      </c>
      <c r="E1864" s="4" t="s">
        <v>457</v>
      </c>
      <c r="F1864" s="4" t="s">
        <v>5010</v>
      </c>
      <c r="G1864" s="382" t="s">
        <v>5605</v>
      </c>
      <c r="H1864" s="457" t="s">
        <v>5608</v>
      </c>
      <c r="I1864" s="447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56</v>
      </c>
      <c r="U1864" s="2" t="s">
        <v>56</v>
      </c>
      <c r="V1864" s="150" t="s">
        <v>92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991</v>
      </c>
      <c r="C1865" s="40">
        <v>2141</v>
      </c>
      <c r="D1865" s="38" t="s">
        <v>987</v>
      </c>
      <c r="E1865" s="4" t="s">
        <v>300</v>
      </c>
      <c r="F1865" s="4" t="s">
        <v>5011</v>
      </c>
      <c r="G1865" s="382" t="s">
        <v>5605</v>
      </c>
      <c r="H1865" s="457" t="s">
        <v>5608</v>
      </c>
      <c r="I1865" s="447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56</v>
      </c>
      <c r="U1865" s="2" t="s">
        <v>56</v>
      </c>
      <c r="V1865" s="150" t="s">
        <v>92</v>
      </c>
      <c r="W1865" s="39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1004</v>
      </c>
      <c r="C1866" s="40">
        <v>2352</v>
      </c>
      <c r="D1866" s="38" t="s">
        <v>1000</v>
      </c>
      <c r="E1866" s="4" t="s">
        <v>300</v>
      </c>
      <c r="F1866" s="4" t="s">
        <v>5012</v>
      </c>
      <c r="G1866" s="382" t="s">
        <v>5605</v>
      </c>
      <c r="H1866" s="457" t="s">
        <v>5608</v>
      </c>
      <c r="I1866" s="447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209</v>
      </c>
      <c r="Q1866" s="396">
        <v>32.1</v>
      </c>
      <c r="R1866" s="396">
        <v>281</v>
      </c>
      <c r="S1866" s="396">
        <v>122</v>
      </c>
      <c r="T1866" s="2" t="s">
        <v>56</v>
      </c>
      <c r="U1866" s="2" t="s">
        <v>56</v>
      </c>
      <c r="V1866" s="150" t="s">
        <v>92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1030</v>
      </c>
      <c r="C1867" s="40">
        <v>698</v>
      </c>
      <c r="D1867" s="38" t="s">
        <v>1029</v>
      </c>
      <c r="E1867" s="4" t="s">
        <v>300</v>
      </c>
      <c r="F1867" s="4" t="s">
        <v>5013</v>
      </c>
      <c r="G1867" s="382" t="s">
        <v>5605</v>
      </c>
      <c r="H1867" s="457" t="s">
        <v>5608</v>
      </c>
      <c r="I1867" s="447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56</v>
      </c>
      <c r="U1867" s="2" t="s">
        <v>56</v>
      </c>
      <c r="V1867" s="150" t="s">
        <v>92</v>
      </c>
      <c r="W1867" s="39">
        <v>104</v>
      </c>
      <c r="X1867" s="4"/>
      <c r="Y1867" s="392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1090</v>
      </c>
      <c r="C1868" s="40">
        <v>1216</v>
      </c>
      <c r="D1868" s="38" t="s">
        <v>1087</v>
      </c>
      <c r="E1868" s="4" t="s">
        <v>457</v>
      </c>
      <c r="F1868" s="4" t="s">
        <v>5014</v>
      </c>
      <c r="G1868" s="382" t="s">
        <v>5605</v>
      </c>
      <c r="H1868" s="457" t="s">
        <v>5608</v>
      </c>
      <c r="I1868" s="447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56</v>
      </c>
      <c r="U1868" s="2" t="s">
        <v>56</v>
      </c>
      <c r="V1868" s="150" t="s">
        <v>92</v>
      </c>
      <c r="W1868" s="39">
        <v>103</v>
      </c>
      <c r="X1868" s="4"/>
      <c r="Y1868" s="392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1093</v>
      </c>
      <c r="C1869" s="40">
        <v>1218</v>
      </c>
      <c r="D1869" s="38" t="s">
        <v>1092</v>
      </c>
      <c r="E1869" s="4" t="s">
        <v>457</v>
      </c>
      <c r="F1869" s="4" t="s">
        <v>5015</v>
      </c>
      <c r="G1869" s="382" t="s">
        <v>5605</v>
      </c>
      <c r="H1869" s="457" t="s">
        <v>5608</v>
      </c>
      <c r="I1869" s="447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56</v>
      </c>
      <c r="U1869" s="2" t="s">
        <v>56</v>
      </c>
      <c r="V1869" s="150" t="s">
        <v>92</v>
      </c>
      <c r="W1869" s="39">
        <v>101</v>
      </c>
      <c r="X1869" s="4" t="s">
        <v>56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1096</v>
      </c>
      <c r="C1870" s="40">
        <v>1272</v>
      </c>
      <c r="D1870" s="38" t="s">
        <v>1095</v>
      </c>
      <c r="E1870" s="4" t="s">
        <v>457</v>
      </c>
      <c r="F1870" s="4" t="s">
        <v>5016</v>
      </c>
      <c r="G1870" s="382" t="s">
        <v>5605</v>
      </c>
      <c r="H1870" s="457" t="s">
        <v>5608</v>
      </c>
      <c r="I1870" s="447"/>
      <c r="J1870" s="43">
        <v>196965</v>
      </c>
      <c r="K1870" s="43">
        <v>2663807</v>
      </c>
      <c r="L1870" s="396" t="s">
        <v>1097</v>
      </c>
      <c r="M1870" s="396">
        <v>4.41</v>
      </c>
      <c r="N1870" s="396">
        <v>163</v>
      </c>
      <c r="O1870" s="396">
        <v>24.8</v>
      </c>
      <c r="P1870" s="396" t="s">
        <v>209</v>
      </c>
      <c r="Q1870" s="396">
        <v>33.299999999999997</v>
      </c>
      <c r="R1870" s="396">
        <v>282</v>
      </c>
      <c r="S1870" s="396">
        <v>27.2</v>
      </c>
      <c r="T1870" s="2" t="s">
        <v>56</v>
      </c>
      <c r="U1870" s="2" t="s">
        <v>56</v>
      </c>
      <c r="V1870" s="150" t="s">
        <v>92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1107</v>
      </c>
      <c r="C1871" s="40">
        <v>1237</v>
      </c>
      <c r="D1871" s="38" t="s">
        <v>1106</v>
      </c>
      <c r="E1871" s="4" t="s">
        <v>457</v>
      </c>
      <c r="F1871" s="4" t="s">
        <v>5017</v>
      </c>
      <c r="G1871" s="382" t="s">
        <v>5605</v>
      </c>
      <c r="H1871" s="457" t="s">
        <v>5608</v>
      </c>
      <c r="I1871" s="447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56</v>
      </c>
      <c r="U1871" s="2" t="s">
        <v>56</v>
      </c>
      <c r="V1871" s="150" t="s">
        <v>92</v>
      </c>
      <c r="W1871" s="39">
        <v>104</v>
      </c>
      <c r="X1871" s="4"/>
      <c r="Y1871" s="392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1153</v>
      </c>
      <c r="C1872" s="40">
        <v>614</v>
      </c>
      <c r="D1872" s="38" t="s">
        <v>1143</v>
      </c>
      <c r="E1872" s="4" t="s">
        <v>1010</v>
      </c>
      <c r="F1872" s="4" t="s">
        <v>5018</v>
      </c>
      <c r="G1872" s="382" t="s">
        <v>5605</v>
      </c>
      <c r="H1872" s="457" t="s">
        <v>5608</v>
      </c>
      <c r="I1872" s="447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209</v>
      </c>
      <c r="Q1872" s="396">
        <v>33.4</v>
      </c>
      <c r="R1872" s="396">
        <v>516</v>
      </c>
      <c r="S1872" s="396">
        <v>183</v>
      </c>
      <c r="T1872" s="2" t="s">
        <v>56</v>
      </c>
      <c r="U1872" s="2" t="s">
        <v>56</v>
      </c>
      <c r="V1872" s="150" t="s">
        <v>92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1154</v>
      </c>
      <c r="C1873" s="40">
        <v>617</v>
      </c>
      <c r="D1873" s="38" t="s">
        <v>1143</v>
      </c>
      <c r="E1873" s="4" t="s">
        <v>1010</v>
      </c>
      <c r="F1873" s="4" t="s">
        <v>5019</v>
      </c>
      <c r="G1873" s="382" t="s">
        <v>5605</v>
      </c>
      <c r="H1873" s="457" t="s">
        <v>5608</v>
      </c>
      <c r="I1873" s="447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59</v>
      </c>
      <c r="Q1873" s="396">
        <v>33.4</v>
      </c>
      <c r="R1873" s="396">
        <v>574</v>
      </c>
      <c r="S1873" s="396">
        <v>143</v>
      </c>
      <c r="T1873" s="2" t="s">
        <v>56</v>
      </c>
      <c r="U1873" s="2" t="s">
        <v>56</v>
      </c>
      <c r="V1873" s="150" t="s">
        <v>92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1165</v>
      </c>
      <c r="C1874" s="40">
        <v>266</v>
      </c>
      <c r="D1874" s="38" t="s">
        <v>1158</v>
      </c>
      <c r="E1874" s="4" t="s">
        <v>1010</v>
      </c>
      <c r="F1874" s="4" t="s">
        <v>5020</v>
      </c>
      <c r="G1874" s="382" t="s">
        <v>5605</v>
      </c>
      <c r="H1874" s="457" t="s">
        <v>5608</v>
      </c>
      <c r="I1874" s="447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910</v>
      </c>
      <c r="S1874" s="396" t="s">
        <v>910</v>
      </c>
      <c r="T1874" s="2" t="s">
        <v>56</v>
      </c>
      <c r="U1874" s="2" t="s">
        <v>56</v>
      </c>
      <c r="V1874" s="150" t="s">
        <v>92</v>
      </c>
      <c r="W1874" s="39">
        <v>104</v>
      </c>
      <c r="X1874" s="4"/>
      <c r="Y1874" s="392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1166</v>
      </c>
      <c r="C1875" s="40">
        <v>362</v>
      </c>
      <c r="D1875" s="38" t="s">
        <v>1158</v>
      </c>
      <c r="E1875" s="392" t="s">
        <v>1010</v>
      </c>
      <c r="F1875" s="392" t="s">
        <v>5021</v>
      </c>
      <c r="G1875" s="382" t="s">
        <v>5605</v>
      </c>
      <c r="H1875" s="457" t="s">
        <v>5608</v>
      </c>
      <c r="I1875" s="447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56</v>
      </c>
      <c r="U1875" s="2" t="s">
        <v>56</v>
      </c>
      <c r="V1875" s="150" t="s">
        <v>92</v>
      </c>
      <c r="W1875" s="39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1167</v>
      </c>
      <c r="C1876" s="40">
        <v>365</v>
      </c>
      <c r="D1876" s="38" t="s">
        <v>1158</v>
      </c>
      <c r="E1876" s="4" t="s">
        <v>1010</v>
      </c>
      <c r="F1876" s="4" t="s">
        <v>5022</v>
      </c>
      <c r="G1876" s="382" t="s">
        <v>5605</v>
      </c>
      <c r="H1876" s="457" t="s">
        <v>5608</v>
      </c>
      <c r="I1876" s="447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56</v>
      </c>
      <c r="U1876" s="2" t="s">
        <v>56</v>
      </c>
      <c r="V1876" s="150" t="s">
        <v>92</v>
      </c>
      <c r="W1876" s="39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1173</v>
      </c>
      <c r="C1877" s="40">
        <v>2343</v>
      </c>
      <c r="D1877" s="38" t="s">
        <v>1172</v>
      </c>
      <c r="E1877" s="4" t="s">
        <v>300</v>
      </c>
      <c r="F1877" s="4" t="s">
        <v>5023</v>
      </c>
      <c r="G1877" s="382" t="s">
        <v>5605</v>
      </c>
      <c r="H1877" s="457" t="s">
        <v>5608</v>
      </c>
      <c r="I1877" s="447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56</v>
      </c>
      <c r="U1877" s="2" t="s">
        <v>56</v>
      </c>
      <c r="V1877" s="150" t="s">
        <v>92</v>
      </c>
      <c r="W1877" s="39">
        <v>103</v>
      </c>
      <c r="X1877" s="4"/>
      <c r="Y1877" s="392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1177</v>
      </c>
      <c r="C1878" s="40">
        <v>361</v>
      </c>
      <c r="D1878" s="38" t="s">
        <v>1168</v>
      </c>
      <c r="E1878" s="392" t="s">
        <v>1010</v>
      </c>
      <c r="F1878" s="392" t="s">
        <v>5024</v>
      </c>
      <c r="G1878" s="382" t="s">
        <v>5605</v>
      </c>
      <c r="H1878" s="457" t="s">
        <v>5608</v>
      </c>
      <c r="I1878" s="447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56</v>
      </c>
      <c r="U1878" s="2" t="s">
        <v>56</v>
      </c>
      <c r="V1878" s="150" t="s">
        <v>92</v>
      </c>
      <c r="W1878" s="39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1178</v>
      </c>
      <c r="C1879" s="40">
        <v>364</v>
      </c>
      <c r="D1879" s="38" t="s">
        <v>1168</v>
      </c>
      <c r="E1879" s="4" t="s">
        <v>1010</v>
      </c>
      <c r="F1879" s="4" t="s">
        <v>5025</v>
      </c>
      <c r="G1879" s="382" t="s">
        <v>5605</v>
      </c>
      <c r="H1879" s="457" t="s">
        <v>5608</v>
      </c>
      <c r="I1879" s="447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56</v>
      </c>
      <c r="U1879" s="2" t="s">
        <v>56</v>
      </c>
      <c r="V1879" s="150" t="s">
        <v>92</v>
      </c>
      <c r="W1879" s="39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1184</v>
      </c>
      <c r="C1880" s="40">
        <v>283</v>
      </c>
      <c r="D1880" s="38" t="s">
        <v>1181</v>
      </c>
      <c r="E1880" s="4" t="s">
        <v>1010</v>
      </c>
      <c r="F1880" s="4" t="s">
        <v>5026</v>
      </c>
      <c r="G1880" s="382" t="s">
        <v>5605</v>
      </c>
      <c r="H1880" s="457" t="s">
        <v>5608</v>
      </c>
      <c r="I1880" s="447"/>
      <c r="J1880" s="43">
        <v>199627</v>
      </c>
      <c r="K1880" s="43">
        <v>2663921</v>
      </c>
      <c r="L1880" s="396" t="s">
        <v>1185</v>
      </c>
      <c r="M1880" s="397">
        <v>5.34</v>
      </c>
      <c r="N1880" s="396">
        <v>77.400000000000006</v>
      </c>
      <c r="O1880" s="396">
        <v>88.5</v>
      </c>
      <c r="P1880" s="396" t="s">
        <v>1186</v>
      </c>
      <c r="Q1880" s="396">
        <v>24.9</v>
      </c>
      <c r="R1880" s="396">
        <v>510</v>
      </c>
      <c r="S1880" s="396">
        <v>74.5</v>
      </c>
      <c r="T1880" s="2" t="s">
        <v>56</v>
      </c>
      <c r="U1880" s="2" t="s">
        <v>56</v>
      </c>
      <c r="V1880" s="150" t="s">
        <v>92</v>
      </c>
      <c r="W1880" s="39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1206</v>
      </c>
      <c r="C1881" s="40">
        <v>2113</v>
      </c>
      <c r="D1881" s="38" t="s">
        <v>1192</v>
      </c>
      <c r="E1881" s="4" t="s">
        <v>1010</v>
      </c>
      <c r="F1881" s="4" t="s">
        <v>5027</v>
      </c>
      <c r="G1881" s="382" t="s">
        <v>5605</v>
      </c>
      <c r="H1881" s="457" t="s">
        <v>5608</v>
      </c>
      <c r="I1881" s="447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192</v>
      </c>
      <c r="Q1881" s="396">
        <v>31.5</v>
      </c>
      <c r="R1881" s="396">
        <v>447</v>
      </c>
      <c r="S1881" s="396">
        <v>99.7</v>
      </c>
      <c r="T1881" s="2" t="s">
        <v>56</v>
      </c>
      <c r="U1881" s="2" t="s">
        <v>56</v>
      </c>
      <c r="V1881" s="150" t="s">
        <v>92</v>
      </c>
      <c r="W1881" s="39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1210</v>
      </c>
      <c r="C1882" s="40">
        <v>2114</v>
      </c>
      <c r="D1882" s="38" t="s">
        <v>1209</v>
      </c>
      <c r="E1882" s="4" t="s">
        <v>1010</v>
      </c>
      <c r="F1882" s="4" t="s">
        <v>5028</v>
      </c>
      <c r="G1882" s="382" t="s">
        <v>5605</v>
      </c>
      <c r="H1882" s="457" t="s">
        <v>5608</v>
      </c>
      <c r="I1882" s="447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56</v>
      </c>
      <c r="U1882" s="2" t="s">
        <v>56</v>
      </c>
      <c r="V1882" s="150" t="s">
        <v>92</v>
      </c>
      <c r="W1882" s="39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1211</v>
      </c>
      <c r="C1883" s="40">
        <v>2309</v>
      </c>
      <c r="D1883" s="38" t="s">
        <v>1209</v>
      </c>
      <c r="E1883" s="4" t="s">
        <v>300</v>
      </c>
      <c r="F1883" s="4" t="s">
        <v>4143</v>
      </c>
      <c r="G1883" s="382" t="s">
        <v>5605</v>
      </c>
      <c r="H1883" s="457" t="s">
        <v>5608</v>
      </c>
      <c r="I1883" s="447"/>
      <c r="J1883" s="43">
        <v>200273</v>
      </c>
      <c r="K1883" s="43">
        <v>2663938</v>
      </c>
      <c r="L1883" s="396" t="s">
        <v>1185</v>
      </c>
      <c r="M1883" s="397">
        <v>6.3</v>
      </c>
      <c r="N1883" s="396">
        <v>53.8</v>
      </c>
      <c r="O1883" s="396">
        <v>43.4</v>
      </c>
      <c r="P1883" s="396" t="s">
        <v>1186</v>
      </c>
      <c r="Q1883" s="396">
        <v>27</v>
      </c>
      <c r="R1883" s="396">
        <v>226</v>
      </c>
      <c r="S1883" s="396">
        <v>47.7</v>
      </c>
      <c r="T1883" s="2" t="s">
        <v>56</v>
      </c>
      <c r="U1883" s="2" t="s">
        <v>56</v>
      </c>
      <c r="V1883" s="150" t="s">
        <v>92</v>
      </c>
      <c r="W1883" s="39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1216</v>
      </c>
      <c r="C1884" s="40">
        <v>2358</v>
      </c>
      <c r="D1884" s="40" t="s">
        <v>1215</v>
      </c>
      <c r="E1884" s="4" t="s">
        <v>300</v>
      </c>
      <c r="F1884" s="4" t="s">
        <v>5029</v>
      </c>
      <c r="G1884" s="382" t="s">
        <v>5605</v>
      </c>
      <c r="H1884" s="457" t="s">
        <v>5608</v>
      </c>
      <c r="I1884" s="447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56</v>
      </c>
      <c r="U1884" s="2" t="s">
        <v>56</v>
      </c>
      <c r="V1884" s="150" t="s">
        <v>92</v>
      </c>
      <c r="W1884" s="39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1217</v>
      </c>
      <c r="C1885" s="40">
        <v>2359</v>
      </c>
      <c r="D1885" s="40" t="s">
        <v>1215</v>
      </c>
      <c r="E1885" s="4" t="s">
        <v>300</v>
      </c>
      <c r="F1885" s="4" t="s">
        <v>5030</v>
      </c>
      <c r="G1885" s="382" t="s">
        <v>5605</v>
      </c>
      <c r="H1885" s="457" t="s">
        <v>5608</v>
      </c>
      <c r="I1885" s="447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56</v>
      </c>
      <c r="U1885" s="2" t="s">
        <v>56</v>
      </c>
      <c r="V1885" s="150" t="s">
        <v>92</v>
      </c>
      <c r="W1885" s="39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1219</v>
      </c>
      <c r="C1886" s="40">
        <v>2112</v>
      </c>
      <c r="D1886" s="38" t="s">
        <v>1209</v>
      </c>
      <c r="E1886" s="4" t="s">
        <v>1010</v>
      </c>
      <c r="F1886" s="4" t="s">
        <v>5031</v>
      </c>
      <c r="G1886" s="382" t="s">
        <v>5605</v>
      </c>
      <c r="H1886" s="457" t="s">
        <v>5608</v>
      </c>
      <c r="I1886" s="447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52</v>
      </c>
      <c r="Q1886" s="396">
        <v>31.1</v>
      </c>
      <c r="R1886" s="396">
        <v>437</v>
      </c>
      <c r="S1886" s="396">
        <v>68.3</v>
      </c>
      <c r="T1886" s="2" t="s">
        <v>56</v>
      </c>
      <c r="U1886" s="2" t="s">
        <v>56</v>
      </c>
      <c r="V1886" s="150" t="s">
        <v>92</v>
      </c>
      <c r="W1886" s="39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1220</v>
      </c>
      <c r="C1887" s="40">
        <v>2298</v>
      </c>
      <c r="D1887" s="38" t="s">
        <v>1209</v>
      </c>
      <c r="E1887" s="4" t="s">
        <v>300</v>
      </c>
      <c r="F1887" s="4" t="s">
        <v>5032</v>
      </c>
      <c r="G1887" s="382" t="s">
        <v>5605</v>
      </c>
      <c r="H1887" s="457" t="s">
        <v>5608</v>
      </c>
      <c r="I1887" s="447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56</v>
      </c>
      <c r="U1887" s="2" t="s">
        <v>56</v>
      </c>
      <c r="V1887" s="150" t="s">
        <v>92</v>
      </c>
      <c r="W1887" s="39">
        <v>103</v>
      </c>
      <c r="X1887" s="4"/>
      <c r="Y1887" s="392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1221</v>
      </c>
      <c r="C1888" s="40">
        <v>2355</v>
      </c>
      <c r="D1888" s="38" t="s">
        <v>1209</v>
      </c>
      <c r="E1888" s="4" t="s">
        <v>300</v>
      </c>
      <c r="F1888" s="4" t="s">
        <v>5033</v>
      </c>
      <c r="G1888" s="382" t="s">
        <v>5605</v>
      </c>
      <c r="H1888" s="457" t="s">
        <v>5608</v>
      </c>
      <c r="I1888" s="447"/>
      <c r="J1888" s="43">
        <v>200273</v>
      </c>
      <c r="K1888" s="43">
        <v>2663968</v>
      </c>
      <c r="L1888" s="396" t="s">
        <v>1185</v>
      </c>
      <c r="M1888" s="397">
        <v>11.2</v>
      </c>
      <c r="N1888" s="396">
        <v>43.4</v>
      </c>
      <c r="O1888" s="396">
        <v>68.3</v>
      </c>
      <c r="P1888" s="396" t="s">
        <v>1186</v>
      </c>
      <c r="Q1888" s="396">
        <v>28.5</v>
      </c>
      <c r="R1888" s="396">
        <v>195</v>
      </c>
      <c r="S1888" s="396">
        <v>61.1</v>
      </c>
      <c r="T1888" s="2" t="s">
        <v>56</v>
      </c>
      <c r="U1888" s="2" t="s">
        <v>56</v>
      </c>
      <c r="V1888" s="150" t="s">
        <v>92</v>
      </c>
      <c r="W1888" s="39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1228</v>
      </c>
      <c r="C1889" s="40">
        <v>699</v>
      </c>
      <c r="D1889" s="38" t="s">
        <v>1222</v>
      </c>
      <c r="E1889" s="4" t="s">
        <v>300</v>
      </c>
      <c r="F1889" s="4" t="s">
        <v>5034</v>
      </c>
      <c r="G1889" s="382" t="s">
        <v>5605</v>
      </c>
      <c r="H1889" s="457" t="s">
        <v>5608</v>
      </c>
      <c r="I1889" s="447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56</v>
      </c>
      <c r="U1889" s="2" t="s">
        <v>56</v>
      </c>
      <c r="V1889" s="150" t="s">
        <v>92</v>
      </c>
      <c r="W1889" s="39">
        <v>104</v>
      </c>
      <c r="X1889" s="4"/>
      <c r="Y1889" s="392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1231</v>
      </c>
      <c r="C1890" s="40">
        <v>2306</v>
      </c>
      <c r="D1890" s="38" t="s">
        <v>1222</v>
      </c>
      <c r="E1890" s="4" t="s">
        <v>300</v>
      </c>
      <c r="F1890" s="4" t="s">
        <v>5035</v>
      </c>
      <c r="G1890" s="382" t="s">
        <v>5605</v>
      </c>
      <c r="H1890" s="457" t="s">
        <v>5608</v>
      </c>
      <c r="I1890" s="447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56</v>
      </c>
      <c r="U1890" s="2" t="s">
        <v>56</v>
      </c>
      <c r="V1890" s="150" t="s">
        <v>92</v>
      </c>
      <c r="W1890" s="39">
        <v>105</v>
      </c>
      <c r="X1890" s="4"/>
      <c r="Y1890" s="392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1242</v>
      </c>
      <c r="C1891" s="40">
        <v>1020</v>
      </c>
      <c r="D1891" s="38" t="s">
        <v>1237</v>
      </c>
      <c r="E1891" s="4" t="s">
        <v>300</v>
      </c>
      <c r="F1891" s="4" t="s">
        <v>5036</v>
      </c>
      <c r="G1891" s="382" t="s">
        <v>5605</v>
      </c>
      <c r="H1891" s="457" t="s">
        <v>5608</v>
      </c>
      <c r="I1891" s="447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56</v>
      </c>
      <c r="U1891" s="2" t="s">
        <v>56</v>
      </c>
      <c r="V1891" s="150" t="s">
        <v>92</v>
      </c>
      <c r="W1891" s="39">
        <v>103</v>
      </c>
      <c r="X1891" s="4"/>
      <c r="Y1891" s="392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1251</v>
      </c>
      <c r="C1892" s="40">
        <v>1027</v>
      </c>
      <c r="D1892" s="38" t="s">
        <v>1249</v>
      </c>
      <c r="E1892" s="4" t="s">
        <v>300</v>
      </c>
      <c r="F1892" s="4" t="s">
        <v>5037</v>
      </c>
      <c r="G1892" s="382" t="s">
        <v>5605</v>
      </c>
      <c r="H1892" s="457" t="s">
        <v>5608</v>
      </c>
      <c r="I1892" s="447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56</v>
      </c>
      <c r="U1892" s="2" t="s">
        <v>56</v>
      </c>
      <c r="V1892" s="150" t="s">
        <v>92</v>
      </c>
      <c r="W1892" s="39">
        <v>104</v>
      </c>
      <c r="X1892" s="4"/>
      <c r="Y1892" s="392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1254</v>
      </c>
      <c r="C1893" s="40">
        <v>1040</v>
      </c>
      <c r="D1893" s="38" t="s">
        <v>1249</v>
      </c>
      <c r="E1893" s="4" t="s">
        <v>300</v>
      </c>
      <c r="F1893" s="4" t="s">
        <v>5038</v>
      </c>
      <c r="G1893" s="382" t="s">
        <v>5605</v>
      </c>
      <c r="H1893" s="457" t="s">
        <v>5608</v>
      </c>
      <c r="I1893" s="447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824</v>
      </c>
      <c r="Q1893" s="396">
        <v>17.600000000000001</v>
      </c>
      <c r="R1893" s="396">
        <v>108</v>
      </c>
      <c r="S1893" s="396">
        <v>51.7</v>
      </c>
      <c r="T1893" s="2" t="s">
        <v>56</v>
      </c>
      <c r="U1893" s="2" t="s">
        <v>56</v>
      </c>
      <c r="V1893" s="150" t="s">
        <v>92</v>
      </c>
      <c r="W1893" s="39">
        <v>106</v>
      </c>
      <c r="X1893" s="392"/>
      <c r="Y1893" s="392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1257</v>
      </c>
      <c r="C1894" s="40">
        <v>1045</v>
      </c>
      <c r="D1894" s="38" t="s">
        <v>1255</v>
      </c>
      <c r="E1894" s="4" t="s">
        <v>300</v>
      </c>
      <c r="F1894" s="4" t="s">
        <v>5039</v>
      </c>
      <c r="G1894" s="382" t="s">
        <v>5605</v>
      </c>
      <c r="H1894" s="457" t="s">
        <v>5608</v>
      </c>
      <c r="I1894" s="447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56</v>
      </c>
      <c r="U1894" s="2" t="s">
        <v>56</v>
      </c>
      <c r="V1894" s="150" t="s">
        <v>92</v>
      </c>
      <c r="W1894" s="39">
        <v>103</v>
      </c>
      <c r="X1894" s="4"/>
      <c r="Y1894" s="392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1258</v>
      </c>
      <c r="C1895" s="40">
        <v>1018</v>
      </c>
      <c r="D1895" s="38" t="s">
        <v>1255</v>
      </c>
      <c r="E1895" s="4" t="s">
        <v>300</v>
      </c>
      <c r="F1895" s="4" t="s">
        <v>5040</v>
      </c>
      <c r="G1895" s="382" t="s">
        <v>5605</v>
      </c>
      <c r="H1895" s="457" t="s">
        <v>5608</v>
      </c>
      <c r="I1895" s="447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56</v>
      </c>
      <c r="U1895" s="2" t="s">
        <v>56</v>
      </c>
      <c r="V1895" s="150" t="s">
        <v>92</v>
      </c>
      <c r="W1895" s="39">
        <v>105</v>
      </c>
      <c r="X1895" s="4"/>
      <c r="Y1895" s="392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1260</v>
      </c>
      <c r="C1896" s="40">
        <v>1022</v>
      </c>
      <c r="D1896" s="38" t="s">
        <v>1255</v>
      </c>
      <c r="E1896" s="4" t="s">
        <v>300</v>
      </c>
      <c r="F1896" s="4" t="s">
        <v>5041</v>
      </c>
      <c r="G1896" s="382" t="s">
        <v>5605</v>
      </c>
      <c r="H1896" s="457" t="s">
        <v>5608</v>
      </c>
      <c r="I1896" s="447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56</v>
      </c>
      <c r="U1896" s="2" t="s">
        <v>56</v>
      </c>
      <c r="V1896" s="150" t="s">
        <v>92</v>
      </c>
      <c r="W1896" s="39">
        <v>105</v>
      </c>
      <c r="X1896" s="4"/>
      <c r="Y1896" s="392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1264</v>
      </c>
      <c r="C1897" s="40">
        <v>1026</v>
      </c>
      <c r="D1897" s="38" t="s">
        <v>1255</v>
      </c>
      <c r="E1897" s="4" t="s">
        <v>300</v>
      </c>
      <c r="F1897" s="4" t="s">
        <v>5042</v>
      </c>
      <c r="G1897" s="382" t="s">
        <v>5605</v>
      </c>
      <c r="H1897" s="457" t="s">
        <v>5608</v>
      </c>
      <c r="I1897" s="447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56</v>
      </c>
      <c r="U1897" s="2" t="s">
        <v>56</v>
      </c>
      <c r="V1897" s="150" t="s">
        <v>92</v>
      </c>
      <c r="W1897" s="39">
        <v>104</v>
      </c>
      <c r="X1897" s="4"/>
      <c r="Y1897" s="392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1314</v>
      </c>
      <c r="C1898" s="40">
        <v>1232</v>
      </c>
      <c r="D1898" s="38" t="s">
        <v>1310</v>
      </c>
      <c r="E1898" s="4" t="s">
        <v>457</v>
      </c>
      <c r="F1898" s="4" t="s">
        <v>5043</v>
      </c>
      <c r="G1898" s="382" t="s">
        <v>5605</v>
      </c>
      <c r="H1898" s="457" t="s">
        <v>5608</v>
      </c>
      <c r="I1898" s="447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56</v>
      </c>
      <c r="U1898" s="2" t="s">
        <v>56</v>
      </c>
      <c r="V1898" s="150" t="s">
        <v>92</v>
      </c>
      <c r="W1898" s="39">
        <v>101</v>
      </c>
      <c r="X1898" s="4" t="s">
        <v>56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1315</v>
      </c>
      <c r="C1899" s="40">
        <v>1233</v>
      </c>
      <c r="D1899" s="38" t="s">
        <v>1310</v>
      </c>
      <c r="E1899" s="4" t="s">
        <v>457</v>
      </c>
      <c r="F1899" s="4" t="s">
        <v>5044</v>
      </c>
      <c r="G1899" s="382" t="s">
        <v>5605</v>
      </c>
      <c r="H1899" s="457" t="s">
        <v>5608</v>
      </c>
      <c r="I1899" s="447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56</v>
      </c>
      <c r="U1899" s="2" t="s">
        <v>56</v>
      </c>
      <c r="V1899" s="150" t="s">
        <v>92</v>
      </c>
      <c r="W1899" s="39">
        <v>101</v>
      </c>
      <c r="X1899" s="4" t="s">
        <v>56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1317</v>
      </c>
      <c r="C1900" s="40">
        <v>1235</v>
      </c>
      <c r="D1900" s="38" t="s">
        <v>1310</v>
      </c>
      <c r="E1900" s="4" t="s">
        <v>457</v>
      </c>
      <c r="F1900" s="4" t="s">
        <v>5045</v>
      </c>
      <c r="G1900" s="382" t="s">
        <v>5605</v>
      </c>
      <c r="H1900" s="457" t="s">
        <v>5608</v>
      </c>
      <c r="I1900" s="447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56</v>
      </c>
      <c r="U1900" s="2" t="s">
        <v>56</v>
      </c>
      <c r="V1900" s="150" t="s">
        <v>92</v>
      </c>
      <c r="W1900" s="39">
        <v>104</v>
      </c>
      <c r="X1900" s="4"/>
      <c r="Y1900" s="392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1320</v>
      </c>
      <c r="C1901" s="40">
        <v>1217</v>
      </c>
      <c r="D1901" s="38" t="s">
        <v>1319</v>
      </c>
      <c r="E1901" s="4" t="s">
        <v>457</v>
      </c>
      <c r="F1901" s="4" t="s">
        <v>5046</v>
      </c>
      <c r="G1901" s="382" t="s">
        <v>5605</v>
      </c>
      <c r="H1901" s="457" t="s">
        <v>5608</v>
      </c>
      <c r="I1901" s="447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56</v>
      </c>
      <c r="U1901" s="2" t="s">
        <v>56</v>
      </c>
      <c r="V1901" s="150" t="s">
        <v>1193</v>
      </c>
      <c r="W1901" s="39">
        <v>104</v>
      </c>
      <c r="X1901" s="4"/>
      <c r="Y1901" s="392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1330</v>
      </c>
      <c r="C1902" s="40">
        <v>1238</v>
      </c>
      <c r="D1902" s="38" t="s">
        <v>1327</v>
      </c>
      <c r="E1902" s="4" t="s">
        <v>457</v>
      </c>
      <c r="F1902" s="4" t="s">
        <v>5047</v>
      </c>
      <c r="G1902" s="382" t="s">
        <v>5605</v>
      </c>
      <c r="H1902" s="457" t="s">
        <v>5608</v>
      </c>
      <c r="I1902" s="447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56</v>
      </c>
      <c r="U1902" s="2" t="s">
        <v>56</v>
      </c>
      <c r="V1902" s="150" t="s">
        <v>92</v>
      </c>
      <c r="W1902" s="39">
        <v>104</v>
      </c>
      <c r="X1902" s="4"/>
      <c r="Y1902" s="392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1332</v>
      </c>
      <c r="C1903" s="40">
        <v>1265</v>
      </c>
      <c r="D1903" s="38" t="s">
        <v>1331</v>
      </c>
      <c r="E1903" s="4" t="s">
        <v>457</v>
      </c>
      <c r="F1903" s="4" t="s">
        <v>5048</v>
      </c>
      <c r="G1903" s="382" t="s">
        <v>5605</v>
      </c>
      <c r="H1903" s="457" t="s">
        <v>5608</v>
      </c>
      <c r="I1903" s="447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56</v>
      </c>
      <c r="U1903" s="2" t="s">
        <v>56</v>
      </c>
      <c r="V1903" s="150" t="s">
        <v>92</v>
      </c>
      <c r="W1903" s="39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1351</v>
      </c>
      <c r="C1904" s="40">
        <v>262</v>
      </c>
      <c r="D1904" s="38" t="s">
        <v>1342</v>
      </c>
      <c r="E1904" s="4" t="s">
        <v>1010</v>
      </c>
      <c r="F1904" s="4" t="s">
        <v>5049</v>
      </c>
      <c r="G1904" s="382" t="s">
        <v>5605</v>
      </c>
      <c r="H1904" s="457" t="s">
        <v>5608</v>
      </c>
      <c r="I1904" s="447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910</v>
      </c>
      <c r="T1904" s="2" t="s">
        <v>56</v>
      </c>
      <c r="U1904" s="2" t="s">
        <v>56</v>
      </c>
      <c r="V1904" s="150" t="s">
        <v>92</v>
      </c>
      <c r="W1904" s="39">
        <v>105</v>
      </c>
      <c r="X1904" s="4"/>
      <c r="Y1904" s="392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1353</v>
      </c>
      <c r="C1905" s="40">
        <v>271</v>
      </c>
      <c r="D1905" s="38" t="s">
        <v>1352</v>
      </c>
      <c r="E1905" s="4" t="s">
        <v>1010</v>
      </c>
      <c r="F1905" s="4" t="s">
        <v>5050</v>
      </c>
      <c r="G1905" s="382" t="s">
        <v>5605</v>
      </c>
      <c r="H1905" s="457" t="s">
        <v>5608</v>
      </c>
      <c r="I1905" s="447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56</v>
      </c>
      <c r="U1905" s="2" t="s">
        <v>56</v>
      </c>
      <c r="V1905" s="150" t="s">
        <v>92</v>
      </c>
      <c r="W1905" s="39">
        <v>103</v>
      </c>
      <c r="X1905" s="4"/>
      <c r="Y1905" s="392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1363</v>
      </c>
      <c r="C1906" s="40">
        <v>258</v>
      </c>
      <c r="D1906" s="38" t="s">
        <v>1192</v>
      </c>
      <c r="E1906" s="4" t="s">
        <v>1010</v>
      </c>
      <c r="F1906" s="4" t="s">
        <v>5051</v>
      </c>
      <c r="G1906" s="382" t="s">
        <v>5605</v>
      </c>
      <c r="H1906" s="457" t="s">
        <v>5608</v>
      </c>
      <c r="I1906" s="447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56</v>
      </c>
      <c r="U1906" s="2" t="s">
        <v>56</v>
      </c>
      <c r="V1906" s="150" t="s">
        <v>92</v>
      </c>
      <c r="W1906" s="39">
        <v>104</v>
      </c>
      <c r="X1906" s="4"/>
      <c r="Y1906" s="392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1373</v>
      </c>
      <c r="C1907" s="40">
        <v>360</v>
      </c>
      <c r="D1907" s="38" t="s">
        <v>1370</v>
      </c>
      <c r="E1907" s="392" t="s">
        <v>1010</v>
      </c>
      <c r="F1907" s="392" t="s">
        <v>5052</v>
      </c>
      <c r="G1907" s="382" t="s">
        <v>5605</v>
      </c>
      <c r="H1907" s="457" t="s">
        <v>5608</v>
      </c>
      <c r="I1907" s="447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56</v>
      </c>
      <c r="U1907" s="2" t="s">
        <v>56</v>
      </c>
      <c r="V1907" s="150" t="s">
        <v>92</v>
      </c>
      <c r="W1907" s="39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1379</v>
      </c>
      <c r="C1908" s="40">
        <v>2342</v>
      </c>
      <c r="D1908" s="38" t="s">
        <v>1232</v>
      </c>
      <c r="E1908" s="4" t="s">
        <v>300</v>
      </c>
      <c r="F1908" s="4" t="s">
        <v>5053</v>
      </c>
      <c r="G1908" s="382" t="s">
        <v>5605</v>
      </c>
      <c r="H1908" s="457" t="s">
        <v>5608</v>
      </c>
      <c r="I1908" s="447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56</v>
      </c>
      <c r="U1908" s="2" t="s">
        <v>56</v>
      </c>
      <c r="V1908" s="150" t="s">
        <v>92</v>
      </c>
      <c r="W1908" s="39">
        <v>103</v>
      </c>
      <c r="X1908" s="4"/>
      <c r="Y1908" s="392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1392</v>
      </c>
      <c r="C1909" s="40">
        <v>2307</v>
      </c>
      <c r="D1909" s="38" t="s">
        <v>1388</v>
      </c>
      <c r="E1909" s="4" t="s">
        <v>300</v>
      </c>
      <c r="F1909" s="4" t="s">
        <v>5054</v>
      </c>
      <c r="G1909" s="382" t="s">
        <v>5605</v>
      </c>
      <c r="H1909" s="457" t="s">
        <v>5608</v>
      </c>
      <c r="I1909" s="447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56</v>
      </c>
      <c r="U1909" s="2" t="s">
        <v>56</v>
      </c>
      <c r="V1909" s="150" t="s">
        <v>92</v>
      </c>
      <c r="W1909" s="39">
        <v>105</v>
      </c>
      <c r="X1909" s="4"/>
      <c r="Y1909" s="392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1389</v>
      </c>
      <c r="C1910" s="40">
        <v>2299</v>
      </c>
      <c r="D1910" s="38" t="s">
        <v>1388</v>
      </c>
      <c r="E1910" s="4" t="s">
        <v>300</v>
      </c>
      <c r="F1910" s="4" t="s">
        <v>5055</v>
      </c>
      <c r="G1910" s="382" t="s">
        <v>5605</v>
      </c>
      <c r="H1910" s="457" t="s">
        <v>5608</v>
      </c>
      <c r="I1910" s="447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56</v>
      </c>
      <c r="U1910" s="2" t="s">
        <v>56</v>
      </c>
      <c r="V1910" s="150" t="s">
        <v>92</v>
      </c>
      <c r="W1910" s="39">
        <v>101</v>
      </c>
      <c r="X1910" s="4" t="s">
        <v>56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1381</v>
      </c>
      <c r="C1911" s="40">
        <v>363</v>
      </c>
      <c r="D1911" s="38" t="s">
        <v>1376</v>
      </c>
      <c r="E1911" s="392" t="s">
        <v>1010</v>
      </c>
      <c r="F1911" s="392" t="s">
        <v>5056</v>
      </c>
      <c r="G1911" s="382" t="s">
        <v>5605</v>
      </c>
      <c r="H1911" s="457" t="s">
        <v>5608</v>
      </c>
      <c r="I1911" s="447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56</v>
      </c>
      <c r="U1911" s="2" t="s">
        <v>56</v>
      </c>
      <c r="V1911" s="150" t="s">
        <v>92</v>
      </c>
      <c r="W1911" s="39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1408</v>
      </c>
      <c r="C1912" s="40">
        <v>2251</v>
      </c>
      <c r="D1912" s="38" t="s">
        <v>1404</v>
      </c>
      <c r="E1912" s="4" t="s">
        <v>300</v>
      </c>
      <c r="F1912" s="4" t="s">
        <v>5057</v>
      </c>
      <c r="G1912" s="382" t="s">
        <v>5605</v>
      </c>
      <c r="H1912" s="457" t="s">
        <v>5608</v>
      </c>
      <c r="I1912" s="447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56</v>
      </c>
      <c r="U1912" s="2" t="s">
        <v>56</v>
      </c>
      <c r="V1912" s="150" t="s">
        <v>92</v>
      </c>
      <c r="W1912" s="39">
        <v>104</v>
      </c>
      <c r="X1912" s="392"/>
      <c r="Y1912" s="392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1425</v>
      </c>
      <c r="C1913" s="40">
        <v>2244</v>
      </c>
      <c r="D1913" s="38" t="s">
        <v>1421</v>
      </c>
      <c r="E1913" s="4" t="s">
        <v>300</v>
      </c>
      <c r="F1913" s="4" t="s">
        <v>5058</v>
      </c>
      <c r="G1913" s="382" t="s">
        <v>5605</v>
      </c>
      <c r="H1913" s="457" t="s">
        <v>5608</v>
      </c>
      <c r="I1913" s="447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331</v>
      </c>
      <c r="Q1913" s="396">
        <v>37</v>
      </c>
      <c r="R1913" s="396">
        <v>323</v>
      </c>
      <c r="S1913" s="396">
        <v>156</v>
      </c>
      <c r="T1913" s="2" t="s">
        <v>56</v>
      </c>
      <c r="U1913" s="2" t="s">
        <v>56</v>
      </c>
      <c r="V1913" s="150" t="s">
        <v>92</v>
      </c>
      <c r="W1913" s="39">
        <v>105</v>
      </c>
      <c r="X1913" s="4"/>
      <c r="Y1913" s="392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1427</v>
      </c>
      <c r="C1914" s="40">
        <v>2246</v>
      </c>
      <c r="D1914" s="38" t="s">
        <v>1421</v>
      </c>
      <c r="E1914" s="4" t="s">
        <v>300</v>
      </c>
      <c r="F1914" s="4" t="s">
        <v>5059</v>
      </c>
      <c r="G1914" s="382" t="s">
        <v>5605</v>
      </c>
      <c r="H1914" s="457" t="s">
        <v>5608</v>
      </c>
      <c r="I1914" s="447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331</v>
      </c>
      <c r="Q1914" s="396">
        <v>33.700000000000003</v>
      </c>
      <c r="R1914" s="396">
        <v>273</v>
      </c>
      <c r="S1914" s="396">
        <v>192</v>
      </c>
      <c r="T1914" s="2" t="s">
        <v>56</v>
      </c>
      <c r="U1914" s="2" t="s">
        <v>56</v>
      </c>
      <c r="V1914" s="150" t="s">
        <v>92</v>
      </c>
      <c r="W1914" s="39">
        <v>104</v>
      </c>
      <c r="X1914" s="392"/>
      <c r="Y1914" s="392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1432</v>
      </c>
      <c r="C1915" s="40">
        <v>1011</v>
      </c>
      <c r="D1915" s="38" t="s">
        <v>1429</v>
      </c>
      <c r="E1915" s="4" t="s">
        <v>300</v>
      </c>
      <c r="F1915" s="4" t="s">
        <v>5060</v>
      </c>
      <c r="G1915" s="382" t="s">
        <v>5605</v>
      </c>
      <c r="H1915" s="457" t="s">
        <v>5608</v>
      </c>
      <c r="I1915" s="447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56</v>
      </c>
      <c r="U1915" s="2" t="s">
        <v>56</v>
      </c>
      <c r="V1915" s="150" t="s">
        <v>92</v>
      </c>
      <c r="W1915" s="39">
        <v>104</v>
      </c>
      <c r="X1915" s="4"/>
      <c r="Y1915" s="392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1433</v>
      </c>
      <c r="C1916" s="40">
        <v>1012</v>
      </c>
      <c r="D1916" s="38" t="s">
        <v>1429</v>
      </c>
      <c r="E1916" s="4" t="s">
        <v>300</v>
      </c>
      <c r="F1916" s="4" t="s">
        <v>5061</v>
      </c>
      <c r="G1916" s="382" t="s">
        <v>5605</v>
      </c>
      <c r="H1916" s="457" t="s">
        <v>5608</v>
      </c>
      <c r="I1916" s="447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56</v>
      </c>
      <c r="U1916" s="2" t="s">
        <v>56</v>
      </c>
      <c r="V1916" s="150" t="s">
        <v>92</v>
      </c>
      <c r="W1916" s="39">
        <v>104</v>
      </c>
      <c r="X1916" s="4"/>
      <c r="Y1916" s="392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1434</v>
      </c>
      <c r="C1917" s="40">
        <v>1013</v>
      </c>
      <c r="D1917" s="38" t="s">
        <v>1429</v>
      </c>
      <c r="E1917" s="4" t="s">
        <v>300</v>
      </c>
      <c r="F1917" s="4" t="s">
        <v>5062</v>
      </c>
      <c r="G1917" s="382" t="s">
        <v>5605</v>
      </c>
      <c r="H1917" s="457" t="s">
        <v>5608</v>
      </c>
      <c r="I1917" s="447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56</v>
      </c>
      <c r="U1917" s="2" t="s">
        <v>3</v>
      </c>
      <c r="V1917" s="150" t="s">
        <v>92</v>
      </c>
      <c r="W1917" s="39">
        <v>107</v>
      </c>
      <c r="X1917" s="4"/>
      <c r="Y1917" s="392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1480</v>
      </c>
      <c r="C1918" s="40">
        <v>1513</v>
      </c>
      <c r="D1918" s="38" t="s">
        <v>1474</v>
      </c>
      <c r="E1918" s="4" t="s">
        <v>457</v>
      </c>
      <c r="F1918" s="4" t="s">
        <v>5063</v>
      </c>
      <c r="G1918" s="382" t="s">
        <v>5605</v>
      </c>
      <c r="H1918" s="457" t="s">
        <v>5608</v>
      </c>
      <c r="I1918" s="447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56</v>
      </c>
      <c r="U1918" s="2" t="s">
        <v>56</v>
      </c>
      <c r="V1918" s="150" t="s">
        <v>92</v>
      </c>
      <c r="W1918" s="81">
        <v>103</v>
      </c>
      <c r="X1918" s="4"/>
      <c r="Y1918" s="392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1477</v>
      </c>
      <c r="C1919" s="40">
        <v>1505</v>
      </c>
      <c r="D1919" s="38" t="s">
        <v>1474</v>
      </c>
      <c r="E1919" s="4" t="s">
        <v>457</v>
      </c>
      <c r="F1919" s="4" t="s">
        <v>5064</v>
      </c>
      <c r="G1919" s="382" t="s">
        <v>5605</v>
      </c>
      <c r="H1919" s="457" t="s">
        <v>5608</v>
      </c>
      <c r="I1919" s="447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56</v>
      </c>
      <c r="U1919" s="2" t="s">
        <v>56</v>
      </c>
      <c r="V1919" s="150" t="s">
        <v>92</v>
      </c>
      <c r="W1919" s="81">
        <v>104</v>
      </c>
      <c r="X1919" s="4"/>
      <c r="Y1919" s="392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1487</v>
      </c>
      <c r="C1920" s="40">
        <v>1703</v>
      </c>
      <c r="D1920" s="38" t="s">
        <v>1485</v>
      </c>
      <c r="E1920" s="4" t="s">
        <v>457</v>
      </c>
      <c r="F1920" s="4" t="s">
        <v>5065</v>
      </c>
      <c r="G1920" s="382" t="s">
        <v>5605</v>
      </c>
      <c r="H1920" s="457" t="s">
        <v>5608</v>
      </c>
      <c r="I1920" s="447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56</v>
      </c>
      <c r="U1920" s="2" t="s">
        <v>56</v>
      </c>
      <c r="V1920" s="150" t="s">
        <v>92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1500</v>
      </c>
      <c r="C1921" s="40">
        <v>607</v>
      </c>
      <c r="D1921" s="38" t="s">
        <v>1491</v>
      </c>
      <c r="E1921" s="4" t="s">
        <v>1010</v>
      </c>
      <c r="F1921" s="4" t="s">
        <v>5066</v>
      </c>
      <c r="G1921" s="382" t="s">
        <v>5605</v>
      </c>
      <c r="H1921" s="457" t="s">
        <v>5608</v>
      </c>
      <c r="I1921" s="447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214</v>
      </c>
      <c r="Q1921" s="396">
        <v>30.9</v>
      </c>
      <c r="R1921" s="396">
        <v>284</v>
      </c>
      <c r="S1921" s="396">
        <v>63.5</v>
      </c>
      <c r="T1921" s="2" t="s">
        <v>56</v>
      </c>
      <c r="U1921" s="2" t="s">
        <v>56</v>
      </c>
      <c r="V1921" s="150" t="s">
        <v>92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1520</v>
      </c>
      <c r="C1922" s="40">
        <v>252</v>
      </c>
      <c r="D1922" s="38" t="s">
        <v>1516</v>
      </c>
      <c r="E1922" s="4" t="s">
        <v>1010</v>
      </c>
      <c r="F1922" s="4" t="s">
        <v>5067</v>
      </c>
      <c r="G1922" s="382" t="s">
        <v>5605</v>
      </c>
      <c r="H1922" s="457" t="s">
        <v>5608</v>
      </c>
      <c r="I1922" s="447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56</v>
      </c>
      <c r="U1922" s="2" t="s">
        <v>56</v>
      </c>
      <c r="V1922" s="150" t="s">
        <v>92</v>
      </c>
      <c r="W1922" s="81">
        <v>104</v>
      </c>
      <c r="X1922" s="4"/>
      <c r="Y1922" s="392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1521</v>
      </c>
      <c r="C1923" s="40">
        <v>254</v>
      </c>
      <c r="D1923" s="38" t="s">
        <v>1516</v>
      </c>
      <c r="E1923" s="4" t="s">
        <v>1010</v>
      </c>
      <c r="F1923" s="4" t="s">
        <v>5068</v>
      </c>
      <c r="G1923" s="382" t="s">
        <v>5605</v>
      </c>
      <c r="H1923" s="457" t="s">
        <v>5608</v>
      </c>
      <c r="I1923" s="447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56</v>
      </c>
      <c r="U1923" s="2" t="s">
        <v>56</v>
      </c>
      <c r="V1923" s="150" t="s">
        <v>92</v>
      </c>
      <c r="W1923" s="81">
        <v>104</v>
      </c>
      <c r="X1923" s="4"/>
      <c r="Y1923" s="392"/>
      <c r="Z1923" s="392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1637</v>
      </c>
      <c r="C1924" s="40">
        <v>1711</v>
      </c>
      <c r="D1924" s="38" t="s">
        <v>1632</v>
      </c>
      <c r="E1924" s="4" t="s">
        <v>457</v>
      </c>
      <c r="F1924" s="4" t="s">
        <v>5069</v>
      </c>
      <c r="G1924" s="382" t="s">
        <v>5605</v>
      </c>
      <c r="H1924" s="457" t="s">
        <v>5608</v>
      </c>
      <c r="I1924" s="447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56</v>
      </c>
      <c r="U1924" s="2" t="s">
        <v>56</v>
      </c>
      <c r="V1924" s="150" t="s">
        <v>92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1653</v>
      </c>
      <c r="C1925" s="40">
        <v>1481</v>
      </c>
      <c r="D1925" s="38" t="s">
        <v>1647</v>
      </c>
      <c r="E1925" s="4" t="s">
        <v>457</v>
      </c>
      <c r="F1925" s="4" t="s">
        <v>5070</v>
      </c>
      <c r="G1925" s="382" t="s">
        <v>5605</v>
      </c>
      <c r="H1925" s="457" t="s">
        <v>5608</v>
      </c>
      <c r="I1925" s="447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331</v>
      </c>
      <c r="Q1925" s="396">
        <v>38.1</v>
      </c>
      <c r="R1925" s="396">
        <v>387</v>
      </c>
      <c r="S1925" s="396">
        <v>62.6</v>
      </c>
      <c r="T1925" s="2" t="s">
        <v>56</v>
      </c>
      <c r="U1925" s="2" t="s">
        <v>56</v>
      </c>
      <c r="V1925" s="97" t="s">
        <v>2397</v>
      </c>
      <c r="W1925" s="39">
        <v>105</v>
      </c>
      <c r="X1925" s="4"/>
      <c r="Y1925" s="392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1664</v>
      </c>
      <c r="C1926" s="40">
        <v>535</v>
      </c>
      <c r="D1926" s="38" t="s">
        <v>1660</v>
      </c>
      <c r="E1926" s="4" t="s">
        <v>1010</v>
      </c>
      <c r="F1926" s="4" t="s">
        <v>5071</v>
      </c>
      <c r="G1926" s="382" t="s">
        <v>5605</v>
      </c>
      <c r="H1926" s="457" t="s">
        <v>5608</v>
      </c>
      <c r="I1926" s="447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56</v>
      </c>
      <c r="U1926" s="2" t="s">
        <v>56</v>
      </c>
      <c r="V1926" s="150" t="s">
        <v>92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1665</v>
      </c>
      <c r="C1927" s="40">
        <v>546</v>
      </c>
      <c r="D1927" s="38" t="s">
        <v>1660</v>
      </c>
      <c r="E1927" s="4" t="s">
        <v>1010</v>
      </c>
      <c r="F1927" s="4" t="s">
        <v>5072</v>
      </c>
      <c r="G1927" s="382" t="s">
        <v>5605</v>
      </c>
      <c r="H1927" s="457" t="s">
        <v>5608</v>
      </c>
      <c r="I1927" s="447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278</v>
      </c>
      <c r="Q1927" s="396">
        <v>31.5</v>
      </c>
      <c r="R1927" s="396">
        <v>358</v>
      </c>
      <c r="S1927" s="396">
        <v>109</v>
      </c>
      <c r="T1927" s="2" t="s">
        <v>56</v>
      </c>
      <c r="U1927" s="2" t="s">
        <v>56</v>
      </c>
      <c r="V1927" s="150" t="s">
        <v>92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1673</v>
      </c>
      <c r="C1928" s="40">
        <v>366</v>
      </c>
      <c r="D1928" s="38" t="s">
        <v>1672</v>
      </c>
      <c r="E1928" s="4" t="s">
        <v>1010</v>
      </c>
      <c r="F1928" s="4" t="s">
        <v>5073</v>
      </c>
      <c r="G1928" s="382" t="s">
        <v>5605</v>
      </c>
      <c r="H1928" s="457" t="s">
        <v>5608</v>
      </c>
      <c r="I1928" s="447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56</v>
      </c>
      <c r="U1928" s="2" t="s">
        <v>56</v>
      </c>
      <c r="V1928" s="150" t="s">
        <v>92</v>
      </c>
      <c r="W1928" s="81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1707</v>
      </c>
      <c r="C1929" s="40">
        <v>2231</v>
      </c>
      <c r="D1929" s="38" t="s">
        <v>1554</v>
      </c>
      <c r="E1929" s="4" t="s">
        <v>300</v>
      </c>
      <c r="F1929" s="4" t="s">
        <v>5074</v>
      </c>
      <c r="G1929" s="382" t="s">
        <v>5605</v>
      </c>
      <c r="H1929" s="457" t="s">
        <v>5608</v>
      </c>
      <c r="I1929" s="447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56</v>
      </c>
      <c r="U1929" s="2" t="s">
        <v>56</v>
      </c>
      <c r="V1929" s="150" t="s">
        <v>92</v>
      </c>
      <c r="W1929" s="81">
        <v>105</v>
      </c>
      <c r="X1929" s="4"/>
      <c r="Y1929" s="392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1700</v>
      </c>
      <c r="C1930" s="40">
        <v>281</v>
      </c>
      <c r="D1930" s="38" t="s">
        <v>1693</v>
      </c>
      <c r="E1930" s="4" t="s">
        <v>1010</v>
      </c>
      <c r="F1930" s="4" t="s">
        <v>5075</v>
      </c>
      <c r="G1930" s="382" t="s">
        <v>5605</v>
      </c>
      <c r="H1930" s="457" t="s">
        <v>5608</v>
      </c>
      <c r="I1930" s="447"/>
      <c r="J1930" s="43">
        <v>199896</v>
      </c>
      <c r="K1930" s="43">
        <v>2664561</v>
      </c>
      <c r="L1930" s="396" t="s">
        <v>1185</v>
      </c>
      <c r="M1930" s="397">
        <v>5.31</v>
      </c>
      <c r="N1930" s="396">
        <v>195.15</v>
      </c>
      <c r="O1930" s="396">
        <v>133.52000000000001</v>
      </c>
      <c r="P1930" s="396" t="s">
        <v>1186</v>
      </c>
      <c r="Q1930" s="396">
        <v>23.43</v>
      </c>
      <c r="R1930" s="396">
        <v>399.05</v>
      </c>
      <c r="S1930" s="396">
        <v>196.21</v>
      </c>
      <c r="T1930" s="2" t="s">
        <v>56</v>
      </c>
      <c r="U1930" s="2" t="s">
        <v>56</v>
      </c>
      <c r="V1930" s="150" t="s">
        <v>92</v>
      </c>
      <c r="W1930" s="39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1716</v>
      </c>
      <c r="C1931" s="40">
        <v>2228</v>
      </c>
      <c r="D1931" s="38" t="s">
        <v>1703</v>
      </c>
      <c r="E1931" s="4" t="s">
        <v>300</v>
      </c>
      <c r="F1931" s="4" t="s">
        <v>5076</v>
      </c>
      <c r="G1931" s="382" t="s">
        <v>5605</v>
      </c>
      <c r="H1931" s="457" t="s">
        <v>5608</v>
      </c>
      <c r="I1931" s="447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56</v>
      </c>
      <c r="U1931" s="2" t="s">
        <v>56</v>
      </c>
      <c r="V1931" s="150" t="s">
        <v>92</v>
      </c>
      <c r="W1931" s="81">
        <v>105</v>
      </c>
      <c r="X1931" s="4"/>
      <c r="Y1931" s="392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1692</v>
      </c>
      <c r="C1932" s="40">
        <v>2235</v>
      </c>
      <c r="D1932" s="38" t="s">
        <v>1691</v>
      </c>
      <c r="E1932" s="4" t="s">
        <v>300</v>
      </c>
      <c r="F1932" s="4" t="s">
        <v>5077</v>
      </c>
      <c r="G1932" s="382" t="s">
        <v>5605</v>
      </c>
      <c r="H1932" s="457" t="s">
        <v>5608</v>
      </c>
      <c r="I1932" s="447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56</v>
      </c>
      <c r="U1932" s="2" t="s">
        <v>56</v>
      </c>
      <c r="V1932" s="150" t="s">
        <v>92</v>
      </c>
      <c r="W1932" s="81">
        <v>101</v>
      </c>
      <c r="X1932" s="4" t="s">
        <v>56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1718</v>
      </c>
      <c r="C1933" s="40">
        <v>2264</v>
      </c>
      <c r="D1933" s="38" t="s">
        <v>1717</v>
      </c>
      <c r="E1933" s="4" t="s">
        <v>300</v>
      </c>
      <c r="F1933" s="4" t="s">
        <v>5078</v>
      </c>
      <c r="G1933" s="382" t="s">
        <v>5605</v>
      </c>
      <c r="H1933" s="457" t="s">
        <v>5608</v>
      </c>
      <c r="I1933" s="447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56</v>
      </c>
      <c r="U1933" s="2" t="s">
        <v>56</v>
      </c>
      <c r="V1933" s="150" t="s">
        <v>92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1729</v>
      </c>
      <c r="C1934" s="40">
        <v>2073</v>
      </c>
      <c r="D1934" s="38" t="s">
        <v>1725</v>
      </c>
      <c r="E1934" s="4" t="s">
        <v>1010</v>
      </c>
      <c r="F1934" s="4" t="s">
        <v>5079</v>
      </c>
      <c r="G1934" s="382" t="s">
        <v>5605</v>
      </c>
      <c r="H1934" s="457" t="s">
        <v>5608</v>
      </c>
      <c r="I1934" s="447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56</v>
      </c>
      <c r="U1934" s="2" t="s">
        <v>56</v>
      </c>
      <c r="V1934" s="150" t="s">
        <v>92</v>
      </c>
      <c r="W1934" s="81">
        <v>106</v>
      </c>
      <c r="X1934" s="4"/>
      <c r="Y1934" s="392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1752</v>
      </c>
      <c r="C1935" s="40">
        <v>1532</v>
      </c>
      <c r="D1935" s="38" t="s">
        <v>1748</v>
      </c>
      <c r="E1935" s="419" t="s">
        <v>457</v>
      </c>
      <c r="F1935" s="419" t="s">
        <v>5080</v>
      </c>
      <c r="G1935" s="382" t="s">
        <v>5605</v>
      </c>
      <c r="H1935" s="457" t="s">
        <v>5608</v>
      </c>
      <c r="I1935" s="447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56</v>
      </c>
      <c r="U1935" s="2" t="s">
        <v>56</v>
      </c>
      <c r="V1935" s="150" t="s">
        <v>92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1784</v>
      </c>
      <c r="C1936" s="40">
        <v>561</v>
      </c>
      <c r="D1936" s="38" t="s">
        <v>1677</v>
      </c>
      <c r="E1936" s="4" t="s">
        <v>1010</v>
      </c>
      <c r="F1936" s="4" t="s">
        <v>5081</v>
      </c>
      <c r="G1936" s="382" t="s">
        <v>5605</v>
      </c>
      <c r="H1936" s="457" t="s">
        <v>5608</v>
      </c>
      <c r="I1936" s="447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56</v>
      </c>
      <c r="U1936" s="2" t="s">
        <v>56</v>
      </c>
      <c r="V1936" s="150" t="s">
        <v>92</v>
      </c>
      <c r="W1936" s="81">
        <v>105</v>
      </c>
      <c r="X1936" s="4"/>
      <c r="Y1936" s="392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1782</v>
      </c>
      <c r="C1937" s="40">
        <v>1482</v>
      </c>
      <c r="D1937" s="38" t="s">
        <v>1772</v>
      </c>
      <c r="E1937" s="4" t="s">
        <v>457</v>
      </c>
      <c r="F1937" s="4" t="s">
        <v>5082</v>
      </c>
      <c r="G1937" s="382" t="s">
        <v>5605</v>
      </c>
      <c r="H1937" s="457" t="s">
        <v>5608</v>
      </c>
      <c r="I1937" s="447"/>
      <c r="J1937" s="43">
        <v>197894</v>
      </c>
      <c r="K1937" s="43">
        <v>2664903</v>
      </c>
      <c r="L1937" s="396" t="s">
        <v>412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56</v>
      </c>
      <c r="U1937" s="2" t="s">
        <v>56</v>
      </c>
      <c r="V1937" s="150" t="s">
        <v>92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1785</v>
      </c>
      <c r="C1938" s="40">
        <v>1468</v>
      </c>
      <c r="D1938" s="38" t="s">
        <v>1772</v>
      </c>
      <c r="E1938" s="4" t="s">
        <v>457</v>
      </c>
      <c r="F1938" s="4" t="s">
        <v>5083</v>
      </c>
      <c r="G1938" s="382" t="s">
        <v>5605</v>
      </c>
      <c r="H1938" s="457" t="s">
        <v>5608</v>
      </c>
      <c r="I1938" s="447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56</v>
      </c>
      <c r="U1938" s="2" t="s">
        <v>56</v>
      </c>
      <c r="V1938" s="150" t="s">
        <v>92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1787</v>
      </c>
      <c r="C1939" s="40">
        <v>1475</v>
      </c>
      <c r="D1939" s="38" t="s">
        <v>1772</v>
      </c>
      <c r="E1939" s="4" t="s">
        <v>457</v>
      </c>
      <c r="F1939" s="4" t="s">
        <v>5084</v>
      </c>
      <c r="G1939" s="382" t="s">
        <v>5605</v>
      </c>
      <c r="H1939" s="457" t="s">
        <v>5608</v>
      </c>
      <c r="I1939" s="447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56</v>
      </c>
      <c r="U1939" s="2" t="s">
        <v>56</v>
      </c>
      <c r="V1939" s="150" t="s">
        <v>92</v>
      </c>
      <c r="W1939" s="81">
        <v>104</v>
      </c>
      <c r="X1939" s="392"/>
      <c r="Y1939" s="392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1789</v>
      </c>
      <c r="C1940" s="40">
        <v>1489</v>
      </c>
      <c r="D1940" s="38" t="s">
        <v>1772</v>
      </c>
      <c r="E1940" s="4" t="s">
        <v>457</v>
      </c>
      <c r="F1940" s="4" t="s">
        <v>5085</v>
      </c>
      <c r="G1940" s="382" t="s">
        <v>5605</v>
      </c>
      <c r="H1940" s="457" t="s">
        <v>5608</v>
      </c>
      <c r="I1940" s="447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56</v>
      </c>
      <c r="U1940" s="2" t="s">
        <v>56</v>
      </c>
      <c r="V1940" s="150" t="s">
        <v>92</v>
      </c>
      <c r="W1940" s="81">
        <v>103</v>
      </c>
      <c r="X1940" s="396"/>
      <c r="Y1940" s="392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1827</v>
      </c>
      <c r="C1941" s="40">
        <v>248</v>
      </c>
      <c r="D1941" s="38" t="s">
        <v>1826</v>
      </c>
      <c r="E1941" s="4" t="s">
        <v>1010</v>
      </c>
      <c r="F1941" s="4" t="s">
        <v>5086</v>
      </c>
      <c r="G1941" s="382" t="s">
        <v>5605</v>
      </c>
      <c r="H1941" s="457" t="s">
        <v>5608</v>
      </c>
      <c r="I1941" s="447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56</v>
      </c>
      <c r="U1941" s="2" t="s">
        <v>56</v>
      </c>
      <c r="V1941" s="150" t="s">
        <v>92</v>
      </c>
      <c r="W1941" s="81">
        <v>101</v>
      </c>
      <c r="X1941" s="4" t="s">
        <v>56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1830</v>
      </c>
      <c r="C1942" s="40">
        <v>449</v>
      </c>
      <c r="D1942" s="38" t="s">
        <v>1828</v>
      </c>
      <c r="E1942" s="4" t="s">
        <v>1010</v>
      </c>
      <c r="F1942" s="4" t="s">
        <v>5087</v>
      </c>
      <c r="G1942" s="382" t="s">
        <v>5605</v>
      </c>
      <c r="H1942" s="457" t="s">
        <v>5608</v>
      </c>
      <c r="I1942" s="447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56</v>
      </c>
      <c r="U1942" s="2" t="s">
        <v>56</v>
      </c>
      <c r="V1942" s="150" t="s">
        <v>92</v>
      </c>
      <c r="W1942" s="81">
        <v>103</v>
      </c>
      <c r="X1942" s="4"/>
      <c r="Y1942" s="392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1832</v>
      </c>
      <c r="C1943" s="40">
        <v>555</v>
      </c>
      <c r="D1943" s="38" t="s">
        <v>1828</v>
      </c>
      <c r="E1943" s="4" t="s">
        <v>1010</v>
      </c>
      <c r="F1943" s="4" t="s">
        <v>5088</v>
      </c>
      <c r="G1943" s="382" t="s">
        <v>5605</v>
      </c>
      <c r="H1943" s="457" t="s">
        <v>5608</v>
      </c>
      <c r="I1943" s="447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56</v>
      </c>
      <c r="U1943" s="2" t="s">
        <v>56</v>
      </c>
      <c r="V1943" s="150" t="s">
        <v>92</v>
      </c>
      <c r="W1943" s="81">
        <v>103</v>
      </c>
      <c r="X1943" s="4"/>
      <c r="Y1943" s="392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1983</v>
      </c>
      <c r="C1944" s="40">
        <v>556</v>
      </c>
      <c r="D1944" s="38" t="s">
        <v>1982</v>
      </c>
      <c r="E1944" s="4" t="s">
        <v>1010</v>
      </c>
      <c r="F1944" s="4" t="s">
        <v>5089</v>
      </c>
      <c r="G1944" s="382" t="s">
        <v>5605</v>
      </c>
      <c r="H1944" s="457" t="s">
        <v>5608</v>
      </c>
      <c r="I1944" s="447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56</v>
      </c>
      <c r="U1944" s="2" t="s">
        <v>56</v>
      </c>
      <c r="V1944" s="150" t="s">
        <v>92</v>
      </c>
      <c r="W1944" s="81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1846</v>
      </c>
      <c r="C1945" s="40">
        <v>2081</v>
      </c>
      <c r="D1945" s="38" t="s">
        <v>1845</v>
      </c>
      <c r="E1945" s="4" t="s">
        <v>1010</v>
      </c>
      <c r="F1945" s="4" t="s">
        <v>5090</v>
      </c>
      <c r="G1945" s="382" t="s">
        <v>5605</v>
      </c>
      <c r="H1945" s="457" t="s">
        <v>5608</v>
      </c>
      <c r="I1945" s="447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56</v>
      </c>
      <c r="U1945" s="2" t="s">
        <v>56</v>
      </c>
      <c r="V1945" s="150" t="s">
        <v>92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1847</v>
      </c>
      <c r="C1946" s="40">
        <v>2234</v>
      </c>
      <c r="D1946" s="38" t="s">
        <v>1845</v>
      </c>
      <c r="E1946" s="4" t="s">
        <v>300</v>
      </c>
      <c r="F1946" s="4" t="s">
        <v>5091</v>
      </c>
      <c r="G1946" s="382" t="s">
        <v>5605</v>
      </c>
      <c r="H1946" s="457" t="s">
        <v>5608</v>
      </c>
      <c r="I1946" s="447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56</v>
      </c>
      <c r="U1946" s="2" t="s">
        <v>56</v>
      </c>
      <c r="V1946" s="150" t="s">
        <v>92</v>
      </c>
      <c r="W1946" s="81">
        <v>101</v>
      </c>
      <c r="X1946" s="4" t="s">
        <v>56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1860</v>
      </c>
      <c r="C1947" s="40">
        <v>2086</v>
      </c>
      <c r="D1947" s="38" t="s">
        <v>1732</v>
      </c>
      <c r="E1947" s="4" t="s">
        <v>1010</v>
      </c>
      <c r="F1947" s="4" t="s">
        <v>5092</v>
      </c>
      <c r="G1947" s="382" t="s">
        <v>5605</v>
      </c>
      <c r="H1947" s="457" t="s">
        <v>5608</v>
      </c>
      <c r="I1947" s="447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56</v>
      </c>
      <c r="U1947" s="2" t="s">
        <v>56</v>
      </c>
      <c r="V1947" s="150" t="s">
        <v>92</v>
      </c>
      <c r="W1947" s="39">
        <v>102</v>
      </c>
      <c r="X1947" s="4"/>
      <c r="Y1947" s="392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1861</v>
      </c>
      <c r="C1948" s="40">
        <v>2129</v>
      </c>
      <c r="D1948" s="38" t="s">
        <v>1732</v>
      </c>
      <c r="E1948" s="4" t="s">
        <v>1010</v>
      </c>
      <c r="F1948" s="4" t="s">
        <v>5093</v>
      </c>
      <c r="G1948" s="382" t="s">
        <v>5605</v>
      </c>
      <c r="H1948" s="457" t="s">
        <v>5608</v>
      </c>
      <c r="I1948" s="447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56</v>
      </c>
      <c r="U1948" s="2" t="s">
        <v>56</v>
      </c>
      <c r="V1948" s="150" t="s">
        <v>92</v>
      </c>
      <c r="W1948" s="39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1865</v>
      </c>
      <c r="C1949" s="40">
        <v>2132</v>
      </c>
      <c r="D1949" s="38" t="s">
        <v>1732</v>
      </c>
      <c r="E1949" s="392" t="s">
        <v>1010</v>
      </c>
      <c r="F1949" s="392" t="s">
        <v>5094</v>
      </c>
      <c r="G1949" s="382" t="s">
        <v>5605</v>
      </c>
      <c r="H1949" s="457" t="s">
        <v>5608</v>
      </c>
      <c r="I1949" s="447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56</v>
      </c>
      <c r="U1949" s="2" t="s">
        <v>56</v>
      </c>
      <c r="V1949" s="150" t="s">
        <v>92</v>
      </c>
      <c r="W1949" s="39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1863</v>
      </c>
      <c r="C1950" s="40">
        <v>2130</v>
      </c>
      <c r="D1950" s="38" t="s">
        <v>1876</v>
      </c>
      <c r="E1950" s="4" t="s">
        <v>1010</v>
      </c>
      <c r="F1950" s="4" t="s">
        <v>5095</v>
      </c>
      <c r="G1950" s="382" t="s">
        <v>5605</v>
      </c>
      <c r="H1950" s="457" t="s">
        <v>5608</v>
      </c>
      <c r="I1950" s="447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56</v>
      </c>
      <c r="U1950" s="2" t="s">
        <v>56</v>
      </c>
      <c r="V1950" s="150" t="s">
        <v>92</v>
      </c>
      <c r="W1950" s="39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1864</v>
      </c>
      <c r="C1951" s="40">
        <v>2131</v>
      </c>
      <c r="D1951" s="38" t="s">
        <v>1876</v>
      </c>
      <c r="E1951" s="4" t="s">
        <v>1010</v>
      </c>
      <c r="F1951" s="4" t="s">
        <v>5096</v>
      </c>
      <c r="G1951" s="382" t="s">
        <v>5605</v>
      </c>
      <c r="H1951" s="457" t="s">
        <v>5608</v>
      </c>
      <c r="I1951" s="447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56</v>
      </c>
      <c r="U1951" s="2" t="s">
        <v>56</v>
      </c>
      <c r="V1951" s="150" t="s">
        <v>92</v>
      </c>
      <c r="W1951" s="39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1880</v>
      </c>
      <c r="C1952" s="40">
        <v>2493</v>
      </c>
      <c r="D1952" s="38" t="s">
        <v>1879</v>
      </c>
      <c r="E1952" s="4" t="s">
        <v>1010</v>
      </c>
      <c r="F1952" s="4" t="s">
        <v>5097</v>
      </c>
      <c r="G1952" s="382" t="s">
        <v>5605</v>
      </c>
      <c r="H1952" s="457" t="s">
        <v>5608</v>
      </c>
      <c r="I1952" s="447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56</v>
      </c>
      <c r="U1952" s="2" t="s">
        <v>56</v>
      </c>
      <c r="V1952" s="150" t="s">
        <v>92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1902</v>
      </c>
      <c r="C1953" s="40">
        <v>2267</v>
      </c>
      <c r="D1953" s="38" t="s">
        <v>1897</v>
      </c>
      <c r="E1953" s="4" t="s">
        <v>300</v>
      </c>
      <c r="F1953" s="4" t="s">
        <v>5098</v>
      </c>
      <c r="G1953" s="382" t="s">
        <v>5605</v>
      </c>
      <c r="H1953" s="457" t="s">
        <v>5608</v>
      </c>
      <c r="I1953" s="447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56</v>
      </c>
      <c r="U1953" s="2" t="s">
        <v>56</v>
      </c>
      <c r="V1953" s="150" t="s">
        <v>92</v>
      </c>
      <c r="W1953" s="81">
        <v>103</v>
      </c>
      <c r="X1953" s="4"/>
      <c r="Y1953" s="392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1908</v>
      </c>
      <c r="C1954" s="40">
        <v>1734</v>
      </c>
      <c r="D1954" s="38" t="s">
        <v>1907</v>
      </c>
      <c r="E1954" s="4" t="s">
        <v>457</v>
      </c>
      <c r="F1954" s="4" t="s">
        <v>5099</v>
      </c>
      <c r="G1954" s="382" t="s">
        <v>5605</v>
      </c>
      <c r="H1954" s="457" t="s">
        <v>5608</v>
      </c>
      <c r="I1954" s="447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56</v>
      </c>
      <c r="U1954" s="2" t="s">
        <v>56</v>
      </c>
      <c r="V1954" s="150" t="s">
        <v>92</v>
      </c>
      <c r="W1954" s="81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1909</v>
      </c>
      <c r="C1955" s="40">
        <v>1723</v>
      </c>
      <c r="D1955" s="38" t="s">
        <v>1907</v>
      </c>
      <c r="E1955" s="4" t="s">
        <v>457</v>
      </c>
      <c r="F1955" s="4" t="s">
        <v>5100</v>
      </c>
      <c r="G1955" s="382" t="s">
        <v>5605</v>
      </c>
      <c r="H1955" s="457" t="s">
        <v>5608</v>
      </c>
      <c r="I1955" s="447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56</v>
      </c>
      <c r="U1955" s="2" t="s">
        <v>56</v>
      </c>
      <c r="V1955" s="150" t="s">
        <v>92</v>
      </c>
      <c r="W1955" s="39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1914</v>
      </c>
      <c r="C1956" s="40">
        <v>1787</v>
      </c>
      <c r="D1956" s="38" t="s">
        <v>1910</v>
      </c>
      <c r="E1956" s="419" t="s">
        <v>457</v>
      </c>
      <c r="F1956" s="419" t="s">
        <v>5101</v>
      </c>
      <c r="G1956" s="382" t="s">
        <v>5605</v>
      </c>
      <c r="H1956" s="457" t="s">
        <v>5608</v>
      </c>
      <c r="I1956" s="447"/>
      <c r="J1956" s="43">
        <v>195970</v>
      </c>
      <c r="K1956" s="43">
        <v>2665269</v>
      </c>
      <c r="L1956" s="396" t="s">
        <v>391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56</v>
      </c>
      <c r="U1956" s="2" t="s">
        <v>56</v>
      </c>
      <c r="V1956" s="150" t="s">
        <v>92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1915</v>
      </c>
      <c r="C1957" s="40">
        <v>1788</v>
      </c>
      <c r="D1957" s="38" t="s">
        <v>1910</v>
      </c>
      <c r="E1957" s="419" t="s">
        <v>457</v>
      </c>
      <c r="F1957" s="419" t="s">
        <v>5102</v>
      </c>
      <c r="G1957" s="382" t="s">
        <v>5605</v>
      </c>
      <c r="H1957" s="457" t="s">
        <v>5608</v>
      </c>
      <c r="I1957" s="447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56</v>
      </c>
      <c r="U1957" s="2" t="s">
        <v>56</v>
      </c>
      <c r="V1957" s="150" t="s">
        <v>92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1934</v>
      </c>
      <c r="C1958" s="40">
        <v>1738</v>
      </c>
      <c r="D1958" s="38" t="s">
        <v>1929</v>
      </c>
      <c r="E1958" s="4" t="s">
        <v>457</v>
      </c>
      <c r="F1958" s="4" t="s">
        <v>5103</v>
      </c>
      <c r="G1958" s="382" t="s">
        <v>5605</v>
      </c>
      <c r="H1958" s="457" t="s">
        <v>5608</v>
      </c>
      <c r="I1958" s="447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56</v>
      </c>
      <c r="U1958" s="2" t="s">
        <v>56</v>
      </c>
      <c r="V1958" s="150" t="s">
        <v>92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1935</v>
      </c>
      <c r="C1959" s="40">
        <v>1739</v>
      </c>
      <c r="D1959" s="38" t="s">
        <v>1929</v>
      </c>
      <c r="E1959" s="4" t="s">
        <v>457</v>
      </c>
      <c r="F1959" s="4" t="s">
        <v>5104</v>
      </c>
      <c r="G1959" s="382" t="s">
        <v>5605</v>
      </c>
      <c r="H1959" s="457" t="s">
        <v>5608</v>
      </c>
      <c r="I1959" s="447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56</v>
      </c>
      <c r="U1959" s="2" t="s">
        <v>56</v>
      </c>
      <c r="V1959" s="150" t="s">
        <v>92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1948</v>
      </c>
      <c r="C1960" s="40">
        <v>1606</v>
      </c>
      <c r="D1960" s="38" t="s">
        <v>1947</v>
      </c>
      <c r="E1960" s="4" t="s">
        <v>457</v>
      </c>
      <c r="F1960" s="4" t="s">
        <v>5105</v>
      </c>
      <c r="G1960" s="382" t="s">
        <v>5605</v>
      </c>
      <c r="H1960" s="457" t="s">
        <v>5608</v>
      </c>
      <c r="I1960" s="447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56</v>
      </c>
      <c r="U1960" s="2" t="s">
        <v>56</v>
      </c>
      <c r="V1960" s="150" t="s">
        <v>92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1949</v>
      </c>
      <c r="C1961" s="40">
        <v>1645</v>
      </c>
      <c r="D1961" s="38" t="s">
        <v>1947</v>
      </c>
      <c r="E1961" s="4" t="s">
        <v>457</v>
      </c>
      <c r="F1961" s="4" t="s">
        <v>5106</v>
      </c>
      <c r="G1961" s="382" t="s">
        <v>5605</v>
      </c>
      <c r="H1961" s="457" t="s">
        <v>5608</v>
      </c>
      <c r="I1961" s="447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886</v>
      </c>
      <c r="Q1961" s="396">
        <v>27.7</v>
      </c>
      <c r="R1961" s="396">
        <v>221</v>
      </c>
      <c r="S1961" s="396">
        <v>27.4</v>
      </c>
      <c r="T1961" s="2" t="s">
        <v>56</v>
      </c>
      <c r="U1961" s="2" t="s">
        <v>56</v>
      </c>
      <c r="V1961" s="150" t="s">
        <v>92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1959</v>
      </c>
      <c r="C1962" s="40">
        <v>1697</v>
      </c>
      <c r="D1962" s="38" t="s">
        <v>1955</v>
      </c>
      <c r="E1962" s="4" t="s">
        <v>457</v>
      </c>
      <c r="F1962" s="4" t="s">
        <v>5107</v>
      </c>
      <c r="G1962" s="382" t="s">
        <v>5605</v>
      </c>
      <c r="H1962" s="457" t="s">
        <v>5608</v>
      </c>
      <c r="I1962" s="447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56</v>
      </c>
      <c r="U1962" s="2" t="s">
        <v>56</v>
      </c>
      <c r="V1962" s="150" t="s">
        <v>92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1965</v>
      </c>
      <c r="C1963" s="40">
        <v>1487</v>
      </c>
      <c r="D1963" s="38" t="s">
        <v>1962</v>
      </c>
      <c r="E1963" s="4" t="s">
        <v>457</v>
      </c>
      <c r="F1963" s="4" t="s">
        <v>5108</v>
      </c>
      <c r="G1963" s="382" t="s">
        <v>5605</v>
      </c>
      <c r="H1963" s="457" t="s">
        <v>5608</v>
      </c>
      <c r="I1963" s="447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56</v>
      </c>
      <c r="U1963" s="2" t="s">
        <v>56</v>
      </c>
      <c r="V1963" s="150" t="s">
        <v>92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1967</v>
      </c>
      <c r="C1964" s="40">
        <v>1477</v>
      </c>
      <c r="D1964" s="38" t="s">
        <v>1962</v>
      </c>
      <c r="E1964" s="4" t="s">
        <v>457</v>
      </c>
      <c r="F1964" s="4" t="s">
        <v>5109</v>
      </c>
      <c r="G1964" s="382" t="s">
        <v>5605</v>
      </c>
      <c r="H1964" s="457" t="s">
        <v>5608</v>
      </c>
      <c r="I1964" s="447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331</v>
      </c>
      <c r="Q1964" s="396">
        <v>36.299999999999997</v>
      </c>
      <c r="R1964" s="396">
        <v>315</v>
      </c>
      <c r="S1964" s="396">
        <v>40.799999999999997</v>
      </c>
      <c r="T1964" s="2" t="s">
        <v>56</v>
      </c>
      <c r="U1964" s="2" t="s">
        <v>56</v>
      </c>
      <c r="V1964" s="150" t="s">
        <v>92</v>
      </c>
      <c r="W1964" s="81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1970</v>
      </c>
      <c r="C1965" s="40">
        <v>1484</v>
      </c>
      <c r="D1965" s="38" t="s">
        <v>1962</v>
      </c>
      <c r="E1965" s="4" t="s">
        <v>457</v>
      </c>
      <c r="F1965" s="4" t="s">
        <v>5110</v>
      </c>
      <c r="G1965" s="382" t="s">
        <v>5605</v>
      </c>
      <c r="H1965" s="457" t="s">
        <v>5608</v>
      </c>
      <c r="I1965" s="447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331</v>
      </c>
      <c r="Q1965" s="396">
        <v>46.2</v>
      </c>
      <c r="R1965" s="396">
        <v>328</v>
      </c>
      <c r="S1965" s="396">
        <v>22.9</v>
      </c>
      <c r="T1965" s="2" t="s">
        <v>56</v>
      </c>
      <c r="U1965" s="2" t="s">
        <v>56</v>
      </c>
      <c r="V1965" s="150" t="s">
        <v>92</v>
      </c>
      <c r="W1965" s="81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1971</v>
      </c>
      <c r="C1966" s="40">
        <v>1485</v>
      </c>
      <c r="D1966" s="38" t="s">
        <v>1962</v>
      </c>
      <c r="E1966" s="4" t="s">
        <v>457</v>
      </c>
      <c r="F1966" s="4" t="s">
        <v>5111</v>
      </c>
      <c r="G1966" s="382" t="s">
        <v>5605</v>
      </c>
      <c r="H1966" s="457" t="s">
        <v>5608</v>
      </c>
      <c r="I1966" s="447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331</v>
      </c>
      <c r="Q1966" s="396">
        <v>35.700000000000003</v>
      </c>
      <c r="R1966" s="396">
        <v>286</v>
      </c>
      <c r="S1966" s="396">
        <v>90.2</v>
      </c>
      <c r="T1966" s="2" t="s">
        <v>56</v>
      </c>
      <c r="U1966" s="2" t="s">
        <v>56</v>
      </c>
      <c r="V1966" s="150" t="s">
        <v>92</v>
      </c>
      <c r="W1966" s="81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1971</v>
      </c>
      <c r="C1967" s="40">
        <v>1486</v>
      </c>
      <c r="D1967" s="38" t="s">
        <v>1962</v>
      </c>
      <c r="E1967" s="4" t="s">
        <v>457</v>
      </c>
      <c r="F1967" s="4" t="s">
        <v>5112</v>
      </c>
      <c r="G1967" s="382" t="s">
        <v>5605</v>
      </c>
      <c r="H1967" s="457" t="s">
        <v>5608</v>
      </c>
      <c r="I1967" s="447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331</v>
      </c>
      <c r="Q1967" s="396">
        <v>35.700000000000003</v>
      </c>
      <c r="R1967" s="396">
        <v>286</v>
      </c>
      <c r="S1967" s="396">
        <v>90.2</v>
      </c>
      <c r="T1967" s="2" t="s">
        <v>56</v>
      </c>
      <c r="U1967" s="2" t="s">
        <v>56</v>
      </c>
      <c r="V1967" s="150" t="s">
        <v>92</v>
      </c>
      <c r="W1967" s="81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1972</v>
      </c>
      <c r="C1968" s="40">
        <v>1498</v>
      </c>
      <c r="D1968" s="38" t="s">
        <v>1962</v>
      </c>
      <c r="E1968" s="4" t="s">
        <v>457</v>
      </c>
      <c r="F1968" s="4" t="s">
        <v>5113</v>
      </c>
      <c r="G1968" s="382" t="s">
        <v>5605</v>
      </c>
      <c r="H1968" s="457" t="s">
        <v>5608</v>
      </c>
      <c r="I1968" s="447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56</v>
      </c>
      <c r="U1968" s="2" t="s">
        <v>56</v>
      </c>
      <c r="V1968" s="150" t="s">
        <v>92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1992</v>
      </c>
      <c r="C1969" s="40">
        <v>244</v>
      </c>
      <c r="D1969" s="38" t="s">
        <v>1989</v>
      </c>
      <c r="E1969" s="4" t="s">
        <v>1010</v>
      </c>
      <c r="F1969" s="4" t="s">
        <v>5114</v>
      </c>
      <c r="G1969" s="382" t="s">
        <v>5605</v>
      </c>
      <c r="H1969" s="457" t="s">
        <v>5608</v>
      </c>
      <c r="I1969" s="447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56</v>
      </c>
      <c r="U1969" s="2" t="s">
        <v>56</v>
      </c>
      <c r="V1969" s="150" t="s">
        <v>92</v>
      </c>
      <c r="W1969" s="39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2012</v>
      </c>
      <c r="C1970" s="40">
        <v>264</v>
      </c>
      <c r="D1970" s="38" t="s">
        <v>2006</v>
      </c>
      <c r="E1970" s="4" t="s">
        <v>1010</v>
      </c>
      <c r="F1970" s="4" t="s">
        <v>5115</v>
      </c>
      <c r="G1970" s="382" t="s">
        <v>5605</v>
      </c>
      <c r="H1970" s="457" t="s">
        <v>5608</v>
      </c>
      <c r="I1970" s="447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56</v>
      </c>
      <c r="U1970" s="2" t="s">
        <v>56</v>
      </c>
      <c r="V1970" s="150" t="s">
        <v>92</v>
      </c>
      <c r="W1970" s="81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2019</v>
      </c>
      <c r="C1971" s="40">
        <v>272</v>
      </c>
      <c r="D1971" s="38" t="s">
        <v>2018</v>
      </c>
      <c r="E1971" s="4" t="s">
        <v>1010</v>
      </c>
      <c r="F1971" s="4" t="s">
        <v>5116</v>
      </c>
      <c r="G1971" s="382" t="s">
        <v>5605</v>
      </c>
      <c r="H1971" s="457" t="s">
        <v>5608</v>
      </c>
      <c r="I1971" s="447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56</v>
      </c>
      <c r="U1971" s="2" t="s">
        <v>56</v>
      </c>
      <c r="V1971" s="150" t="s">
        <v>92</v>
      </c>
      <c r="W1971" s="81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2041</v>
      </c>
      <c r="C1972" s="40">
        <v>2128</v>
      </c>
      <c r="D1972" s="38" t="s">
        <v>1876</v>
      </c>
      <c r="E1972" s="4" t="s">
        <v>1010</v>
      </c>
      <c r="F1972" s="4" t="s">
        <v>5117</v>
      </c>
      <c r="G1972" s="382" t="s">
        <v>5605</v>
      </c>
      <c r="H1972" s="457" t="s">
        <v>5608</v>
      </c>
      <c r="I1972" s="447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56</v>
      </c>
      <c r="U1972" s="2" t="s">
        <v>56</v>
      </c>
      <c r="V1972" s="150" t="s">
        <v>92</v>
      </c>
      <c r="W1972" s="81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2042</v>
      </c>
      <c r="C1973" s="40">
        <v>2133</v>
      </c>
      <c r="D1973" s="38" t="s">
        <v>1876</v>
      </c>
      <c r="E1973" s="392" t="s">
        <v>1010</v>
      </c>
      <c r="F1973" s="392" t="s">
        <v>5118</v>
      </c>
      <c r="G1973" s="382" t="s">
        <v>5605</v>
      </c>
      <c r="H1973" s="457" t="s">
        <v>5608</v>
      </c>
      <c r="I1973" s="447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56</v>
      </c>
      <c r="U1973" s="2" t="s">
        <v>56</v>
      </c>
      <c r="V1973" s="150" t="s">
        <v>92</v>
      </c>
      <c r="W1973" s="81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2043</v>
      </c>
      <c r="C1974" s="40">
        <v>2490</v>
      </c>
      <c r="D1974" s="38" t="s">
        <v>1862</v>
      </c>
      <c r="E1974" s="4" t="s">
        <v>1010</v>
      </c>
      <c r="F1974" s="4" t="s">
        <v>5119</v>
      </c>
      <c r="G1974" s="382" t="s">
        <v>5605</v>
      </c>
      <c r="H1974" s="457" t="s">
        <v>5608</v>
      </c>
      <c r="I1974" s="447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56</v>
      </c>
      <c r="U1974" s="2" t="s">
        <v>56</v>
      </c>
      <c r="V1974" s="150" t="s">
        <v>92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2059</v>
      </c>
      <c r="C1975" s="40">
        <v>1009</v>
      </c>
      <c r="D1975" s="38" t="s">
        <v>3116</v>
      </c>
      <c r="E1975" s="4" t="s">
        <v>300</v>
      </c>
      <c r="F1975" s="4" t="s">
        <v>5120</v>
      </c>
      <c r="G1975" s="382" t="s">
        <v>5605</v>
      </c>
      <c r="H1975" s="457" t="s">
        <v>5608</v>
      </c>
      <c r="I1975" s="447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56</v>
      </c>
      <c r="U1975" s="2" t="s">
        <v>56</v>
      </c>
      <c r="V1975" s="150" t="s">
        <v>92</v>
      </c>
      <c r="W1975" s="81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2060</v>
      </c>
      <c r="C1976" s="40">
        <v>1010</v>
      </c>
      <c r="D1976" s="38" t="s">
        <v>2058</v>
      </c>
      <c r="E1976" s="4" t="s">
        <v>300</v>
      </c>
      <c r="F1976" s="4" t="s">
        <v>5121</v>
      </c>
      <c r="G1976" s="382" t="s">
        <v>5605</v>
      </c>
      <c r="H1976" s="457" t="s">
        <v>5608</v>
      </c>
      <c r="I1976" s="447"/>
      <c r="J1976" s="43" t="s">
        <v>3117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56</v>
      </c>
      <c r="U1976" s="2" t="s">
        <v>56</v>
      </c>
      <c r="V1976" s="150" t="s">
        <v>92</v>
      </c>
      <c r="W1976" s="81">
        <v>105</v>
      </c>
      <c r="X1976" s="4"/>
      <c r="Y1976" s="392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2071</v>
      </c>
      <c r="C1977" s="40">
        <v>2265</v>
      </c>
      <c r="D1977" s="38" t="s">
        <v>2064</v>
      </c>
      <c r="E1977" s="4" t="s">
        <v>300</v>
      </c>
      <c r="F1977" s="4" t="s">
        <v>5122</v>
      </c>
      <c r="G1977" s="382" t="s">
        <v>5605</v>
      </c>
      <c r="H1977" s="457" t="s">
        <v>5608</v>
      </c>
      <c r="I1977" s="447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56</v>
      </c>
      <c r="U1977" s="2" t="s">
        <v>56</v>
      </c>
      <c r="V1977" s="150" t="s">
        <v>92</v>
      </c>
      <c r="W1977" s="81"/>
      <c r="X1977" s="4"/>
      <c r="Y1977" s="392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2074</v>
      </c>
      <c r="C1978" s="40">
        <v>2209</v>
      </c>
      <c r="D1978" s="38" t="s">
        <v>2073</v>
      </c>
      <c r="E1978" s="4" t="s">
        <v>300</v>
      </c>
      <c r="F1978" s="4" t="s">
        <v>5123</v>
      </c>
      <c r="G1978" s="382" t="s">
        <v>5605</v>
      </c>
      <c r="H1978" s="457" t="s">
        <v>5608</v>
      </c>
      <c r="I1978" s="447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56</v>
      </c>
      <c r="U1978" s="2" t="s">
        <v>56</v>
      </c>
      <c r="V1978" s="150" t="s">
        <v>92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393"/>
      <c r="AK1978" s="393"/>
    </row>
    <row r="1979" spans="1:37" ht="28.2" thickBot="1" x14ac:dyDescent="0.35">
      <c r="A1979" s="15">
        <v>1978</v>
      </c>
      <c r="B1979" s="40" t="s">
        <v>2082</v>
      </c>
      <c r="C1979" s="40">
        <v>1099</v>
      </c>
      <c r="D1979" s="38" t="s">
        <v>2081</v>
      </c>
      <c r="E1979" s="4" t="s">
        <v>300</v>
      </c>
      <c r="F1979" s="4" t="s">
        <v>5124</v>
      </c>
      <c r="G1979" s="382" t="s">
        <v>5605</v>
      </c>
      <c r="H1979" s="457" t="s">
        <v>5608</v>
      </c>
      <c r="I1979" s="447"/>
      <c r="J1979" s="43">
        <v>205942</v>
      </c>
      <c r="K1979" s="43">
        <v>2665286</v>
      </c>
      <c r="L1979" s="396" t="s">
        <v>2083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56</v>
      </c>
      <c r="U1979" s="2" t="s">
        <v>56</v>
      </c>
      <c r="V1979" s="150" t="s">
        <v>92</v>
      </c>
      <c r="W1979" s="81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2021</v>
      </c>
      <c r="C1980" s="40">
        <v>2082</v>
      </c>
      <c r="D1980" s="38" t="s">
        <v>2020</v>
      </c>
      <c r="E1980" s="4" t="s">
        <v>1010</v>
      </c>
      <c r="F1980" s="4" t="s">
        <v>5125</v>
      </c>
      <c r="G1980" s="382" t="s">
        <v>5605</v>
      </c>
      <c r="H1980" s="457" t="s">
        <v>5608</v>
      </c>
      <c r="I1980" s="447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56</v>
      </c>
      <c r="U1980" s="2" t="s">
        <v>56</v>
      </c>
      <c r="V1980" s="150" t="s">
        <v>92</v>
      </c>
      <c r="W1980" s="81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2136</v>
      </c>
      <c r="C1981" s="40">
        <v>1572</v>
      </c>
      <c r="D1981" s="38" t="s">
        <v>2133</v>
      </c>
      <c r="E1981" s="4" t="s">
        <v>457</v>
      </c>
      <c r="F1981" s="4" t="s">
        <v>5126</v>
      </c>
      <c r="G1981" s="382" t="s">
        <v>5605</v>
      </c>
      <c r="H1981" s="457" t="s">
        <v>5608</v>
      </c>
      <c r="I1981" s="447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56</v>
      </c>
      <c r="U1981" s="2" t="s">
        <v>56</v>
      </c>
      <c r="V1981" s="150" t="s">
        <v>92</v>
      </c>
      <c r="W1981" s="81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2155</v>
      </c>
      <c r="C1982" s="40">
        <v>1496</v>
      </c>
      <c r="D1982" s="38" t="s">
        <v>2153</v>
      </c>
      <c r="E1982" s="4" t="s">
        <v>457</v>
      </c>
      <c r="F1982" s="4" t="s">
        <v>5127</v>
      </c>
      <c r="G1982" s="382" t="s">
        <v>5605</v>
      </c>
      <c r="H1982" s="457" t="s">
        <v>5608</v>
      </c>
      <c r="I1982" s="447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56</v>
      </c>
      <c r="U1982" s="2" t="s">
        <v>56</v>
      </c>
      <c r="V1982" s="150" t="s">
        <v>92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2199</v>
      </c>
      <c r="C1983" s="40">
        <v>205</v>
      </c>
      <c r="D1983" s="38" t="s">
        <v>2196</v>
      </c>
      <c r="E1983" s="4" t="s">
        <v>1010</v>
      </c>
      <c r="F1983" s="4" t="s">
        <v>5128</v>
      </c>
      <c r="G1983" s="382" t="s">
        <v>5605</v>
      </c>
      <c r="H1983" s="457" t="s">
        <v>5608</v>
      </c>
      <c r="I1983" s="447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56</v>
      </c>
      <c r="U1983" s="2" t="s">
        <v>56</v>
      </c>
      <c r="V1983" s="150" t="s">
        <v>92</v>
      </c>
      <c r="W1983" s="81"/>
      <c r="X1983" s="4"/>
      <c r="Y1983" s="392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2207</v>
      </c>
      <c r="C1984" s="40">
        <v>2051</v>
      </c>
      <c r="D1984" s="38" t="s">
        <v>2205</v>
      </c>
      <c r="E1984" s="4" t="s">
        <v>1010</v>
      </c>
      <c r="F1984" s="4" t="s">
        <v>5129</v>
      </c>
      <c r="G1984" s="382" t="s">
        <v>5605</v>
      </c>
      <c r="H1984" s="457" t="s">
        <v>5608</v>
      </c>
      <c r="I1984" s="447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56</v>
      </c>
      <c r="U1984" s="2" t="s">
        <v>56</v>
      </c>
      <c r="V1984" s="150" t="s">
        <v>92</v>
      </c>
      <c r="W1984" s="39">
        <v>105</v>
      </c>
      <c r="X1984" s="4"/>
      <c r="Y1984" s="392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2208</v>
      </c>
      <c r="C1985" s="40">
        <v>2416</v>
      </c>
      <c r="D1985" s="38" t="s">
        <v>2205</v>
      </c>
      <c r="E1985" s="4" t="s">
        <v>1010</v>
      </c>
      <c r="F1985" s="4" t="s">
        <v>5130</v>
      </c>
      <c r="G1985" s="382" t="s">
        <v>5605</v>
      </c>
      <c r="H1985" s="457" t="s">
        <v>5608</v>
      </c>
      <c r="I1985" s="447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56</v>
      </c>
      <c r="U1985" s="2" t="s">
        <v>56</v>
      </c>
      <c r="V1985" s="150" t="s">
        <v>92</v>
      </c>
      <c r="W1985" s="39">
        <v>105</v>
      </c>
      <c r="X1985" s="150"/>
      <c r="Y1985" s="150" t="s">
        <v>8</v>
      </c>
      <c r="Z1985" s="4"/>
      <c r="AA1985" s="4"/>
      <c r="AB1985" s="4" t="s">
        <v>56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2212</v>
      </c>
      <c r="C1986" s="40">
        <v>2046</v>
      </c>
      <c r="D1986" s="38" t="s">
        <v>2205</v>
      </c>
      <c r="E1986" s="4" t="s">
        <v>1010</v>
      </c>
      <c r="F1986" s="4" t="s">
        <v>5131</v>
      </c>
      <c r="G1986" s="382" t="s">
        <v>5605</v>
      </c>
      <c r="H1986" s="457" t="s">
        <v>5608</v>
      </c>
      <c r="I1986" s="447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56</v>
      </c>
      <c r="U1986" s="2" t="s">
        <v>56</v>
      </c>
      <c r="V1986" s="150" t="s">
        <v>92</v>
      </c>
      <c r="W1986" s="81">
        <v>104</v>
      </c>
      <c r="X1986" s="4"/>
      <c r="Y1986" s="392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2237</v>
      </c>
      <c r="C1987" s="40">
        <v>1098</v>
      </c>
      <c r="D1987" s="38" t="s">
        <v>2236</v>
      </c>
      <c r="E1987" s="4" t="s">
        <v>300</v>
      </c>
      <c r="F1987" s="4" t="s">
        <v>5132</v>
      </c>
      <c r="G1987" s="382" t="s">
        <v>5605</v>
      </c>
      <c r="H1987" s="457" t="s">
        <v>5608</v>
      </c>
      <c r="I1987" s="447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56</v>
      </c>
      <c r="U1987" s="2" t="s">
        <v>56</v>
      </c>
      <c r="V1987" s="150" t="s">
        <v>92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2217</v>
      </c>
      <c r="C1988" s="40">
        <v>2044</v>
      </c>
      <c r="D1988" s="38" t="s">
        <v>2216</v>
      </c>
      <c r="E1988" s="4" t="s">
        <v>1010</v>
      </c>
      <c r="F1988" s="4" t="s">
        <v>5133</v>
      </c>
      <c r="G1988" s="382" t="s">
        <v>5605</v>
      </c>
      <c r="H1988" s="457" t="s">
        <v>5608</v>
      </c>
      <c r="I1988" s="447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56</v>
      </c>
      <c r="U1988" s="2" t="s">
        <v>56</v>
      </c>
      <c r="V1988" s="150" t="s">
        <v>92</v>
      </c>
      <c r="W1988" s="39">
        <v>105</v>
      </c>
      <c r="X1988" s="4"/>
      <c r="Y1988" s="392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2218</v>
      </c>
      <c r="C1989" s="40">
        <v>2058</v>
      </c>
      <c r="D1989" s="38" t="s">
        <v>2216</v>
      </c>
      <c r="E1989" s="4" t="s">
        <v>1010</v>
      </c>
      <c r="F1989" s="4" t="s">
        <v>5134</v>
      </c>
      <c r="G1989" s="382" t="s">
        <v>5605</v>
      </c>
      <c r="H1989" s="457" t="s">
        <v>5608</v>
      </c>
      <c r="I1989" s="447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56</v>
      </c>
      <c r="U1989" s="2" t="s">
        <v>56</v>
      </c>
      <c r="V1989" s="150" t="s">
        <v>92</v>
      </c>
      <c r="W1989" s="81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2266</v>
      </c>
      <c r="C1990" s="40">
        <v>1619</v>
      </c>
      <c r="D1990" s="38" t="s">
        <v>2264</v>
      </c>
      <c r="E1990" s="4" t="s">
        <v>457</v>
      </c>
      <c r="F1990" s="4" t="s">
        <v>5135</v>
      </c>
      <c r="G1990" s="382" t="s">
        <v>5605</v>
      </c>
      <c r="H1990" s="457" t="s">
        <v>5608</v>
      </c>
      <c r="I1990" s="447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56</v>
      </c>
      <c r="U1990" s="2" t="s">
        <v>56</v>
      </c>
      <c r="V1990" s="150" t="s">
        <v>92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2331</v>
      </c>
      <c r="C1991" s="40">
        <v>2060</v>
      </c>
      <c r="D1991" s="38" t="s">
        <v>3118</v>
      </c>
      <c r="E1991" s="4" t="s">
        <v>1010</v>
      </c>
      <c r="F1991" s="4" t="s">
        <v>5136</v>
      </c>
      <c r="G1991" s="382" t="s">
        <v>5605</v>
      </c>
      <c r="H1991" s="457" t="s">
        <v>5608</v>
      </c>
      <c r="I1991" s="447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56</v>
      </c>
      <c r="U1991" s="2" t="s">
        <v>56</v>
      </c>
      <c r="V1991" s="150" t="s">
        <v>92</v>
      </c>
      <c r="W1991" s="81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2337</v>
      </c>
      <c r="C1992" s="40">
        <v>2049</v>
      </c>
      <c r="D1992" s="38" t="s">
        <v>2336</v>
      </c>
      <c r="E1992" s="4" t="s">
        <v>1010</v>
      </c>
      <c r="F1992" s="4" t="s">
        <v>5137</v>
      </c>
      <c r="G1992" s="382" t="s">
        <v>5605</v>
      </c>
      <c r="H1992" s="457" t="s">
        <v>5608</v>
      </c>
      <c r="I1992" s="447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56</v>
      </c>
      <c r="U1992" s="2" t="s">
        <v>56</v>
      </c>
      <c r="V1992" s="150" t="s">
        <v>92</v>
      </c>
      <c r="W1992" s="81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2338</v>
      </c>
      <c r="C1993" s="40">
        <v>2061</v>
      </c>
      <c r="D1993" s="38" t="s">
        <v>2336</v>
      </c>
      <c r="E1993" s="4" t="s">
        <v>1010</v>
      </c>
      <c r="F1993" s="4" t="s">
        <v>5138</v>
      </c>
      <c r="G1993" s="382" t="s">
        <v>5605</v>
      </c>
      <c r="H1993" s="457" t="s">
        <v>5608</v>
      </c>
      <c r="I1993" s="447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56</v>
      </c>
      <c r="U1993" s="2" t="s">
        <v>56</v>
      </c>
      <c r="V1993" s="150" t="s">
        <v>92</v>
      </c>
      <c r="W1993" s="81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2340</v>
      </c>
      <c r="C1994" s="40">
        <v>2031</v>
      </c>
      <c r="D1994" s="38" t="s">
        <v>2339</v>
      </c>
      <c r="E1994" s="392" t="s">
        <v>1010</v>
      </c>
      <c r="F1994" s="392" t="s">
        <v>5139</v>
      </c>
      <c r="G1994" s="382" t="s">
        <v>5605</v>
      </c>
      <c r="H1994" s="457" t="s">
        <v>5608</v>
      </c>
      <c r="I1994" s="447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56</v>
      </c>
      <c r="U1994" s="2" t="s">
        <v>56</v>
      </c>
      <c r="V1994" s="150" t="s">
        <v>92</v>
      </c>
      <c r="W1994" s="81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2341</v>
      </c>
      <c r="C1995" s="40">
        <v>2032</v>
      </c>
      <c r="D1995" s="38" t="s">
        <v>2339</v>
      </c>
      <c r="E1995" s="392" t="s">
        <v>1010</v>
      </c>
      <c r="F1995" s="392" t="s">
        <v>5140</v>
      </c>
      <c r="G1995" s="382" t="s">
        <v>5605</v>
      </c>
      <c r="H1995" s="457" t="s">
        <v>5608</v>
      </c>
      <c r="I1995" s="447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56</v>
      </c>
      <c r="U1995" s="2" t="s">
        <v>56</v>
      </c>
      <c r="V1995" s="150" t="s">
        <v>92</v>
      </c>
      <c r="W1995" s="81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2379</v>
      </c>
      <c r="C1996" s="40">
        <v>1597</v>
      </c>
      <c r="D1996" s="38" t="s">
        <v>2378</v>
      </c>
      <c r="E1996" s="4" t="s">
        <v>457</v>
      </c>
      <c r="F1996" s="4" t="s">
        <v>5141</v>
      </c>
      <c r="G1996" s="382" t="s">
        <v>5605</v>
      </c>
      <c r="H1996" s="457" t="s">
        <v>5608</v>
      </c>
      <c r="I1996" s="447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56</v>
      </c>
      <c r="U1996" s="2" t="s">
        <v>56</v>
      </c>
      <c r="V1996" s="150" t="s">
        <v>92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2415</v>
      </c>
      <c r="C1997" s="40">
        <v>120</v>
      </c>
      <c r="D1997" s="38" t="s">
        <v>2413</v>
      </c>
      <c r="E1997" s="4" t="s">
        <v>1010</v>
      </c>
      <c r="F1997" s="4" t="s">
        <v>5142</v>
      </c>
      <c r="G1997" s="382" t="s">
        <v>5605</v>
      </c>
      <c r="H1997" s="457" t="s">
        <v>5608</v>
      </c>
      <c r="I1997" s="447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56</v>
      </c>
      <c r="U1997" s="2" t="s">
        <v>56</v>
      </c>
      <c r="V1997" s="150" t="s">
        <v>92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2418</v>
      </c>
      <c r="C1998" s="40">
        <v>508</v>
      </c>
      <c r="D1998" s="38" t="s">
        <v>2416</v>
      </c>
      <c r="E1998" s="4" t="s">
        <v>1010</v>
      </c>
      <c r="F1998" s="4" t="s">
        <v>5143</v>
      </c>
      <c r="G1998" s="382" t="s">
        <v>5605</v>
      </c>
      <c r="H1998" s="457" t="s">
        <v>5608</v>
      </c>
      <c r="I1998" s="447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72</v>
      </c>
      <c r="Q1998" s="396">
        <v>42.7</v>
      </c>
      <c r="R1998" s="396">
        <v>308</v>
      </c>
      <c r="S1998" s="396">
        <v>24.4</v>
      </c>
      <c r="T1998" s="2" t="s">
        <v>56</v>
      </c>
      <c r="U1998" s="2" t="s">
        <v>56</v>
      </c>
      <c r="V1998" s="150" t="s">
        <v>92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2428</v>
      </c>
      <c r="C1999" s="40">
        <v>192</v>
      </c>
      <c r="D1999" s="38" t="s">
        <v>2427</v>
      </c>
      <c r="E1999" s="4" t="s">
        <v>1010</v>
      </c>
      <c r="F1999" s="4" t="s">
        <v>5144</v>
      </c>
      <c r="G1999" s="382" t="s">
        <v>5605</v>
      </c>
      <c r="H1999" s="457" t="s">
        <v>5608</v>
      </c>
      <c r="I1999" s="447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56</v>
      </c>
      <c r="U1999" s="2" t="s">
        <v>56</v>
      </c>
      <c r="V1999" s="150" t="s">
        <v>92</v>
      </c>
      <c r="W1999" s="81">
        <v>105</v>
      </c>
      <c r="X1999" s="4"/>
      <c r="Y1999" s="392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2452</v>
      </c>
      <c r="C2000" s="40">
        <v>199</v>
      </c>
      <c r="D2000" s="38" t="s">
        <v>2451</v>
      </c>
      <c r="E2000" s="4" t="s">
        <v>1010</v>
      </c>
      <c r="F2000" s="4" t="s">
        <v>5145</v>
      </c>
      <c r="G2000" s="382" t="s">
        <v>5605</v>
      </c>
      <c r="H2000" s="457" t="s">
        <v>5608</v>
      </c>
      <c r="I2000" s="447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56</v>
      </c>
      <c r="U2000" s="2" t="s">
        <v>56</v>
      </c>
      <c r="V2000" s="150" t="s">
        <v>92</v>
      </c>
      <c r="W2000" s="81">
        <v>101</v>
      </c>
      <c r="X2000" s="4" t="s">
        <v>56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2453</v>
      </c>
      <c r="C2001" s="40">
        <v>206</v>
      </c>
      <c r="D2001" s="38" t="s">
        <v>2427</v>
      </c>
      <c r="E2001" s="4" t="s">
        <v>1010</v>
      </c>
      <c r="F2001" s="4" t="s">
        <v>5146</v>
      </c>
      <c r="G2001" s="382" t="s">
        <v>5605</v>
      </c>
      <c r="H2001" s="457" t="s">
        <v>5608</v>
      </c>
      <c r="I2001" s="447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56</v>
      </c>
      <c r="U2001" s="2" t="s">
        <v>56</v>
      </c>
      <c r="V2001" s="150" t="s">
        <v>92</v>
      </c>
      <c r="W2001" s="81">
        <v>104</v>
      </c>
      <c r="X2001" s="4"/>
      <c r="Y2001" s="392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2477</v>
      </c>
      <c r="C2002" s="40">
        <v>190</v>
      </c>
      <c r="D2002" s="38" t="s">
        <v>3119</v>
      </c>
      <c r="E2002" s="4" t="s">
        <v>1010</v>
      </c>
      <c r="F2002" s="4" t="s">
        <v>5147</v>
      </c>
      <c r="G2002" s="382" t="s">
        <v>5605</v>
      </c>
      <c r="H2002" s="457" t="s">
        <v>5608</v>
      </c>
      <c r="I2002" s="447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56</v>
      </c>
      <c r="U2002" s="2" t="s">
        <v>56</v>
      </c>
      <c r="V2002" s="150" t="s">
        <v>92</v>
      </c>
      <c r="W2002" s="81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2478</v>
      </c>
      <c r="C2003" s="40">
        <v>191</v>
      </c>
      <c r="D2003" s="38" t="s">
        <v>3119</v>
      </c>
      <c r="E2003" s="4" t="s">
        <v>1010</v>
      </c>
      <c r="F2003" s="4" t="s">
        <v>5148</v>
      </c>
      <c r="G2003" s="382" t="s">
        <v>5605</v>
      </c>
      <c r="H2003" s="457" t="s">
        <v>5608</v>
      </c>
      <c r="I2003" s="447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56</v>
      </c>
      <c r="U2003" s="2" t="s">
        <v>56</v>
      </c>
      <c r="V2003" s="150" t="s">
        <v>92</v>
      </c>
      <c r="W2003" s="39">
        <v>105</v>
      </c>
      <c r="X2003" s="4"/>
      <c r="Y2003" s="392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2479</v>
      </c>
      <c r="C2004" s="40">
        <v>237</v>
      </c>
      <c r="D2004" s="38" t="s">
        <v>2325</v>
      </c>
      <c r="E2004" s="392" t="s">
        <v>1010</v>
      </c>
      <c r="F2004" s="392" t="s">
        <v>5149</v>
      </c>
      <c r="G2004" s="382" t="s">
        <v>5605</v>
      </c>
      <c r="H2004" s="457" t="s">
        <v>5608</v>
      </c>
      <c r="I2004" s="447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56</v>
      </c>
      <c r="U2004" s="2" t="s">
        <v>56</v>
      </c>
      <c r="V2004" s="150" t="s">
        <v>92</v>
      </c>
      <c r="W2004" s="81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2486</v>
      </c>
      <c r="C2005" s="40">
        <v>2016</v>
      </c>
      <c r="D2005" s="38" t="s">
        <v>2483</v>
      </c>
      <c r="E2005" s="4" t="s">
        <v>1010</v>
      </c>
      <c r="F2005" s="4" t="s">
        <v>5150</v>
      </c>
      <c r="G2005" s="382" t="s">
        <v>5605</v>
      </c>
      <c r="H2005" s="457" t="s">
        <v>5608</v>
      </c>
      <c r="I2005" s="447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56</v>
      </c>
      <c r="U2005" s="2" t="s">
        <v>56</v>
      </c>
      <c r="V2005" s="150" t="s">
        <v>92</v>
      </c>
      <c r="W2005" s="39">
        <v>105</v>
      </c>
      <c r="X2005" s="4"/>
      <c r="Y2005" s="392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2487</v>
      </c>
      <c r="C2006" s="40">
        <v>2030</v>
      </c>
      <c r="D2006" s="38" t="s">
        <v>2483</v>
      </c>
      <c r="E2006" s="392" t="s">
        <v>1010</v>
      </c>
      <c r="F2006" s="392" t="s">
        <v>5151</v>
      </c>
      <c r="G2006" s="382" t="s">
        <v>5605</v>
      </c>
      <c r="H2006" s="457" t="s">
        <v>5608</v>
      </c>
      <c r="I2006" s="447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56</v>
      </c>
      <c r="U2006" s="2" t="s">
        <v>56</v>
      </c>
      <c r="V2006" s="150" t="s">
        <v>92</v>
      </c>
      <c r="W2006" s="81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2494</v>
      </c>
      <c r="C2007" s="40">
        <v>2018</v>
      </c>
      <c r="D2007" s="38" t="s">
        <v>2493</v>
      </c>
      <c r="E2007" s="4" t="s">
        <v>1010</v>
      </c>
      <c r="F2007" s="4" t="s">
        <v>5152</v>
      </c>
      <c r="G2007" s="382" t="s">
        <v>5605</v>
      </c>
      <c r="H2007" s="457" t="s">
        <v>5608</v>
      </c>
      <c r="I2007" s="447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56</v>
      </c>
      <c r="U2007" s="2" t="s">
        <v>56</v>
      </c>
      <c r="V2007" s="150" t="s">
        <v>92</v>
      </c>
      <c r="W2007" s="39">
        <v>105</v>
      </c>
      <c r="X2007" s="4"/>
      <c r="Y2007" s="392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2499</v>
      </c>
      <c r="C2008" s="40">
        <v>2023</v>
      </c>
      <c r="D2008" s="38" t="s">
        <v>2497</v>
      </c>
      <c r="E2008" s="4" t="s">
        <v>1010</v>
      </c>
      <c r="F2008" s="4" t="s">
        <v>5153</v>
      </c>
      <c r="G2008" s="382" t="s">
        <v>5605</v>
      </c>
      <c r="H2008" s="457" t="s">
        <v>5608</v>
      </c>
      <c r="I2008" s="447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56</v>
      </c>
      <c r="U2008" s="2" t="s">
        <v>1894</v>
      </c>
      <c r="V2008" s="150" t="s">
        <v>92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393"/>
      <c r="AK2008" s="393"/>
    </row>
    <row r="2009" spans="1:37" ht="14.4" thickBot="1" x14ac:dyDescent="0.35">
      <c r="A2009" s="15">
        <v>2008</v>
      </c>
      <c r="B2009" s="40" t="s">
        <v>2561</v>
      </c>
      <c r="C2009" s="40">
        <v>129</v>
      </c>
      <c r="D2009" s="38" t="s">
        <v>2558</v>
      </c>
      <c r="E2009" s="4" t="s">
        <v>1010</v>
      </c>
      <c r="F2009" s="4" t="s">
        <v>5154</v>
      </c>
      <c r="G2009" s="382" t="s">
        <v>5605</v>
      </c>
      <c r="H2009" s="457" t="s">
        <v>5608</v>
      </c>
      <c r="I2009" s="447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56</v>
      </c>
      <c r="U2009" s="2" t="s">
        <v>56</v>
      </c>
      <c r="V2009" s="150" t="s">
        <v>92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2627</v>
      </c>
      <c r="E2010" s="419" t="s">
        <v>457</v>
      </c>
      <c r="F2010" s="419" t="s">
        <v>5155</v>
      </c>
      <c r="G2010" s="382" t="s">
        <v>5605</v>
      </c>
      <c r="H2010" s="457" t="s">
        <v>5608</v>
      </c>
      <c r="I2010" s="447"/>
      <c r="J2010" s="43" t="s">
        <v>3120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56</v>
      </c>
      <c r="U2010" s="2" t="s">
        <v>56</v>
      </c>
      <c r="V2010" s="150" t="s">
        <v>92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2628</v>
      </c>
      <c r="C2011" s="40">
        <v>1659</v>
      </c>
      <c r="D2011" s="38" t="s">
        <v>2627</v>
      </c>
      <c r="E2011" s="419" t="s">
        <v>457</v>
      </c>
      <c r="F2011" s="419" t="s">
        <v>5156</v>
      </c>
      <c r="G2011" s="382" t="s">
        <v>5605</v>
      </c>
      <c r="H2011" s="457" t="s">
        <v>5608</v>
      </c>
      <c r="I2011" s="447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56</v>
      </c>
      <c r="U2011" s="2" t="s">
        <v>56</v>
      </c>
      <c r="V2011" s="150" t="s">
        <v>92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2651</v>
      </c>
      <c r="C2012" s="40">
        <v>173</v>
      </c>
      <c r="D2012" s="38" t="s">
        <v>2642</v>
      </c>
      <c r="E2012" s="4" t="s">
        <v>1010</v>
      </c>
      <c r="F2012" s="4" t="s">
        <v>5157</v>
      </c>
      <c r="G2012" s="382" t="s">
        <v>5605</v>
      </c>
      <c r="H2012" s="457" t="s">
        <v>5608</v>
      </c>
      <c r="I2012" s="447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66</v>
      </c>
      <c r="Q2012" s="396">
        <v>24.3</v>
      </c>
      <c r="R2012" s="396">
        <v>299</v>
      </c>
      <c r="S2012" s="396">
        <v>145</v>
      </c>
      <c r="T2012" s="2" t="s">
        <v>56</v>
      </c>
      <c r="U2012" s="2" t="s">
        <v>56</v>
      </c>
      <c r="V2012" s="150" t="s">
        <v>92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2670</v>
      </c>
      <c r="C2013" s="40">
        <v>187</v>
      </c>
      <c r="D2013" s="38" t="s">
        <v>3121</v>
      </c>
      <c r="E2013" s="4" t="s">
        <v>1010</v>
      </c>
      <c r="F2013" s="4" t="s">
        <v>5158</v>
      </c>
      <c r="G2013" s="382" t="s">
        <v>5605</v>
      </c>
      <c r="H2013" s="457" t="s">
        <v>5608</v>
      </c>
      <c r="I2013" s="447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56</v>
      </c>
      <c r="U2013" s="2" t="s">
        <v>56</v>
      </c>
      <c r="V2013" s="150" t="s">
        <v>92</v>
      </c>
      <c r="W2013" s="81">
        <v>103</v>
      </c>
      <c r="X2013" s="4"/>
      <c r="Y2013" s="392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2672</v>
      </c>
      <c r="C2014" s="40">
        <v>383</v>
      </c>
      <c r="D2014" s="38" t="s">
        <v>2668</v>
      </c>
      <c r="E2014" s="4" t="s">
        <v>1010</v>
      </c>
      <c r="F2014" s="4" t="s">
        <v>5159</v>
      </c>
      <c r="G2014" s="382" t="s">
        <v>5605</v>
      </c>
      <c r="H2014" s="457" t="s">
        <v>5608</v>
      </c>
      <c r="I2014" s="447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56</v>
      </c>
      <c r="U2014" s="2" t="s">
        <v>56</v>
      </c>
      <c r="V2014" s="150" t="s">
        <v>92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2694</v>
      </c>
      <c r="C2015" s="40">
        <v>182</v>
      </c>
      <c r="D2015" s="38" t="s">
        <v>2678</v>
      </c>
      <c r="E2015" s="4" t="s">
        <v>1010</v>
      </c>
      <c r="F2015" s="4" t="s">
        <v>5160</v>
      </c>
      <c r="G2015" s="382" t="s">
        <v>5605</v>
      </c>
      <c r="H2015" s="457" t="s">
        <v>5608</v>
      </c>
      <c r="I2015" s="447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56</v>
      </c>
      <c r="U2015" s="2" t="s">
        <v>56</v>
      </c>
      <c r="V2015" s="150" t="s">
        <v>92</v>
      </c>
      <c r="W2015" s="81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2679</v>
      </c>
      <c r="C2016" s="40">
        <v>181</v>
      </c>
      <c r="D2016" s="38" t="s">
        <v>3122</v>
      </c>
      <c r="E2016" s="4" t="s">
        <v>1010</v>
      </c>
      <c r="F2016" s="4" t="s">
        <v>5161</v>
      </c>
      <c r="G2016" s="382" t="s">
        <v>5605</v>
      </c>
      <c r="H2016" s="457" t="s">
        <v>5608</v>
      </c>
      <c r="I2016" s="447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56</v>
      </c>
      <c r="U2016" s="2" t="s">
        <v>56</v>
      </c>
      <c r="V2016" s="150" t="s">
        <v>92</v>
      </c>
      <c r="W2016" s="81">
        <v>103</v>
      </c>
      <c r="X2016" s="4"/>
      <c r="Y2016" s="392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2736</v>
      </c>
      <c r="C2017" s="40">
        <v>1196</v>
      </c>
      <c r="D2017" s="38" t="s">
        <v>2735</v>
      </c>
      <c r="E2017" s="4" t="s">
        <v>2737</v>
      </c>
      <c r="F2017" s="4" t="s">
        <v>5162</v>
      </c>
      <c r="G2017" s="382" t="s">
        <v>5605</v>
      </c>
      <c r="H2017" s="457" t="s">
        <v>5608</v>
      </c>
      <c r="I2017" s="447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331</v>
      </c>
      <c r="Q2017" s="396">
        <v>33.1</v>
      </c>
      <c r="R2017" s="396">
        <v>454</v>
      </c>
      <c r="S2017" s="396">
        <v>85.4</v>
      </c>
      <c r="T2017" s="2" t="s">
        <v>56</v>
      </c>
      <c r="U2017" s="2" t="s">
        <v>56</v>
      </c>
      <c r="V2017" s="150" t="s">
        <v>92</v>
      </c>
      <c r="W2017" s="81"/>
      <c r="X2017" s="392"/>
      <c r="Y2017" s="392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2743</v>
      </c>
      <c r="C2018" s="40">
        <v>171</v>
      </c>
      <c r="D2018" s="38" t="s">
        <v>2740</v>
      </c>
      <c r="E2018" s="4" t="s">
        <v>1010</v>
      </c>
      <c r="F2018" s="4" t="s">
        <v>5163</v>
      </c>
      <c r="G2018" s="382" t="s">
        <v>5605</v>
      </c>
      <c r="H2018" s="457" t="s">
        <v>5608</v>
      </c>
      <c r="I2018" s="447"/>
      <c r="J2018" s="43">
        <v>197304.44357900001</v>
      </c>
      <c r="K2018" s="43">
        <v>2666562.36619</v>
      </c>
      <c r="L2018" s="396" t="s">
        <v>2744</v>
      </c>
      <c r="M2018" s="397">
        <v>10.5</v>
      </c>
      <c r="N2018" s="396">
        <v>79.8</v>
      </c>
      <c r="O2018" s="396">
        <v>91.3</v>
      </c>
      <c r="P2018" s="396" t="s">
        <v>37</v>
      </c>
      <c r="Q2018" s="396">
        <v>22.5</v>
      </c>
      <c r="R2018" s="396">
        <v>288</v>
      </c>
      <c r="S2018" s="396">
        <v>146</v>
      </c>
      <c r="T2018" s="2" t="s">
        <v>56</v>
      </c>
      <c r="U2018" s="2" t="s">
        <v>56</v>
      </c>
      <c r="V2018" s="150" t="s">
        <v>92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2749</v>
      </c>
      <c r="C2019" s="40">
        <v>113</v>
      </c>
      <c r="D2019" s="38" t="s">
        <v>2746</v>
      </c>
      <c r="E2019" s="4" t="s">
        <v>1010</v>
      </c>
      <c r="F2019" s="4" t="s">
        <v>5164</v>
      </c>
      <c r="G2019" s="382" t="s">
        <v>5605</v>
      </c>
      <c r="H2019" s="457" t="s">
        <v>5608</v>
      </c>
      <c r="I2019" s="447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56</v>
      </c>
      <c r="U2019" s="2" t="s">
        <v>56</v>
      </c>
      <c r="V2019" s="150" t="s">
        <v>92</v>
      </c>
      <c r="W2019" s="81"/>
      <c r="X2019" s="4"/>
      <c r="Y2019" s="392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2752</v>
      </c>
      <c r="C2020" s="40">
        <v>167</v>
      </c>
      <c r="D2020" s="38" t="s">
        <v>2746</v>
      </c>
      <c r="E2020" s="4" t="s">
        <v>1010</v>
      </c>
      <c r="F2020" s="4" t="s">
        <v>5165</v>
      </c>
      <c r="G2020" s="382" t="s">
        <v>5605</v>
      </c>
      <c r="H2020" s="457" t="s">
        <v>5608</v>
      </c>
      <c r="I2020" s="447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236</v>
      </c>
      <c r="Q2020" s="396">
        <v>27.6</v>
      </c>
      <c r="R2020" s="396">
        <v>268</v>
      </c>
      <c r="S2020" s="396">
        <v>107</v>
      </c>
      <c r="T2020" s="2" t="s">
        <v>56</v>
      </c>
      <c r="U2020" s="2" t="s">
        <v>56</v>
      </c>
      <c r="V2020" s="150" t="s">
        <v>92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2761</v>
      </c>
      <c r="C2021" s="40">
        <v>657</v>
      </c>
      <c r="D2021" s="38" t="s">
        <v>2760</v>
      </c>
      <c r="E2021" s="4" t="s">
        <v>1010</v>
      </c>
      <c r="F2021" s="4" t="s">
        <v>5166</v>
      </c>
      <c r="G2021" s="382" t="s">
        <v>5605</v>
      </c>
      <c r="H2021" s="457" t="s">
        <v>5608</v>
      </c>
      <c r="I2021" s="447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56</v>
      </c>
      <c r="U2021" s="2" t="s">
        <v>56</v>
      </c>
      <c r="V2021" s="150" t="s">
        <v>92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2814</v>
      </c>
      <c r="C2022" s="40">
        <v>112</v>
      </c>
      <c r="D2022" s="38" t="s">
        <v>2808</v>
      </c>
      <c r="E2022" s="4" t="s">
        <v>1010</v>
      </c>
      <c r="F2022" s="4" t="s">
        <v>5167</v>
      </c>
      <c r="G2022" s="382" t="s">
        <v>5605</v>
      </c>
      <c r="H2022" s="457" t="s">
        <v>5608</v>
      </c>
      <c r="I2022" s="447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56</v>
      </c>
      <c r="U2022" s="2" t="s">
        <v>56</v>
      </c>
      <c r="V2022" s="150" t="s">
        <v>92</v>
      </c>
      <c r="W2022" s="81"/>
      <c r="X2022" s="4"/>
      <c r="Y2022" s="392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2823</v>
      </c>
      <c r="C2023" s="40">
        <v>124</v>
      </c>
      <c r="D2023" s="38" t="s">
        <v>3123</v>
      </c>
      <c r="E2023" s="4" t="s">
        <v>1010</v>
      </c>
      <c r="F2023" s="4" t="s">
        <v>5168</v>
      </c>
      <c r="G2023" s="382" t="s">
        <v>5605</v>
      </c>
      <c r="H2023" s="457" t="s">
        <v>5608</v>
      </c>
      <c r="I2023" s="447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56</v>
      </c>
      <c r="U2023" s="2" t="s">
        <v>56</v>
      </c>
      <c r="V2023" s="150" t="s">
        <v>92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2855</v>
      </c>
      <c r="C2024" s="40">
        <v>1664</v>
      </c>
      <c r="D2024" s="38" t="s">
        <v>2854</v>
      </c>
      <c r="E2024" s="419" t="s">
        <v>457</v>
      </c>
      <c r="F2024" s="419" t="s">
        <v>5169</v>
      </c>
      <c r="G2024" s="382" t="s">
        <v>5605</v>
      </c>
      <c r="H2024" s="457" t="s">
        <v>5608</v>
      </c>
      <c r="I2024" s="447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56</v>
      </c>
      <c r="U2024" s="2" t="s">
        <v>56</v>
      </c>
      <c r="V2024" s="150" t="s">
        <v>92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2854</v>
      </c>
      <c r="E2025" s="419" t="s">
        <v>457</v>
      </c>
      <c r="F2025" s="419" t="s">
        <v>5170</v>
      </c>
      <c r="G2025" s="382" t="s">
        <v>5605</v>
      </c>
      <c r="H2025" s="457" t="s">
        <v>5608</v>
      </c>
      <c r="I2025" s="447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56</v>
      </c>
      <c r="U2025" s="2" t="str">
        <f>U2024</f>
        <v>管制</v>
      </c>
      <c r="V2025" s="150" t="s">
        <v>92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2854</v>
      </c>
      <c r="E2026" s="419" t="s">
        <v>457</v>
      </c>
      <c r="F2026" s="419" t="s">
        <v>5171</v>
      </c>
      <c r="G2026" s="382" t="s">
        <v>5605</v>
      </c>
      <c r="H2026" s="457" t="s">
        <v>5608</v>
      </c>
      <c r="I2026" s="447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56</v>
      </c>
      <c r="U2026" s="2" t="str">
        <f>U2024</f>
        <v>管制</v>
      </c>
      <c r="V2026" s="150" t="s">
        <v>92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2858</v>
      </c>
      <c r="C2027" s="40">
        <v>1429</v>
      </c>
      <c r="D2027" s="38" t="s">
        <v>2857</v>
      </c>
      <c r="E2027" s="4" t="s">
        <v>300</v>
      </c>
      <c r="F2027" s="4" t="s">
        <v>5172</v>
      </c>
      <c r="G2027" s="382" t="s">
        <v>5605</v>
      </c>
      <c r="H2027" s="150" t="s">
        <v>5608</v>
      </c>
      <c r="I2027" s="447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56</v>
      </c>
      <c r="U2027" s="2" t="s">
        <v>56</v>
      </c>
      <c r="V2027" s="150" t="s">
        <v>92</v>
      </c>
      <c r="W2027" s="39">
        <v>105</v>
      </c>
      <c r="X2027" s="4"/>
      <c r="Y2027" s="392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267</v>
      </c>
      <c r="C2028" s="40">
        <v>1441</v>
      </c>
      <c r="D2028" s="38" t="s">
        <v>266</v>
      </c>
      <c r="E2028" s="4" t="s">
        <v>246</v>
      </c>
      <c r="F2028" s="4" t="s">
        <v>5173</v>
      </c>
      <c r="G2028" s="382" t="s">
        <v>5605</v>
      </c>
      <c r="H2028" s="150" t="s">
        <v>5608</v>
      </c>
      <c r="I2028" s="447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56</v>
      </c>
      <c r="U2028" s="2" t="s">
        <v>56</v>
      </c>
      <c r="V2028" s="150" t="s">
        <v>92</v>
      </c>
      <c r="W2028" s="38">
        <v>108</v>
      </c>
      <c r="X2028" s="4"/>
      <c r="Y2028" s="4"/>
      <c r="Z2028" s="4"/>
      <c r="AA2028" s="4"/>
      <c r="AB2028" s="4"/>
      <c r="AC2028" s="40" t="s">
        <v>2939</v>
      </c>
      <c r="AD2028" s="4"/>
      <c r="AE2028" s="40" t="s">
        <v>2905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126</v>
      </c>
      <c r="C2029" s="83">
        <v>1086</v>
      </c>
      <c r="D2029" s="113" t="s">
        <v>123</v>
      </c>
      <c r="E2029" s="131" t="s">
        <v>48</v>
      </c>
      <c r="F2029" s="131" t="s">
        <v>5174</v>
      </c>
      <c r="G2029" s="382" t="s">
        <v>5605</v>
      </c>
      <c r="H2029" s="150" t="s">
        <v>5608</v>
      </c>
      <c r="I2029" s="447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56</v>
      </c>
      <c r="U2029" s="85" t="s">
        <v>56</v>
      </c>
      <c r="V2029" s="150" t="s">
        <v>92</v>
      </c>
      <c r="W2029" s="113">
        <v>109</v>
      </c>
      <c r="X2029" s="131"/>
      <c r="Y2029" s="131"/>
      <c r="Z2029" s="131"/>
      <c r="AA2029" s="131"/>
      <c r="AB2029" s="131"/>
      <c r="AC2029" s="83" t="s">
        <v>2939</v>
      </c>
      <c r="AD2029" s="131"/>
      <c r="AE2029" s="131"/>
      <c r="AF2029" s="83" t="s">
        <v>2905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1321</v>
      </c>
      <c r="C2030" s="29">
        <v>1222</v>
      </c>
      <c r="D2030" s="27" t="s">
        <v>1319</v>
      </c>
      <c r="E2030" s="29" t="s">
        <v>2929</v>
      </c>
      <c r="F2030" s="29" t="s">
        <v>5175</v>
      </c>
      <c r="G2030" s="382" t="s">
        <v>5605</v>
      </c>
      <c r="H2030" s="150" t="s">
        <v>5608</v>
      </c>
      <c r="I2030" s="447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56</v>
      </c>
      <c r="U2030" s="30" t="s">
        <v>56</v>
      </c>
      <c r="V2030" s="150" t="s">
        <v>1193</v>
      </c>
      <c r="W2030" s="28">
        <v>108</v>
      </c>
      <c r="X2030" s="29"/>
      <c r="Y2030" s="102"/>
      <c r="Z2030" s="29" t="s">
        <v>2939</v>
      </c>
      <c r="AA2030" s="29"/>
      <c r="AB2030" s="29"/>
      <c r="AC2030" s="29"/>
      <c r="AD2030" s="29"/>
      <c r="AE2030" s="29" t="s">
        <v>2943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1322</v>
      </c>
      <c r="C2031" s="40">
        <v>1223</v>
      </c>
      <c r="D2031" s="38" t="s">
        <v>1319</v>
      </c>
      <c r="E2031" s="40" t="s">
        <v>2929</v>
      </c>
      <c r="F2031" s="40" t="s">
        <v>5176</v>
      </c>
      <c r="G2031" s="382" t="s">
        <v>5605</v>
      </c>
      <c r="H2031" s="150" t="s">
        <v>5608</v>
      </c>
      <c r="I2031" s="447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56</v>
      </c>
      <c r="U2031" s="2" t="s">
        <v>1697</v>
      </c>
      <c r="V2031" s="150" t="s">
        <v>1193</v>
      </c>
      <c r="W2031" s="39">
        <v>113</v>
      </c>
      <c r="X2031" s="40"/>
      <c r="Y2031" s="106"/>
      <c r="Z2031" s="40" t="s">
        <v>2939</v>
      </c>
      <c r="AA2031" s="40"/>
      <c r="AB2031" s="40"/>
      <c r="AC2031" s="40"/>
      <c r="AD2031" s="40"/>
      <c r="AE2031" s="40" t="s">
        <v>2939</v>
      </c>
      <c r="AF2031" s="40"/>
      <c r="AG2031" s="40"/>
      <c r="AH2031" s="40"/>
      <c r="AI2031" s="40"/>
      <c r="AJ2031" s="40" t="s">
        <v>2943</v>
      </c>
      <c r="AK2031" s="51"/>
    </row>
    <row r="2032" spans="1:37" ht="14.4" thickBot="1" x14ac:dyDescent="0.35">
      <c r="A2032" s="15">
        <v>2031</v>
      </c>
      <c r="B2032" s="83" t="s">
        <v>1323</v>
      </c>
      <c r="C2032" s="83">
        <v>1224</v>
      </c>
      <c r="D2032" s="113" t="s">
        <v>1319</v>
      </c>
      <c r="E2032" s="83" t="s">
        <v>2929</v>
      </c>
      <c r="F2032" s="83" t="s">
        <v>5177</v>
      </c>
      <c r="G2032" s="382" t="s">
        <v>5605</v>
      </c>
      <c r="H2032" s="150" t="s">
        <v>5608</v>
      </c>
      <c r="I2032" s="447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56</v>
      </c>
      <c r="U2032" s="85" t="str">
        <f>U2031</f>
        <v>管制</v>
      </c>
      <c r="V2032" s="150" t="s">
        <v>1193</v>
      </c>
      <c r="W2032" s="86">
        <v>113</v>
      </c>
      <c r="X2032" s="83"/>
      <c r="Y2032" s="137"/>
      <c r="Z2032" s="83" t="s">
        <v>2939</v>
      </c>
      <c r="AA2032" s="83"/>
      <c r="AB2032" s="83"/>
      <c r="AC2032" s="83"/>
      <c r="AD2032" s="83"/>
      <c r="AE2032" s="83" t="s">
        <v>2939</v>
      </c>
      <c r="AF2032" s="83"/>
      <c r="AG2032" s="83"/>
      <c r="AH2032" s="83"/>
      <c r="AI2032" s="83"/>
      <c r="AJ2032" s="40" t="s">
        <v>2943</v>
      </c>
      <c r="AK2032" s="99"/>
    </row>
    <row r="2033" spans="1:37" ht="14.4" thickBot="1" x14ac:dyDescent="0.35">
      <c r="A2033" s="15">
        <v>2032</v>
      </c>
      <c r="B2033" s="40" t="s">
        <v>1679</v>
      </c>
      <c r="C2033" s="40">
        <v>567</v>
      </c>
      <c r="D2033" s="38" t="s">
        <v>3124</v>
      </c>
      <c r="E2033" s="40" t="s">
        <v>2963</v>
      </c>
      <c r="F2033" s="40" t="s">
        <v>5178</v>
      </c>
      <c r="G2033" s="382" t="s">
        <v>5605</v>
      </c>
      <c r="H2033" s="150" t="s">
        <v>5608</v>
      </c>
      <c r="I2033" s="447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56</v>
      </c>
      <c r="U2033" s="2" t="s">
        <v>56</v>
      </c>
      <c r="V2033" s="150" t="s">
        <v>92</v>
      </c>
      <c r="W2033" s="39">
        <v>109</v>
      </c>
      <c r="X2033" s="40"/>
      <c r="Y2033" s="40"/>
      <c r="Z2033" s="40"/>
      <c r="AA2033" s="40" t="s">
        <v>2939</v>
      </c>
      <c r="AB2033" s="40"/>
      <c r="AC2033" s="40"/>
      <c r="AD2033" s="40"/>
      <c r="AE2033" s="40"/>
      <c r="AF2033" s="40" t="s">
        <v>2943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1680</v>
      </c>
      <c r="C2034" s="40">
        <v>565</v>
      </c>
      <c r="D2034" s="38" t="s">
        <v>1675</v>
      </c>
      <c r="E2034" s="40" t="s">
        <v>2963</v>
      </c>
      <c r="F2034" s="40" t="s">
        <v>5179</v>
      </c>
      <c r="G2034" s="382" t="s">
        <v>5605</v>
      </c>
      <c r="H2034" s="150" t="s">
        <v>5608</v>
      </c>
      <c r="I2034" s="447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56</v>
      </c>
      <c r="U2034" s="2" t="s">
        <v>56</v>
      </c>
      <c r="V2034" s="150" t="s">
        <v>92</v>
      </c>
      <c r="W2034" s="39">
        <v>108</v>
      </c>
      <c r="X2034" s="40"/>
      <c r="Y2034" s="40"/>
      <c r="Z2034" s="40"/>
      <c r="AA2034" s="40" t="s">
        <v>2939</v>
      </c>
      <c r="AB2034" s="40"/>
      <c r="AC2034" s="40"/>
      <c r="AD2034" s="40"/>
      <c r="AE2034" s="40" t="s">
        <v>2939</v>
      </c>
      <c r="AF2034" s="40" t="s">
        <v>2943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1681</v>
      </c>
      <c r="C2035" s="83">
        <v>566</v>
      </c>
      <c r="D2035" s="113" t="s">
        <v>1675</v>
      </c>
      <c r="E2035" s="83" t="s">
        <v>2963</v>
      </c>
      <c r="F2035" s="83" t="s">
        <v>5180</v>
      </c>
      <c r="G2035" s="382" t="s">
        <v>5605</v>
      </c>
      <c r="H2035" s="340" t="s">
        <v>5608</v>
      </c>
      <c r="I2035" s="447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56</v>
      </c>
      <c r="U2035" s="85" t="s">
        <v>56</v>
      </c>
      <c r="V2035" s="150" t="s">
        <v>92</v>
      </c>
      <c r="W2035" s="86">
        <v>109</v>
      </c>
      <c r="X2035" s="83"/>
      <c r="Y2035" s="83"/>
      <c r="Z2035" s="83"/>
      <c r="AA2035" s="83" t="s">
        <v>2939</v>
      </c>
      <c r="AB2035" s="83"/>
      <c r="AC2035" s="83"/>
      <c r="AD2035" s="83"/>
      <c r="AE2035" s="83" t="s">
        <v>2939</v>
      </c>
      <c r="AF2035" s="83" t="s">
        <v>2943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1727</v>
      </c>
      <c r="C2036" s="29">
        <v>2085</v>
      </c>
      <c r="D2036" s="27" t="s">
        <v>1725</v>
      </c>
      <c r="E2036" s="29" t="s">
        <v>2963</v>
      </c>
      <c r="F2036" s="29" t="s">
        <v>5181</v>
      </c>
      <c r="G2036" s="382" t="s">
        <v>5605</v>
      </c>
      <c r="H2036" s="340" t="s">
        <v>5608</v>
      </c>
      <c r="I2036" s="447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56</v>
      </c>
      <c r="U2036" s="30" t="s">
        <v>56</v>
      </c>
      <c r="V2036" s="150" t="s">
        <v>92</v>
      </c>
      <c r="W2036" s="28">
        <v>109</v>
      </c>
      <c r="X2036" s="29"/>
      <c r="Y2036" s="102"/>
      <c r="Z2036" s="29"/>
      <c r="AA2036" s="29"/>
      <c r="AB2036" s="29"/>
      <c r="AC2036" s="29" t="s">
        <v>2939</v>
      </c>
      <c r="AD2036" s="29"/>
      <c r="AE2036" s="29"/>
      <c r="AF2036" s="29" t="s">
        <v>2943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1912</v>
      </c>
      <c r="C2037" s="40">
        <v>1721</v>
      </c>
      <c r="D2037" s="38" t="s">
        <v>1910</v>
      </c>
      <c r="E2037" s="40" t="s">
        <v>2929</v>
      </c>
      <c r="F2037" s="40" t="s">
        <v>5182</v>
      </c>
      <c r="G2037" s="382" t="s">
        <v>5605</v>
      </c>
      <c r="H2037" s="340" t="s">
        <v>5608</v>
      </c>
      <c r="I2037" s="447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56</v>
      </c>
      <c r="U2037" s="2" t="s">
        <v>56</v>
      </c>
      <c r="V2037" s="150" t="s">
        <v>92</v>
      </c>
      <c r="W2037" s="39">
        <v>109</v>
      </c>
      <c r="X2037" s="40"/>
      <c r="Y2037" s="40"/>
      <c r="Z2037" s="40" t="s">
        <v>2898</v>
      </c>
      <c r="AA2037" s="40"/>
      <c r="AB2037" s="40"/>
      <c r="AC2037" s="40"/>
      <c r="AD2037" s="40"/>
      <c r="AE2037" s="40"/>
      <c r="AF2037" s="40" t="s">
        <v>2943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1917</v>
      </c>
      <c r="C2038" s="40">
        <v>2511</v>
      </c>
      <c r="D2038" s="40" t="s">
        <v>1916</v>
      </c>
      <c r="E2038" s="40" t="s">
        <v>2929</v>
      </c>
      <c r="F2038" s="40" t="s">
        <v>5183</v>
      </c>
      <c r="G2038" s="382" t="s">
        <v>5605</v>
      </c>
      <c r="H2038" s="340" t="s">
        <v>5608</v>
      </c>
      <c r="I2038" s="447"/>
      <c r="J2038" s="43">
        <v>196043</v>
      </c>
      <c r="K2038" s="43" t="s">
        <v>1918</v>
      </c>
      <c r="L2038" s="43"/>
      <c r="M2038" s="44"/>
      <c r="N2038" s="43">
        <v>409</v>
      </c>
      <c r="O2038" s="43">
        <v>176</v>
      </c>
      <c r="P2038" s="43" t="s">
        <v>102</v>
      </c>
      <c r="Q2038" s="43">
        <v>48.1</v>
      </c>
      <c r="R2038" s="43">
        <v>623</v>
      </c>
      <c r="S2038" s="43">
        <v>220</v>
      </c>
      <c r="T2038" s="2" t="s">
        <v>56</v>
      </c>
      <c r="U2038" s="2" t="s">
        <v>56</v>
      </c>
      <c r="V2038" s="150" t="s">
        <v>92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2943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1919</v>
      </c>
      <c r="C2039" s="83">
        <v>2512</v>
      </c>
      <c r="D2039" s="83" t="s">
        <v>1916</v>
      </c>
      <c r="E2039" s="83" t="s">
        <v>2929</v>
      </c>
      <c r="F2039" s="83" t="s">
        <v>5184</v>
      </c>
      <c r="G2039" s="382" t="s">
        <v>5605</v>
      </c>
      <c r="H2039" s="340" t="s">
        <v>5608</v>
      </c>
      <c r="I2039" s="447"/>
      <c r="J2039" s="88">
        <v>196043</v>
      </c>
      <c r="K2039" s="88" t="s">
        <v>1918</v>
      </c>
      <c r="L2039" s="88"/>
      <c r="M2039" s="89"/>
      <c r="N2039" s="88">
        <v>409</v>
      </c>
      <c r="O2039" s="88">
        <v>176</v>
      </c>
      <c r="P2039" s="88" t="s">
        <v>102</v>
      </c>
      <c r="Q2039" s="88">
        <v>48.1</v>
      </c>
      <c r="R2039" s="88">
        <v>623</v>
      </c>
      <c r="S2039" s="88">
        <v>220</v>
      </c>
      <c r="T2039" s="2" t="s">
        <v>56</v>
      </c>
      <c r="U2039" s="85" t="s">
        <v>56</v>
      </c>
      <c r="V2039" s="150" t="s">
        <v>92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2943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1964</v>
      </c>
      <c r="C2040" s="29">
        <v>1488</v>
      </c>
      <c r="D2040" s="27" t="s">
        <v>1962</v>
      </c>
      <c r="E2040" s="29" t="s">
        <v>2929</v>
      </c>
      <c r="F2040" s="29" t="s">
        <v>5185</v>
      </c>
      <c r="G2040" s="382" t="s">
        <v>5605</v>
      </c>
      <c r="H2040" s="340" t="s">
        <v>5608</v>
      </c>
      <c r="I2040" s="447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2991</v>
      </c>
      <c r="Q2040" s="33">
        <v>43.7</v>
      </c>
      <c r="R2040" s="33">
        <v>475</v>
      </c>
      <c r="S2040" s="33">
        <v>140</v>
      </c>
      <c r="T2040" s="2" t="s">
        <v>56</v>
      </c>
      <c r="U2040" s="30" t="s">
        <v>1697</v>
      </c>
      <c r="V2040" s="150" t="s">
        <v>92</v>
      </c>
      <c r="W2040" s="28">
        <v>113</v>
      </c>
      <c r="X2040" s="29"/>
      <c r="Y2040" s="29"/>
      <c r="Z2040" s="29"/>
      <c r="AA2040" s="29" t="s">
        <v>2939</v>
      </c>
      <c r="AB2040" s="29"/>
      <c r="AC2040" s="29"/>
      <c r="AD2040" s="29"/>
      <c r="AE2040" s="29"/>
      <c r="AF2040" s="29" t="s">
        <v>2939</v>
      </c>
      <c r="AG2040" s="29" t="s">
        <v>2939</v>
      </c>
      <c r="AH2040" s="29"/>
      <c r="AI2040" s="29"/>
      <c r="AJ2040" s="40" t="s">
        <v>2943</v>
      </c>
      <c r="AK2040" s="51"/>
    </row>
    <row r="2041" spans="1:37" ht="14.4" thickBot="1" x14ac:dyDescent="0.35">
      <c r="A2041" s="15">
        <v>2040</v>
      </c>
      <c r="B2041" s="40" t="s">
        <v>1966</v>
      </c>
      <c r="C2041" s="40">
        <v>1499</v>
      </c>
      <c r="D2041" s="38" t="s">
        <v>1962</v>
      </c>
      <c r="E2041" s="40" t="s">
        <v>2929</v>
      </c>
      <c r="F2041" s="40" t="s">
        <v>5186</v>
      </c>
      <c r="G2041" s="382" t="s">
        <v>5605</v>
      </c>
      <c r="H2041" s="340" t="s">
        <v>5608</v>
      </c>
      <c r="I2041" s="447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56</v>
      </c>
      <c r="U2041" s="2" t="s">
        <v>56</v>
      </c>
      <c r="V2041" s="150" t="s">
        <v>92</v>
      </c>
      <c r="W2041" s="39">
        <v>109</v>
      </c>
      <c r="X2041" s="40"/>
      <c r="Y2041" s="40"/>
      <c r="Z2041" s="40" t="s">
        <v>2939</v>
      </c>
      <c r="AA2041" s="40"/>
      <c r="AB2041" s="40"/>
      <c r="AC2041" s="40" t="s">
        <v>2939</v>
      </c>
      <c r="AD2041" s="40"/>
      <c r="AE2041" s="40"/>
      <c r="AF2041" s="40" t="s">
        <v>2943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2061</v>
      </c>
      <c r="C2042" s="40">
        <v>2041</v>
      </c>
      <c r="D2042" s="38" t="s">
        <v>2055</v>
      </c>
      <c r="E2042" s="40" t="s">
        <v>2963</v>
      </c>
      <c r="F2042" s="40" t="s">
        <v>5187</v>
      </c>
      <c r="G2042" s="382" t="s">
        <v>5605</v>
      </c>
      <c r="H2042" s="340" t="s">
        <v>5608</v>
      </c>
      <c r="I2042" s="447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56</v>
      </c>
      <c r="U2042" s="2" t="s">
        <v>56</v>
      </c>
      <c r="V2042" s="150" t="s">
        <v>92</v>
      </c>
      <c r="W2042" s="81">
        <v>102</v>
      </c>
      <c r="X2042" s="40" t="s">
        <v>2939</v>
      </c>
      <c r="Y2042" s="40" t="s">
        <v>2943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2683</v>
      </c>
      <c r="C2043" s="58">
        <v>382</v>
      </c>
      <c r="D2043" s="56" t="s">
        <v>2674</v>
      </c>
      <c r="E2043" s="58" t="s">
        <v>2963</v>
      </c>
      <c r="F2043" s="58" t="s">
        <v>5188</v>
      </c>
      <c r="G2043" s="382" t="s">
        <v>5605</v>
      </c>
      <c r="H2043" s="340" t="s">
        <v>5608</v>
      </c>
      <c r="I2043" s="447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56</v>
      </c>
      <c r="U2043" s="2" t="s">
        <v>56</v>
      </c>
      <c r="V2043" s="150" t="s">
        <v>92</v>
      </c>
      <c r="W2043" s="57">
        <v>109</v>
      </c>
      <c r="X2043" s="58" t="s">
        <v>2898</v>
      </c>
      <c r="Y2043" s="109"/>
      <c r="Z2043" s="58"/>
      <c r="AA2043" s="58"/>
      <c r="AB2043" s="58"/>
      <c r="AC2043" s="58"/>
      <c r="AD2043" s="58"/>
      <c r="AE2043" s="58"/>
      <c r="AF2043" s="58" t="s">
        <v>2943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2398</v>
      </c>
      <c r="C2044" s="29">
        <v>2421</v>
      </c>
      <c r="D2044" s="27" t="s">
        <v>2396</v>
      </c>
      <c r="E2044" s="29" t="s">
        <v>2963</v>
      </c>
      <c r="F2044" s="29" t="s">
        <v>5189</v>
      </c>
      <c r="G2044" s="382" t="s">
        <v>5605</v>
      </c>
      <c r="H2044" s="340" t="s">
        <v>5608</v>
      </c>
      <c r="I2044" s="447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56</v>
      </c>
      <c r="U2044" s="30" t="s">
        <v>1697</v>
      </c>
      <c r="V2044" s="150" t="s">
        <v>92</v>
      </c>
      <c r="W2044" s="28">
        <v>113</v>
      </c>
      <c r="X2044" s="27"/>
      <c r="Y2044" s="27"/>
      <c r="Z2044" s="29" t="s">
        <v>2939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1697</v>
      </c>
      <c r="AK2044" s="254"/>
    </row>
    <row r="2045" spans="1:37" ht="14.4" thickBot="1" x14ac:dyDescent="0.35">
      <c r="A2045" s="15">
        <v>2044</v>
      </c>
      <c r="B2045" s="40" t="s">
        <v>1696</v>
      </c>
      <c r="C2045" s="40">
        <v>249</v>
      </c>
      <c r="D2045" s="38" t="s">
        <v>1695</v>
      </c>
      <c r="E2045" s="40" t="s">
        <v>2963</v>
      </c>
      <c r="F2045" s="40" t="s">
        <v>5190</v>
      </c>
      <c r="G2045" s="382" t="s">
        <v>5605</v>
      </c>
      <c r="H2045" s="340" t="s">
        <v>5608</v>
      </c>
      <c r="I2045" s="447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56</v>
      </c>
      <c r="U2045" s="2" t="s">
        <v>1697</v>
      </c>
      <c r="V2045" s="150" t="s">
        <v>92</v>
      </c>
      <c r="W2045" s="39">
        <v>113</v>
      </c>
      <c r="X2045" s="40"/>
      <c r="Y2045" s="106"/>
      <c r="Z2045" s="40"/>
      <c r="AA2045" s="40" t="s">
        <v>2939</v>
      </c>
      <c r="AB2045" s="40"/>
      <c r="AC2045" s="40"/>
      <c r="AD2045" s="40" t="s">
        <v>2939</v>
      </c>
      <c r="AE2045" s="40"/>
      <c r="AF2045" s="40"/>
      <c r="AG2045" s="40"/>
      <c r="AH2045" s="40"/>
      <c r="AI2045" s="40"/>
      <c r="AJ2045" s="79" t="s">
        <v>1697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5191</v>
      </c>
      <c r="G2046" s="382" t="s">
        <v>5605</v>
      </c>
      <c r="H2046" s="460" t="s">
        <v>5608</v>
      </c>
      <c r="I2046" s="447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0" t="s">
        <v>73</v>
      </c>
      <c r="U2046" s="30" t="s">
        <v>4</v>
      </c>
      <c r="V2046" s="150" t="s">
        <v>92</v>
      </c>
      <c r="W2046" s="27">
        <v>112</v>
      </c>
      <c r="X2046" s="350" t="s">
        <v>303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5192</v>
      </c>
      <c r="G2047" s="382" t="s">
        <v>5605</v>
      </c>
      <c r="H2047" s="457" t="s">
        <v>5608</v>
      </c>
      <c r="I2047" s="447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30" t="s">
        <v>73</v>
      </c>
      <c r="U2047" s="2" t="s">
        <v>4</v>
      </c>
      <c r="V2047" s="150" t="s">
        <v>92</v>
      </c>
      <c r="W2047" s="38">
        <v>112</v>
      </c>
      <c r="X2047" s="150"/>
      <c r="Y2047" s="4" t="s">
        <v>303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45</v>
      </c>
      <c r="E2048" s="4" t="s">
        <v>25</v>
      </c>
      <c r="F2048" s="4" t="s">
        <v>5193</v>
      </c>
      <c r="G2048" s="382" t="s">
        <v>5605</v>
      </c>
      <c r="H2048" s="457" t="s">
        <v>5608</v>
      </c>
      <c r="I2048" s="447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33</v>
      </c>
      <c r="Q2048" s="43">
        <v>41.9</v>
      </c>
      <c r="R2048" s="43">
        <v>174</v>
      </c>
      <c r="S2048" s="43">
        <v>42.5</v>
      </c>
      <c r="T2048" s="30" t="s">
        <v>73</v>
      </c>
      <c r="U2048" s="2" t="s">
        <v>4</v>
      </c>
      <c r="V2048" s="150" t="s">
        <v>92</v>
      </c>
      <c r="W2048" s="38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93</v>
      </c>
      <c r="C2049" s="40">
        <v>2181</v>
      </c>
      <c r="D2049" s="38" t="s">
        <v>91</v>
      </c>
      <c r="E2049" s="4" t="s">
        <v>94</v>
      </c>
      <c r="F2049" s="4" t="s">
        <v>5194</v>
      </c>
      <c r="G2049" s="382" t="s">
        <v>5605</v>
      </c>
      <c r="H2049" s="457" t="s">
        <v>5608</v>
      </c>
      <c r="I2049" s="447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30" t="s">
        <v>73</v>
      </c>
      <c r="U2049" s="2" t="s">
        <v>4</v>
      </c>
      <c r="V2049" s="150" t="s">
        <v>92</v>
      </c>
      <c r="W2049" s="38">
        <v>112</v>
      </c>
      <c r="X2049" s="4"/>
      <c r="Y2049" s="392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93</v>
      </c>
      <c r="C2050" s="40">
        <v>2182</v>
      </c>
      <c r="D2050" s="38" t="s">
        <v>91</v>
      </c>
      <c r="E2050" s="4" t="s">
        <v>94</v>
      </c>
      <c r="F2050" s="4" t="s">
        <v>5195</v>
      </c>
      <c r="G2050" s="382" t="s">
        <v>5605</v>
      </c>
      <c r="H2050" s="457" t="s">
        <v>5608</v>
      </c>
      <c r="I2050" s="447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30" t="s">
        <v>73</v>
      </c>
      <c r="U2050" s="2" t="s">
        <v>4</v>
      </c>
      <c r="V2050" s="150" t="s">
        <v>92</v>
      </c>
      <c r="W2050" s="38">
        <v>112</v>
      </c>
      <c r="X2050" s="4"/>
      <c r="Y2050" s="392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93</v>
      </c>
      <c r="C2051" s="40">
        <v>2183</v>
      </c>
      <c r="D2051" s="38" t="s">
        <v>91</v>
      </c>
      <c r="E2051" s="4" t="s">
        <v>94</v>
      </c>
      <c r="F2051" s="4" t="s">
        <v>5196</v>
      </c>
      <c r="G2051" s="382" t="s">
        <v>5605</v>
      </c>
      <c r="H2051" s="457" t="s">
        <v>5608</v>
      </c>
      <c r="I2051" s="447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30" t="s">
        <v>73</v>
      </c>
      <c r="U2051" s="2" t="s">
        <v>4</v>
      </c>
      <c r="V2051" s="150" t="s">
        <v>92</v>
      </c>
      <c r="W2051" s="38">
        <v>112</v>
      </c>
      <c r="X2051" s="4"/>
      <c r="Y2051" s="392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104</v>
      </c>
      <c r="C2052" s="40">
        <v>1056</v>
      </c>
      <c r="D2052" s="38" t="s">
        <v>103</v>
      </c>
      <c r="E2052" s="4" t="s">
        <v>94</v>
      </c>
      <c r="F2052" s="4" t="s">
        <v>5197</v>
      </c>
      <c r="G2052" s="382" t="s">
        <v>5605</v>
      </c>
      <c r="H2052" s="457" t="s">
        <v>5608</v>
      </c>
      <c r="I2052" s="447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30" t="s">
        <v>73</v>
      </c>
      <c r="U2052" s="2" t="s">
        <v>105</v>
      </c>
      <c r="V2052" s="150" t="s">
        <v>92</v>
      </c>
      <c r="W2052" s="38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111</v>
      </c>
      <c r="C2053" s="40">
        <v>2189</v>
      </c>
      <c r="D2053" s="38" t="s">
        <v>110</v>
      </c>
      <c r="E2053" s="4" t="s">
        <v>94</v>
      </c>
      <c r="F2053" s="4" t="s">
        <v>5198</v>
      </c>
      <c r="G2053" s="382" t="s">
        <v>5605</v>
      </c>
      <c r="H2053" s="457" t="s">
        <v>5608</v>
      </c>
      <c r="I2053" s="447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30" t="s">
        <v>73</v>
      </c>
      <c r="U2053" s="2" t="s">
        <v>105</v>
      </c>
      <c r="V2053" s="150" t="s">
        <v>92</v>
      </c>
      <c r="W2053" s="38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152</v>
      </c>
      <c r="C2054" s="40">
        <v>2184</v>
      </c>
      <c r="D2054" s="38" t="s">
        <v>151</v>
      </c>
      <c r="E2054" s="4" t="s">
        <v>94</v>
      </c>
      <c r="F2054" s="4" t="s">
        <v>5199</v>
      </c>
      <c r="G2054" s="382" t="s">
        <v>5605</v>
      </c>
      <c r="H2054" s="457" t="s">
        <v>5608</v>
      </c>
      <c r="I2054" s="447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30" t="s">
        <v>73</v>
      </c>
      <c r="U2054" s="2" t="s">
        <v>4</v>
      </c>
      <c r="V2054" s="150" t="s">
        <v>92</v>
      </c>
      <c r="W2054" s="38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320</v>
      </c>
      <c r="C2055" s="40">
        <v>691</v>
      </c>
      <c r="D2055" s="38" t="s">
        <v>319</v>
      </c>
      <c r="E2055" s="4" t="s">
        <v>48</v>
      </c>
      <c r="F2055" s="4" t="s">
        <v>5200</v>
      </c>
      <c r="G2055" s="382" t="s">
        <v>5605</v>
      </c>
      <c r="H2055" s="457" t="s">
        <v>5608</v>
      </c>
      <c r="I2055" s="447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30" t="s">
        <v>73</v>
      </c>
      <c r="U2055" s="2" t="s">
        <v>4</v>
      </c>
      <c r="V2055" s="150" t="s">
        <v>92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393</v>
      </c>
      <c r="C2056" s="40">
        <v>1170</v>
      </c>
      <c r="D2056" s="38" t="s">
        <v>392</v>
      </c>
      <c r="E2056" s="4" t="s">
        <v>300</v>
      </c>
      <c r="F2056" s="4" t="s">
        <v>5201</v>
      </c>
      <c r="G2056" s="382" t="s">
        <v>5605</v>
      </c>
      <c r="H2056" s="457" t="s">
        <v>5608</v>
      </c>
      <c r="I2056" s="447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30" t="s">
        <v>73</v>
      </c>
      <c r="U2056" s="2" t="s">
        <v>4</v>
      </c>
      <c r="V2056" s="108" t="s">
        <v>2914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448</v>
      </c>
      <c r="C2057" s="40">
        <v>1160</v>
      </c>
      <c r="D2057" s="38" t="s">
        <v>447</v>
      </c>
      <c r="E2057" s="4" t="s">
        <v>300</v>
      </c>
      <c r="F2057" s="4" t="s">
        <v>5202</v>
      </c>
      <c r="G2057" s="382" t="s">
        <v>5605</v>
      </c>
      <c r="H2057" s="457" t="s">
        <v>5608</v>
      </c>
      <c r="I2057" s="447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30" t="s">
        <v>73</v>
      </c>
      <c r="U2057" s="2" t="s">
        <v>4</v>
      </c>
      <c r="V2057" s="150" t="s">
        <v>92</v>
      </c>
      <c r="W2057" s="38">
        <v>112</v>
      </c>
      <c r="X2057" s="4" t="s">
        <v>303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450</v>
      </c>
      <c r="C2058" s="40">
        <v>1162</v>
      </c>
      <c r="D2058" s="38" t="s">
        <v>449</v>
      </c>
      <c r="E2058" s="4" t="s">
        <v>300</v>
      </c>
      <c r="F2058" s="4" t="s">
        <v>5203</v>
      </c>
      <c r="G2058" s="382" t="s">
        <v>5605</v>
      </c>
      <c r="H2058" s="457" t="s">
        <v>5608</v>
      </c>
      <c r="I2058" s="447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30" t="s">
        <v>73</v>
      </c>
      <c r="U2058" s="2" t="s">
        <v>4</v>
      </c>
      <c r="V2058" s="150" t="s">
        <v>92</v>
      </c>
      <c r="W2058" s="38">
        <v>112</v>
      </c>
      <c r="X2058" s="4"/>
      <c r="Y2058" s="392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471</v>
      </c>
      <c r="C2059" s="40">
        <v>1835</v>
      </c>
      <c r="D2059" s="38" t="s">
        <v>470</v>
      </c>
      <c r="E2059" s="4" t="s">
        <v>300</v>
      </c>
      <c r="F2059" s="4" t="s">
        <v>5204</v>
      </c>
      <c r="G2059" s="382" t="s">
        <v>5605</v>
      </c>
      <c r="H2059" s="457" t="s">
        <v>5608</v>
      </c>
      <c r="I2059" s="447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30" t="s">
        <v>73</v>
      </c>
      <c r="U2059" s="2" t="s">
        <v>4</v>
      </c>
      <c r="V2059" s="150" t="s">
        <v>92</v>
      </c>
      <c r="W2059" s="41">
        <v>112</v>
      </c>
      <c r="X2059" s="4"/>
      <c r="Y2059" s="392"/>
      <c r="Z2059" s="4"/>
      <c r="AA2059" s="4"/>
      <c r="AB2059" s="4"/>
      <c r="AC2059" s="40" t="s">
        <v>2894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538</v>
      </c>
      <c r="C2060" s="40">
        <v>106</v>
      </c>
      <c r="D2060" s="38" t="s">
        <v>537</v>
      </c>
      <c r="E2060" s="4" t="s">
        <v>300</v>
      </c>
      <c r="F2060" s="4" t="s">
        <v>5205</v>
      </c>
      <c r="G2060" s="382" t="s">
        <v>5605</v>
      </c>
      <c r="H2060" s="457" t="s">
        <v>5608</v>
      </c>
      <c r="I2060" s="447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30" t="s">
        <v>73</v>
      </c>
      <c r="U2060" s="2" t="s">
        <v>4</v>
      </c>
      <c r="V2060" s="150" t="s">
        <v>92</v>
      </c>
      <c r="W2060" s="41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539</v>
      </c>
      <c r="C2061" s="40">
        <v>107</v>
      </c>
      <c r="D2061" s="38" t="s">
        <v>537</v>
      </c>
      <c r="E2061" s="4" t="s">
        <v>300</v>
      </c>
      <c r="F2061" s="4" t="s">
        <v>5206</v>
      </c>
      <c r="G2061" s="382" t="s">
        <v>5605</v>
      </c>
      <c r="H2061" s="457" t="s">
        <v>5608</v>
      </c>
      <c r="I2061" s="447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30" t="s">
        <v>73</v>
      </c>
      <c r="U2061" s="2" t="s">
        <v>4</v>
      </c>
      <c r="V2061" s="150" t="s">
        <v>92</v>
      </c>
      <c r="W2061" s="41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540</v>
      </c>
      <c r="C2062" s="40">
        <v>108</v>
      </c>
      <c r="D2062" s="38" t="s">
        <v>537</v>
      </c>
      <c r="E2062" s="4" t="s">
        <v>300</v>
      </c>
      <c r="F2062" s="4" t="s">
        <v>5207</v>
      </c>
      <c r="G2062" s="382" t="s">
        <v>5605</v>
      </c>
      <c r="H2062" s="457" t="s">
        <v>5608</v>
      </c>
      <c r="I2062" s="447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30" t="s">
        <v>73</v>
      </c>
      <c r="U2062" s="2" t="s">
        <v>4</v>
      </c>
      <c r="V2062" s="150" t="s">
        <v>92</v>
      </c>
      <c r="W2062" s="41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541</v>
      </c>
      <c r="C2063" s="40">
        <v>109</v>
      </c>
      <c r="D2063" s="38" t="s">
        <v>537</v>
      </c>
      <c r="E2063" s="4" t="s">
        <v>300</v>
      </c>
      <c r="F2063" s="4" t="s">
        <v>5208</v>
      </c>
      <c r="G2063" s="382" t="s">
        <v>5605</v>
      </c>
      <c r="H2063" s="457" t="s">
        <v>5608</v>
      </c>
      <c r="I2063" s="447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30" t="s">
        <v>73</v>
      </c>
      <c r="U2063" s="2" t="s">
        <v>4</v>
      </c>
      <c r="V2063" s="150" t="s">
        <v>92</v>
      </c>
      <c r="W2063" s="41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542</v>
      </c>
      <c r="C2064" s="40">
        <v>110</v>
      </c>
      <c r="D2064" s="38" t="s">
        <v>537</v>
      </c>
      <c r="E2064" s="4" t="s">
        <v>300</v>
      </c>
      <c r="F2064" s="4" t="s">
        <v>5209</v>
      </c>
      <c r="G2064" s="382" t="s">
        <v>5605</v>
      </c>
      <c r="H2064" s="457" t="s">
        <v>5608</v>
      </c>
      <c r="I2064" s="447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30" t="s">
        <v>73</v>
      </c>
      <c r="U2064" s="2" t="s">
        <v>4</v>
      </c>
      <c r="V2064" s="150" t="s">
        <v>92</v>
      </c>
      <c r="W2064" s="41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543</v>
      </c>
      <c r="C2065" s="40">
        <v>111</v>
      </c>
      <c r="D2065" s="38" t="s">
        <v>537</v>
      </c>
      <c r="E2065" s="4" t="s">
        <v>300</v>
      </c>
      <c r="F2065" s="4" t="s">
        <v>5210</v>
      </c>
      <c r="G2065" s="382" t="s">
        <v>5605</v>
      </c>
      <c r="H2065" s="457" t="s">
        <v>5608</v>
      </c>
      <c r="I2065" s="447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30" t="s">
        <v>73</v>
      </c>
      <c r="U2065" s="2" t="s">
        <v>4</v>
      </c>
      <c r="V2065" s="150" t="s">
        <v>92</v>
      </c>
      <c r="W2065" s="41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547</v>
      </c>
      <c r="C2066" s="40">
        <v>103</v>
      </c>
      <c r="D2066" s="38" t="s">
        <v>546</v>
      </c>
      <c r="E2066" s="4" t="s">
        <v>300</v>
      </c>
      <c r="F2066" s="4" t="s">
        <v>5211</v>
      </c>
      <c r="G2066" s="382" t="s">
        <v>5605</v>
      </c>
      <c r="H2066" s="457" t="s">
        <v>5608</v>
      </c>
      <c r="I2066" s="447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30" t="s">
        <v>73</v>
      </c>
      <c r="U2066" s="2" t="s">
        <v>4</v>
      </c>
      <c r="V2066" s="150" t="s">
        <v>92</v>
      </c>
      <c r="W2066" s="41">
        <v>112</v>
      </c>
      <c r="X2066" s="4"/>
      <c r="Y2066" s="392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548</v>
      </c>
      <c r="C2067" s="40">
        <v>104</v>
      </c>
      <c r="D2067" s="38" t="s">
        <v>546</v>
      </c>
      <c r="E2067" s="4" t="s">
        <v>300</v>
      </c>
      <c r="F2067" s="4" t="s">
        <v>5212</v>
      </c>
      <c r="G2067" s="382" t="s">
        <v>5605</v>
      </c>
      <c r="H2067" s="457" t="s">
        <v>5608</v>
      </c>
      <c r="I2067" s="447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30" t="s">
        <v>73</v>
      </c>
      <c r="U2067" s="2" t="s">
        <v>4</v>
      </c>
      <c r="V2067" s="150" t="s">
        <v>92</v>
      </c>
      <c r="W2067" s="41">
        <v>112</v>
      </c>
      <c r="X2067" s="4"/>
      <c r="Y2067" s="392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552</v>
      </c>
      <c r="C2068" s="40">
        <v>101</v>
      </c>
      <c r="D2068" s="38" t="s">
        <v>546</v>
      </c>
      <c r="E2068" s="4" t="s">
        <v>300</v>
      </c>
      <c r="F2068" s="4" t="s">
        <v>5213</v>
      </c>
      <c r="G2068" s="382" t="s">
        <v>5605</v>
      </c>
      <c r="H2068" s="457" t="s">
        <v>5608</v>
      </c>
      <c r="I2068" s="447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30" t="s">
        <v>73</v>
      </c>
      <c r="U2068" s="2" t="s">
        <v>4</v>
      </c>
      <c r="V2068" s="150" t="s">
        <v>92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553</v>
      </c>
      <c r="C2069" s="40">
        <v>102</v>
      </c>
      <c r="D2069" s="38" t="s">
        <v>546</v>
      </c>
      <c r="E2069" s="4" t="s">
        <v>300</v>
      </c>
      <c r="F2069" s="4" t="s">
        <v>5214</v>
      </c>
      <c r="G2069" s="382" t="s">
        <v>5605</v>
      </c>
      <c r="H2069" s="457" t="s">
        <v>5608</v>
      </c>
      <c r="I2069" s="447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331</v>
      </c>
      <c r="Q2069" s="43">
        <v>38.6</v>
      </c>
      <c r="R2069" s="43">
        <v>360</v>
      </c>
      <c r="S2069" s="43">
        <v>101</v>
      </c>
      <c r="T2069" s="30" t="s">
        <v>73</v>
      </c>
      <c r="U2069" s="2" t="s">
        <v>4</v>
      </c>
      <c r="V2069" s="150" t="s">
        <v>92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569</v>
      </c>
      <c r="C2070" s="40">
        <v>1829</v>
      </c>
      <c r="D2070" s="38" t="s">
        <v>568</v>
      </c>
      <c r="E2070" s="4" t="s">
        <v>300</v>
      </c>
      <c r="F2070" s="4" t="s">
        <v>5215</v>
      </c>
      <c r="G2070" s="382" t="s">
        <v>5605</v>
      </c>
      <c r="H2070" s="457" t="s">
        <v>5608</v>
      </c>
      <c r="I2070" s="447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30" t="s">
        <v>73</v>
      </c>
      <c r="U2070" s="2" t="s">
        <v>4</v>
      </c>
      <c r="V2070" s="150" t="s">
        <v>92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664</v>
      </c>
      <c r="C2071" s="38">
        <v>1820</v>
      </c>
      <c r="D2071" s="38" t="s">
        <v>663</v>
      </c>
      <c r="E2071" s="4" t="s">
        <v>300</v>
      </c>
      <c r="F2071" s="4" t="s">
        <v>5216</v>
      </c>
      <c r="G2071" s="382" t="s">
        <v>5605</v>
      </c>
      <c r="H2071" s="457" t="s">
        <v>5608</v>
      </c>
      <c r="I2071" s="447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30" t="s">
        <v>73</v>
      </c>
      <c r="U2071" s="2" t="s">
        <v>4</v>
      </c>
      <c r="V2071" s="150" t="s">
        <v>92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667</v>
      </c>
      <c r="C2072" s="38">
        <v>1867</v>
      </c>
      <c r="D2072" s="38" t="s">
        <v>663</v>
      </c>
      <c r="E2072" s="4" t="s">
        <v>300</v>
      </c>
      <c r="F2072" s="4" t="s">
        <v>5217</v>
      </c>
      <c r="G2072" s="382" t="s">
        <v>5605</v>
      </c>
      <c r="H2072" s="457" t="s">
        <v>5608</v>
      </c>
      <c r="I2072" s="447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30" t="s">
        <v>73</v>
      </c>
      <c r="U2072" s="2" t="s">
        <v>4</v>
      </c>
      <c r="V2072" s="150" t="s">
        <v>92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719</v>
      </c>
      <c r="C2073" s="40">
        <v>1369</v>
      </c>
      <c r="D2073" s="38" t="s">
        <v>718</v>
      </c>
      <c r="E2073" s="4" t="s">
        <v>457</v>
      </c>
      <c r="F2073" s="4" t="s">
        <v>5218</v>
      </c>
      <c r="G2073" s="382" t="s">
        <v>5605</v>
      </c>
      <c r="H2073" s="457" t="s">
        <v>5608</v>
      </c>
      <c r="I2073" s="447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30" t="s">
        <v>73</v>
      </c>
      <c r="U2073" s="2" t="s">
        <v>4</v>
      </c>
      <c r="V2073" s="150" t="s">
        <v>92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723</v>
      </c>
      <c r="E2074" s="4" t="s">
        <v>457</v>
      </c>
      <c r="F2074" s="4" t="s">
        <v>5219</v>
      </c>
      <c r="G2074" s="382" t="s">
        <v>5605</v>
      </c>
      <c r="H2074" s="457" t="s">
        <v>5608</v>
      </c>
      <c r="I2074" s="447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30" t="s">
        <v>73</v>
      </c>
      <c r="U2074" s="2" t="s">
        <v>4</v>
      </c>
      <c r="V2074" s="150" t="s">
        <v>92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765</v>
      </c>
      <c r="C2075" s="40">
        <v>973</v>
      </c>
      <c r="D2075" s="38" t="s">
        <v>764</v>
      </c>
      <c r="E2075" s="4" t="s">
        <v>300</v>
      </c>
      <c r="F2075" s="4" t="s">
        <v>5220</v>
      </c>
      <c r="G2075" s="382" t="s">
        <v>5605</v>
      </c>
      <c r="H2075" s="457" t="s">
        <v>5608</v>
      </c>
      <c r="I2075" s="447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30" t="s">
        <v>73</v>
      </c>
      <c r="U2075" s="2" t="s">
        <v>4</v>
      </c>
      <c r="V2075" s="150" t="s">
        <v>92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766</v>
      </c>
      <c r="C2076" s="40">
        <v>974</v>
      </c>
      <c r="D2076" s="38" t="s">
        <v>764</v>
      </c>
      <c r="E2076" s="4" t="s">
        <v>300</v>
      </c>
      <c r="F2076" s="4" t="s">
        <v>5221</v>
      </c>
      <c r="G2076" s="382" t="s">
        <v>5605</v>
      </c>
      <c r="H2076" s="457" t="s">
        <v>5608</v>
      </c>
      <c r="I2076" s="447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30" t="s">
        <v>73</v>
      </c>
      <c r="U2076" s="2" t="s">
        <v>4</v>
      </c>
      <c r="V2076" s="150" t="s">
        <v>92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768</v>
      </c>
      <c r="C2077" s="40">
        <v>962</v>
      </c>
      <c r="D2077" s="38" t="s">
        <v>767</v>
      </c>
      <c r="E2077" s="4" t="s">
        <v>300</v>
      </c>
      <c r="F2077" s="4" t="s">
        <v>5222</v>
      </c>
      <c r="G2077" s="382" t="s">
        <v>5605</v>
      </c>
      <c r="H2077" s="457" t="s">
        <v>5608</v>
      </c>
      <c r="I2077" s="447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30" t="s">
        <v>73</v>
      </c>
      <c r="U2077" s="2" t="s">
        <v>4</v>
      </c>
      <c r="V2077" s="150" t="s">
        <v>92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856</v>
      </c>
      <c r="C2078" s="40">
        <v>2311</v>
      </c>
      <c r="D2078" s="38" t="s">
        <v>855</v>
      </c>
      <c r="E2078" s="4" t="s">
        <v>300</v>
      </c>
      <c r="F2078" s="4" t="s">
        <v>5223</v>
      </c>
      <c r="G2078" s="382" t="s">
        <v>5605</v>
      </c>
      <c r="H2078" s="457" t="s">
        <v>5608</v>
      </c>
      <c r="I2078" s="447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331</v>
      </c>
      <c r="Q2078" s="396">
        <v>32.700000000000003</v>
      </c>
      <c r="R2078" s="396">
        <v>382</v>
      </c>
      <c r="S2078" s="396">
        <v>80.900000000000006</v>
      </c>
      <c r="T2078" s="30" t="s">
        <v>73</v>
      </c>
      <c r="U2078" s="2" t="s">
        <v>4</v>
      </c>
      <c r="V2078" s="150" t="s">
        <v>92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858</v>
      </c>
      <c r="C2079" s="40">
        <v>2339</v>
      </c>
      <c r="D2079" s="40" t="s">
        <v>857</v>
      </c>
      <c r="E2079" s="4" t="s">
        <v>300</v>
      </c>
      <c r="F2079" s="4" t="s">
        <v>5224</v>
      </c>
      <c r="G2079" s="382" t="s">
        <v>5605</v>
      </c>
      <c r="H2079" s="457" t="s">
        <v>5608</v>
      </c>
      <c r="I2079" s="447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30" t="s">
        <v>73</v>
      </c>
      <c r="U2079" s="2" t="s">
        <v>4</v>
      </c>
      <c r="V2079" s="150" t="s">
        <v>92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865</v>
      </c>
      <c r="C2080" s="40">
        <v>2348</v>
      </c>
      <c r="D2080" s="38" t="s">
        <v>864</v>
      </c>
      <c r="E2080" s="4" t="s">
        <v>300</v>
      </c>
      <c r="F2080" s="4" t="s">
        <v>5225</v>
      </c>
      <c r="G2080" s="382" t="s">
        <v>5605</v>
      </c>
      <c r="H2080" s="457" t="s">
        <v>5608</v>
      </c>
      <c r="I2080" s="447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30" t="s">
        <v>73</v>
      </c>
      <c r="U2080" s="2" t="s">
        <v>4</v>
      </c>
      <c r="V2080" s="150" t="s">
        <v>92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995</v>
      </c>
      <c r="C2081" s="40">
        <v>2145</v>
      </c>
      <c r="D2081" s="38" t="s">
        <v>994</v>
      </c>
      <c r="E2081" s="4" t="s">
        <v>300</v>
      </c>
      <c r="F2081" s="4" t="s">
        <v>5226</v>
      </c>
      <c r="G2081" s="382" t="s">
        <v>5605</v>
      </c>
      <c r="H2081" s="457" t="s">
        <v>5608</v>
      </c>
      <c r="I2081" s="447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30" t="s">
        <v>73</v>
      </c>
      <c r="U2081" s="2" t="s">
        <v>4</v>
      </c>
      <c r="V2081" s="150" t="s">
        <v>92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1032</v>
      </c>
      <c r="C2082" s="40">
        <v>964</v>
      </c>
      <c r="D2082" s="38" t="s">
        <v>1031</v>
      </c>
      <c r="E2082" s="4" t="s">
        <v>300</v>
      </c>
      <c r="F2082" s="4" t="s">
        <v>5227</v>
      </c>
      <c r="G2082" s="382" t="s">
        <v>5605</v>
      </c>
      <c r="H2082" s="457" t="s">
        <v>5608</v>
      </c>
      <c r="I2082" s="447"/>
      <c r="J2082" s="43">
        <v>201645</v>
      </c>
      <c r="K2082" s="43">
        <v>2663661</v>
      </c>
      <c r="L2082" s="396" t="s">
        <v>831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30" t="s">
        <v>73</v>
      </c>
      <c r="U2082" s="2" t="s">
        <v>4</v>
      </c>
      <c r="V2082" s="150" t="s">
        <v>92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1034</v>
      </c>
      <c r="C2083" s="40">
        <v>965</v>
      </c>
      <c r="D2083" s="38" t="s">
        <v>1033</v>
      </c>
      <c r="E2083" s="4" t="s">
        <v>300</v>
      </c>
      <c r="F2083" s="4" t="s">
        <v>5228</v>
      </c>
      <c r="G2083" s="382" t="s">
        <v>5605</v>
      </c>
      <c r="H2083" s="457" t="s">
        <v>5608</v>
      </c>
      <c r="I2083" s="447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30" t="s">
        <v>73</v>
      </c>
      <c r="U2083" s="2" t="s">
        <v>4</v>
      </c>
      <c r="V2083" s="150" t="s">
        <v>92</v>
      </c>
      <c r="W2083" s="39">
        <v>112</v>
      </c>
      <c r="X2083" s="4"/>
      <c r="Y2083" s="392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1035</v>
      </c>
      <c r="C2084" s="40">
        <v>966</v>
      </c>
      <c r="D2084" s="38" t="s">
        <v>1033</v>
      </c>
      <c r="E2084" s="4" t="s">
        <v>300</v>
      </c>
      <c r="F2084" s="4" t="s">
        <v>5229</v>
      </c>
      <c r="G2084" s="382" t="s">
        <v>5605</v>
      </c>
      <c r="H2084" s="457" t="s">
        <v>5608</v>
      </c>
      <c r="I2084" s="447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30" t="s">
        <v>73</v>
      </c>
      <c r="U2084" s="2" t="s">
        <v>4</v>
      </c>
      <c r="V2084" s="150" t="s">
        <v>92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1083</v>
      </c>
      <c r="C2085" s="40">
        <v>1244</v>
      </c>
      <c r="D2085" s="38" t="s">
        <v>1082</v>
      </c>
      <c r="E2085" s="4" t="s">
        <v>457</v>
      </c>
      <c r="F2085" s="4" t="s">
        <v>5230</v>
      </c>
      <c r="G2085" s="382" t="s">
        <v>5605</v>
      </c>
      <c r="H2085" s="457" t="s">
        <v>5608</v>
      </c>
      <c r="I2085" s="447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30" t="s">
        <v>73</v>
      </c>
      <c r="U2085" s="2" t="s">
        <v>4</v>
      </c>
      <c r="V2085" s="150" t="s">
        <v>92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1084</v>
      </c>
      <c r="C2086" s="40">
        <v>1252</v>
      </c>
      <c r="D2086" s="38" t="s">
        <v>1082</v>
      </c>
      <c r="E2086" s="4" t="s">
        <v>457</v>
      </c>
      <c r="F2086" s="4" t="s">
        <v>5231</v>
      </c>
      <c r="G2086" s="382" t="s">
        <v>5605</v>
      </c>
      <c r="H2086" s="457" t="s">
        <v>5608</v>
      </c>
      <c r="I2086" s="447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30" t="s">
        <v>73</v>
      </c>
      <c r="U2086" s="2" t="s">
        <v>4</v>
      </c>
      <c r="V2086" s="150" t="s">
        <v>92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1109</v>
      </c>
      <c r="C2087" s="40">
        <v>1266</v>
      </c>
      <c r="D2087" s="38" t="s">
        <v>1108</v>
      </c>
      <c r="E2087" s="4" t="s">
        <v>457</v>
      </c>
      <c r="F2087" s="4" t="s">
        <v>5232</v>
      </c>
      <c r="G2087" s="382" t="s">
        <v>5605</v>
      </c>
      <c r="H2087" s="457" t="s">
        <v>5608</v>
      </c>
      <c r="I2087" s="447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30" t="s">
        <v>73</v>
      </c>
      <c r="U2087" s="2" t="s">
        <v>4</v>
      </c>
      <c r="V2087" s="150" t="s">
        <v>92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1234</v>
      </c>
      <c r="C2088" s="40">
        <v>2326</v>
      </c>
      <c r="D2088" s="38" t="s">
        <v>1232</v>
      </c>
      <c r="E2088" s="4" t="s">
        <v>300</v>
      </c>
      <c r="F2088" s="4" t="s">
        <v>5233</v>
      </c>
      <c r="G2088" s="382" t="s">
        <v>5605</v>
      </c>
      <c r="H2088" s="457" t="s">
        <v>5608</v>
      </c>
      <c r="I2088" s="447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30" t="s">
        <v>73</v>
      </c>
      <c r="U2088" s="2" t="s">
        <v>4</v>
      </c>
      <c r="V2088" s="150" t="s">
        <v>92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1232</v>
      </c>
      <c r="E2089" s="4" t="s">
        <v>300</v>
      </c>
      <c r="F2089" s="4" t="s">
        <v>5234</v>
      </c>
      <c r="G2089" s="382" t="s">
        <v>5605</v>
      </c>
      <c r="H2089" s="457" t="s">
        <v>5608</v>
      </c>
      <c r="I2089" s="447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30" t="s">
        <v>73</v>
      </c>
      <c r="U2089" s="2" t="s">
        <v>4</v>
      </c>
      <c r="V2089" s="150" t="s">
        <v>92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1252</v>
      </c>
      <c r="C2090" s="40">
        <v>1028</v>
      </c>
      <c r="D2090" s="38" t="s">
        <v>1249</v>
      </c>
      <c r="E2090" s="4" t="s">
        <v>300</v>
      </c>
      <c r="F2090" s="4" t="s">
        <v>5235</v>
      </c>
      <c r="G2090" s="382" t="s">
        <v>5605</v>
      </c>
      <c r="H2090" s="457" t="s">
        <v>5608</v>
      </c>
      <c r="I2090" s="447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30" t="s">
        <v>73</v>
      </c>
      <c r="U2090" s="2" t="s">
        <v>4</v>
      </c>
      <c r="V2090" s="150" t="s">
        <v>92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1267</v>
      </c>
      <c r="C2091" s="40">
        <v>959</v>
      </c>
      <c r="D2091" s="38" t="s">
        <v>1265</v>
      </c>
      <c r="E2091" s="4" t="s">
        <v>457</v>
      </c>
      <c r="F2091" s="4" t="s">
        <v>5236</v>
      </c>
      <c r="G2091" s="382" t="s">
        <v>5605</v>
      </c>
      <c r="H2091" s="457" t="s">
        <v>5608</v>
      </c>
      <c r="I2091" s="447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1080</v>
      </c>
      <c r="Q2091" s="396">
        <v>38.299999999999997</v>
      </c>
      <c r="R2091" s="396">
        <v>558</v>
      </c>
      <c r="S2091" s="396">
        <v>121</v>
      </c>
      <c r="T2091" s="30" t="s">
        <v>73</v>
      </c>
      <c r="U2091" s="2" t="s">
        <v>4</v>
      </c>
      <c r="V2091" s="150" t="s">
        <v>92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1450</v>
      </c>
      <c r="C2092" s="40">
        <v>1041</v>
      </c>
      <c r="D2092" s="38" t="s">
        <v>1444</v>
      </c>
      <c r="E2092" s="4" t="s">
        <v>300</v>
      </c>
      <c r="F2092" s="4" t="s">
        <v>5237</v>
      </c>
      <c r="G2092" s="382" t="s">
        <v>5605</v>
      </c>
      <c r="H2092" s="457" t="s">
        <v>5608</v>
      </c>
      <c r="I2092" s="447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30" t="s">
        <v>73</v>
      </c>
      <c r="U2092" s="2" t="s">
        <v>4</v>
      </c>
      <c r="V2092" s="150" t="s">
        <v>92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1525</v>
      </c>
      <c r="C2093" s="40">
        <v>253</v>
      </c>
      <c r="D2093" s="38" t="s">
        <v>1523</v>
      </c>
      <c r="E2093" s="4" t="s">
        <v>1010</v>
      </c>
      <c r="F2093" s="4" t="s">
        <v>5238</v>
      </c>
      <c r="G2093" s="382" t="s">
        <v>5605</v>
      </c>
      <c r="H2093" s="457" t="s">
        <v>5608</v>
      </c>
      <c r="I2093" s="447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30" t="s">
        <v>73</v>
      </c>
      <c r="U2093" s="2" t="s">
        <v>4</v>
      </c>
      <c r="V2093" s="150" t="s">
        <v>92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1581</v>
      </c>
      <c r="C2094" s="40">
        <v>2204</v>
      </c>
      <c r="D2094" s="38" t="s">
        <v>1580</v>
      </c>
      <c r="E2094" s="4" t="s">
        <v>300</v>
      </c>
      <c r="F2094" s="4" t="s">
        <v>5239</v>
      </c>
      <c r="G2094" s="382" t="s">
        <v>5605</v>
      </c>
      <c r="H2094" s="457" t="s">
        <v>5608</v>
      </c>
      <c r="I2094" s="447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30" t="s">
        <v>73</v>
      </c>
      <c r="U2094" s="2" t="s">
        <v>4</v>
      </c>
      <c r="V2094" s="150" t="s">
        <v>92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1584</v>
      </c>
      <c r="C2095" s="40">
        <v>2248</v>
      </c>
      <c r="D2095" s="38" t="s">
        <v>1582</v>
      </c>
      <c r="E2095" s="4" t="s">
        <v>300</v>
      </c>
      <c r="F2095" s="4" t="s">
        <v>5240</v>
      </c>
      <c r="G2095" s="382" t="s">
        <v>5605</v>
      </c>
      <c r="H2095" s="457" t="s">
        <v>5608</v>
      </c>
      <c r="I2095" s="447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30" t="s">
        <v>73</v>
      </c>
      <c r="U2095" s="2" t="s">
        <v>73</v>
      </c>
      <c r="V2095" s="150" t="s">
        <v>92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136"/>
      <c r="AK2095" s="136"/>
    </row>
    <row r="2096" spans="1:37" ht="28.2" thickBot="1" x14ac:dyDescent="0.35">
      <c r="A2096" s="15">
        <v>2095</v>
      </c>
      <c r="B2096" s="40" t="s">
        <v>1586</v>
      </c>
      <c r="C2096" s="40">
        <v>2221</v>
      </c>
      <c r="D2096" s="38" t="s">
        <v>1582</v>
      </c>
      <c r="E2096" s="4" t="s">
        <v>300</v>
      </c>
      <c r="F2096" s="4" t="s">
        <v>5241</v>
      </c>
      <c r="G2096" s="382" t="s">
        <v>5605</v>
      </c>
      <c r="H2096" s="457" t="s">
        <v>5608</v>
      </c>
      <c r="I2096" s="447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30" t="s">
        <v>73</v>
      </c>
      <c r="U2096" s="2" t="s">
        <v>73</v>
      </c>
      <c r="V2096" s="150" t="s">
        <v>92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136"/>
      <c r="AK2096" s="136"/>
    </row>
    <row r="2097" spans="1:37" ht="28.2" thickBot="1" x14ac:dyDescent="0.35">
      <c r="A2097" s="15">
        <v>2096</v>
      </c>
      <c r="B2097" s="40" t="s">
        <v>1587</v>
      </c>
      <c r="C2097" s="40">
        <v>2249</v>
      </c>
      <c r="D2097" s="38" t="s">
        <v>1582</v>
      </c>
      <c r="E2097" s="4" t="s">
        <v>300</v>
      </c>
      <c r="F2097" s="4" t="s">
        <v>5242</v>
      </c>
      <c r="G2097" s="382" t="s">
        <v>5605</v>
      </c>
      <c r="H2097" s="457" t="s">
        <v>5608</v>
      </c>
      <c r="I2097" s="447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30" t="s">
        <v>73</v>
      </c>
      <c r="U2097" s="2" t="s">
        <v>73</v>
      </c>
      <c r="V2097" s="150" t="s">
        <v>92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136"/>
      <c r="AK2097" s="136"/>
    </row>
    <row r="2098" spans="1:37" ht="28.2" thickBot="1" x14ac:dyDescent="0.35">
      <c r="A2098" s="15">
        <v>2097</v>
      </c>
      <c r="B2098" s="40" t="s">
        <v>1589</v>
      </c>
      <c r="C2098" s="40">
        <v>2269</v>
      </c>
      <c r="D2098" s="38" t="s">
        <v>1582</v>
      </c>
      <c r="E2098" s="4" t="s">
        <v>300</v>
      </c>
      <c r="F2098" s="4" t="s">
        <v>5243</v>
      </c>
      <c r="G2098" s="382" t="s">
        <v>5605</v>
      </c>
      <c r="H2098" s="457" t="s">
        <v>5608</v>
      </c>
      <c r="I2098" s="447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30" t="s">
        <v>73</v>
      </c>
      <c r="U2098" s="2" t="s">
        <v>73</v>
      </c>
      <c r="V2098" s="150" t="s">
        <v>92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136"/>
      <c r="AK2098" s="136"/>
    </row>
    <row r="2099" spans="1:37" ht="28.2" thickBot="1" x14ac:dyDescent="0.35">
      <c r="A2099" s="15">
        <v>2098</v>
      </c>
      <c r="B2099" s="40" t="s">
        <v>1722</v>
      </c>
      <c r="C2099" s="40">
        <v>2127</v>
      </c>
      <c r="D2099" s="38" t="s">
        <v>1721</v>
      </c>
      <c r="E2099" s="4" t="s">
        <v>1010</v>
      </c>
      <c r="F2099" s="4" t="s">
        <v>5244</v>
      </c>
      <c r="G2099" s="382" t="s">
        <v>5605</v>
      </c>
      <c r="H2099" s="457" t="s">
        <v>5608</v>
      </c>
      <c r="I2099" s="447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30" t="s">
        <v>73</v>
      </c>
      <c r="U2099" s="2" t="s">
        <v>4</v>
      </c>
      <c r="V2099" s="150" t="s">
        <v>92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1728</v>
      </c>
      <c r="C2100" s="40">
        <v>2124</v>
      </c>
      <c r="D2100" s="38" t="s">
        <v>1725</v>
      </c>
      <c r="E2100" s="4" t="s">
        <v>1010</v>
      </c>
      <c r="F2100" s="4" t="s">
        <v>5245</v>
      </c>
      <c r="G2100" s="382" t="s">
        <v>5605</v>
      </c>
      <c r="H2100" s="457" t="s">
        <v>5608</v>
      </c>
      <c r="I2100" s="447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30" t="s">
        <v>73</v>
      </c>
      <c r="U2100" s="2" t="s">
        <v>4</v>
      </c>
      <c r="V2100" s="150" t="s">
        <v>92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136"/>
      <c r="AK2100" s="136"/>
    </row>
    <row r="2101" spans="1:37" ht="28.2" thickBot="1" x14ac:dyDescent="0.35">
      <c r="A2101" s="15">
        <v>2100</v>
      </c>
      <c r="B2101" s="40" t="s">
        <v>1730</v>
      </c>
      <c r="C2101" s="40">
        <v>2123</v>
      </c>
      <c r="D2101" s="38" t="s">
        <v>1725</v>
      </c>
      <c r="E2101" s="4" t="s">
        <v>1010</v>
      </c>
      <c r="F2101" s="4" t="s">
        <v>5246</v>
      </c>
      <c r="G2101" s="382" t="s">
        <v>5605</v>
      </c>
      <c r="H2101" s="457" t="s">
        <v>5608</v>
      </c>
      <c r="I2101" s="447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30" t="s">
        <v>73</v>
      </c>
      <c r="U2101" s="2" t="s">
        <v>4</v>
      </c>
      <c r="V2101" s="150" t="s">
        <v>92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136"/>
      <c r="AK2101" s="136"/>
    </row>
    <row r="2102" spans="1:37" ht="28.2" thickBot="1" x14ac:dyDescent="0.35">
      <c r="A2102" s="15">
        <v>2101</v>
      </c>
      <c r="B2102" s="40" t="s">
        <v>1763</v>
      </c>
      <c r="C2102" s="40">
        <v>1603</v>
      </c>
      <c r="D2102" s="38" t="s">
        <v>1762</v>
      </c>
      <c r="E2102" s="4" t="s">
        <v>457</v>
      </c>
      <c r="F2102" s="4" t="s">
        <v>5247</v>
      </c>
      <c r="G2102" s="382" t="s">
        <v>5605</v>
      </c>
      <c r="H2102" s="457" t="s">
        <v>5608</v>
      </c>
      <c r="I2102" s="447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30" t="s">
        <v>73</v>
      </c>
      <c r="U2102" s="2" t="s">
        <v>4</v>
      </c>
      <c r="V2102" s="150" t="s">
        <v>92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1765</v>
      </c>
      <c r="C2103" s="40">
        <v>1702</v>
      </c>
      <c r="D2103" s="38" t="s">
        <v>1764</v>
      </c>
      <c r="E2103" s="4" t="s">
        <v>457</v>
      </c>
      <c r="F2103" s="4" t="s">
        <v>5248</v>
      </c>
      <c r="G2103" s="382" t="s">
        <v>5605</v>
      </c>
      <c r="H2103" s="457" t="s">
        <v>5608</v>
      </c>
      <c r="I2103" s="447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30" t="s">
        <v>73</v>
      </c>
      <c r="U2103" s="2" t="s">
        <v>4</v>
      </c>
      <c r="V2103" s="150" t="s">
        <v>92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1877</v>
      </c>
      <c r="C2104" s="40">
        <v>2091</v>
      </c>
      <c r="D2104" s="38" t="s">
        <v>1876</v>
      </c>
      <c r="E2104" s="4" t="s">
        <v>1010</v>
      </c>
      <c r="F2104" s="4" t="s">
        <v>5249</v>
      </c>
      <c r="G2104" s="382" t="s">
        <v>5605</v>
      </c>
      <c r="H2104" s="457" t="s">
        <v>5608</v>
      </c>
      <c r="I2104" s="447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30" t="s">
        <v>73</v>
      </c>
      <c r="U2104" s="2" t="s">
        <v>4</v>
      </c>
      <c r="V2104" s="150" t="s">
        <v>92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1878</v>
      </c>
      <c r="C2105" s="40">
        <v>2092</v>
      </c>
      <c r="D2105" s="38" t="s">
        <v>1876</v>
      </c>
      <c r="E2105" s="4" t="s">
        <v>1010</v>
      </c>
      <c r="F2105" s="4" t="s">
        <v>5250</v>
      </c>
      <c r="G2105" s="382" t="s">
        <v>5605</v>
      </c>
      <c r="H2105" s="457" t="s">
        <v>5608</v>
      </c>
      <c r="I2105" s="447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30" t="s">
        <v>73</v>
      </c>
      <c r="U2105" s="2" t="s">
        <v>4</v>
      </c>
      <c r="V2105" s="150" t="s">
        <v>92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2069</v>
      </c>
      <c r="C2106" s="40">
        <v>2054</v>
      </c>
      <c r="D2106" s="38" t="s">
        <v>2064</v>
      </c>
      <c r="E2106" s="4" t="s">
        <v>1010</v>
      </c>
      <c r="F2106" s="4" t="s">
        <v>5251</v>
      </c>
      <c r="G2106" s="382" t="s">
        <v>5605</v>
      </c>
      <c r="H2106" s="457" t="s">
        <v>5608</v>
      </c>
      <c r="I2106" s="447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30" t="s">
        <v>73</v>
      </c>
      <c r="U2106" s="2" t="s">
        <v>4</v>
      </c>
      <c r="V2106" s="150" t="s">
        <v>92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2070</v>
      </c>
      <c r="C2107" s="40">
        <v>2055</v>
      </c>
      <c r="D2107" s="38" t="s">
        <v>2064</v>
      </c>
      <c r="E2107" s="4" t="s">
        <v>1010</v>
      </c>
      <c r="F2107" s="4" t="s">
        <v>5252</v>
      </c>
      <c r="G2107" s="382" t="s">
        <v>5605</v>
      </c>
      <c r="H2107" s="457" t="s">
        <v>5608</v>
      </c>
      <c r="I2107" s="447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30" t="s">
        <v>73</v>
      </c>
      <c r="U2107" s="2" t="s">
        <v>4</v>
      </c>
      <c r="V2107" s="150" t="s">
        <v>92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2078</v>
      </c>
      <c r="C2108" s="40">
        <v>1038</v>
      </c>
      <c r="D2108" s="38" t="s">
        <v>2077</v>
      </c>
      <c r="E2108" s="4" t="s">
        <v>300</v>
      </c>
      <c r="F2108" s="4" t="s">
        <v>5253</v>
      </c>
      <c r="G2108" s="382" t="s">
        <v>5605</v>
      </c>
      <c r="H2108" s="457" t="s">
        <v>5608</v>
      </c>
      <c r="I2108" s="447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331</v>
      </c>
      <c r="Q2108" s="396">
        <v>41.3</v>
      </c>
      <c r="R2108" s="396">
        <v>312</v>
      </c>
      <c r="S2108" s="396">
        <v>178</v>
      </c>
      <c r="T2108" s="30" t="s">
        <v>73</v>
      </c>
      <c r="U2108" s="2" t="s">
        <v>4</v>
      </c>
      <c r="V2108" s="150" t="s">
        <v>92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2182</v>
      </c>
      <c r="C2109" s="40">
        <v>431</v>
      </c>
      <c r="D2109" s="38" t="s">
        <v>2178</v>
      </c>
      <c r="E2109" s="4" t="s">
        <v>1010</v>
      </c>
      <c r="F2109" s="4" t="s">
        <v>5254</v>
      </c>
      <c r="G2109" s="382" t="s">
        <v>5605</v>
      </c>
      <c r="H2109" s="457" t="s">
        <v>5608</v>
      </c>
      <c r="I2109" s="447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30" t="s">
        <v>73</v>
      </c>
      <c r="U2109" s="2" t="s">
        <v>4</v>
      </c>
      <c r="V2109" s="150" t="s">
        <v>92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2183</v>
      </c>
      <c r="C2110" s="40">
        <v>432</v>
      </c>
      <c r="D2110" s="38" t="s">
        <v>2178</v>
      </c>
      <c r="E2110" s="4" t="s">
        <v>1010</v>
      </c>
      <c r="F2110" s="4" t="s">
        <v>5255</v>
      </c>
      <c r="G2110" s="382" t="s">
        <v>5605</v>
      </c>
      <c r="H2110" s="457" t="s">
        <v>5608</v>
      </c>
      <c r="I2110" s="447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30" t="s">
        <v>73</v>
      </c>
      <c r="U2110" s="2" t="s">
        <v>4</v>
      </c>
      <c r="V2110" s="150" t="s">
        <v>92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2188</v>
      </c>
      <c r="C2111" s="40">
        <v>276</v>
      </c>
      <c r="D2111" s="38" t="s">
        <v>2187</v>
      </c>
      <c r="E2111" s="4" t="s">
        <v>1010</v>
      </c>
      <c r="F2111" s="4" t="s">
        <v>5256</v>
      </c>
      <c r="G2111" s="382" t="s">
        <v>5605</v>
      </c>
      <c r="H2111" s="457" t="s">
        <v>5608</v>
      </c>
      <c r="I2111" s="447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30" t="s">
        <v>73</v>
      </c>
      <c r="U2111" s="2" t="s">
        <v>4</v>
      </c>
      <c r="V2111" s="150" t="s">
        <v>92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2220</v>
      </c>
      <c r="C2112" s="40">
        <v>1990</v>
      </c>
      <c r="D2112" s="38" t="s">
        <v>2219</v>
      </c>
      <c r="E2112" s="4" t="s">
        <v>1010</v>
      </c>
      <c r="F2112" s="4" t="s">
        <v>5257</v>
      </c>
      <c r="G2112" s="382" t="s">
        <v>5605</v>
      </c>
      <c r="H2112" s="457" t="s">
        <v>5608</v>
      </c>
      <c r="I2112" s="447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30" t="s">
        <v>73</v>
      </c>
      <c r="U2112" s="2" t="s">
        <v>4</v>
      </c>
      <c r="V2112" s="150" t="s">
        <v>92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2231</v>
      </c>
      <c r="C2113" s="40">
        <v>667</v>
      </c>
      <c r="D2113" s="38" t="s">
        <v>2230</v>
      </c>
      <c r="E2113" s="4" t="s">
        <v>300</v>
      </c>
      <c r="F2113" s="4" t="s">
        <v>5258</v>
      </c>
      <c r="G2113" s="382" t="s">
        <v>5605</v>
      </c>
      <c r="H2113" s="457" t="s">
        <v>5608</v>
      </c>
      <c r="I2113" s="447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233</v>
      </c>
      <c r="Q2113" s="396">
        <v>109</v>
      </c>
      <c r="R2113" s="396">
        <v>282</v>
      </c>
      <c r="S2113" s="396">
        <v>41.7</v>
      </c>
      <c r="T2113" s="30" t="s">
        <v>73</v>
      </c>
      <c r="U2113" s="2" t="s">
        <v>4</v>
      </c>
      <c r="V2113" s="150" t="s">
        <v>92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2232</v>
      </c>
      <c r="C2114" s="40">
        <v>695</v>
      </c>
      <c r="D2114" s="38" t="s">
        <v>2230</v>
      </c>
      <c r="E2114" s="4" t="s">
        <v>300</v>
      </c>
      <c r="F2114" s="4" t="s">
        <v>5259</v>
      </c>
      <c r="G2114" s="382" t="s">
        <v>5605</v>
      </c>
      <c r="H2114" s="457" t="s">
        <v>5608</v>
      </c>
      <c r="I2114" s="447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30" t="s">
        <v>73</v>
      </c>
      <c r="U2114" s="2" t="s">
        <v>4</v>
      </c>
      <c r="V2114" s="150" t="s">
        <v>92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2233</v>
      </c>
      <c r="C2115" s="40">
        <v>697</v>
      </c>
      <c r="D2115" s="38" t="s">
        <v>2230</v>
      </c>
      <c r="E2115" s="4" t="s">
        <v>300</v>
      </c>
      <c r="F2115" s="4" t="s">
        <v>5260</v>
      </c>
      <c r="G2115" s="382" t="s">
        <v>5605</v>
      </c>
      <c r="H2115" s="457" t="s">
        <v>5608</v>
      </c>
      <c r="I2115" s="447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30" t="s">
        <v>73</v>
      </c>
      <c r="U2115" s="2" t="s">
        <v>4</v>
      </c>
      <c r="V2115" s="150" t="s">
        <v>92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2498</v>
      </c>
      <c r="C2116" s="40">
        <v>2015</v>
      </c>
      <c r="D2116" s="38" t="s">
        <v>2497</v>
      </c>
      <c r="E2116" s="4" t="s">
        <v>1010</v>
      </c>
      <c r="F2116" s="4" t="s">
        <v>5261</v>
      </c>
      <c r="G2116" s="382" t="s">
        <v>5605</v>
      </c>
      <c r="H2116" s="457" t="s">
        <v>5608</v>
      </c>
      <c r="I2116" s="447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30" t="s">
        <v>73</v>
      </c>
      <c r="U2116" s="2" t="s">
        <v>4</v>
      </c>
      <c r="V2116" s="150" t="s">
        <v>92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2514</v>
      </c>
      <c r="C2117" s="40">
        <v>1998</v>
      </c>
      <c r="D2117" s="38" t="s">
        <v>2512</v>
      </c>
      <c r="E2117" s="4" t="s">
        <v>1010</v>
      </c>
      <c r="F2117" s="4" t="s">
        <v>5262</v>
      </c>
      <c r="G2117" s="382" t="s">
        <v>5605</v>
      </c>
      <c r="H2117" s="457" t="s">
        <v>5608</v>
      </c>
      <c r="I2117" s="447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30" t="s">
        <v>73</v>
      </c>
      <c r="U2117" s="2" t="s">
        <v>4</v>
      </c>
      <c r="V2117" s="150" t="s">
        <v>92</v>
      </c>
      <c r="W2117" s="39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2553</v>
      </c>
      <c r="E2118" s="4" t="s">
        <v>1010</v>
      </c>
      <c r="F2118" s="4" t="s">
        <v>5263</v>
      </c>
      <c r="G2118" s="382" t="s">
        <v>5605</v>
      </c>
      <c r="H2118" s="457" t="s">
        <v>5608</v>
      </c>
      <c r="I2118" s="447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30" t="s">
        <v>73</v>
      </c>
      <c r="U2118" s="2" t="s">
        <v>4</v>
      </c>
      <c r="V2118" s="150" t="s">
        <v>92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393"/>
      <c r="AK2118" s="393"/>
    </row>
    <row r="2119" spans="1:37" ht="28.2" thickBot="1" x14ac:dyDescent="0.35">
      <c r="A2119" s="15">
        <v>2118</v>
      </c>
      <c r="B2119" s="40" t="s">
        <v>2591</v>
      </c>
      <c r="C2119" s="40">
        <v>2021</v>
      </c>
      <c r="D2119" s="38" t="s">
        <v>2590</v>
      </c>
      <c r="E2119" s="4" t="s">
        <v>1010</v>
      </c>
      <c r="F2119" s="4" t="s">
        <v>5264</v>
      </c>
      <c r="G2119" s="382" t="s">
        <v>5605</v>
      </c>
      <c r="H2119" s="457" t="s">
        <v>5608</v>
      </c>
      <c r="I2119" s="447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30" t="s">
        <v>73</v>
      </c>
      <c r="U2119" s="2" t="s">
        <v>4</v>
      </c>
      <c r="V2119" s="150" t="s">
        <v>92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2594</v>
      </c>
      <c r="C2120" s="40">
        <v>2419</v>
      </c>
      <c r="D2120" s="38" t="s">
        <v>2593</v>
      </c>
      <c r="E2120" s="4" t="s">
        <v>1010</v>
      </c>
      <c r="F2120" s="4" t="s">
        <v>5265</v>
      </c>
      <c r="G2120" s="382" t="s">
        <v>5605</v>
      </c>
      <c r="H2120" s="457" t="s">
        <v>5608</v>
      </c>
      <c r="I2120" s="447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30" t="s">
        <v>73</v>
      </c>
      <c r="U2120" s="2" t="s">
        <v>4</v>
      </c>
      <c r="V2120" s="150" t="s">
        <v>92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2595</v>
      </c>
      <c r="C2121" s="40">
        <v>2425</v>
      </c>
      <c r="D2121" s="38" t="s">
        <v>2593</v>
      </c>
      <c r="E2121" s="4" t="s">
        <v>1010</v>
      </c>
      <c r="F2121" s="4" t="s">
        <v>5266</v>
      </c>
      <c r="G2121" s="382" t="s">
        <v>5605</v>
      </c>
      <c r="H2121" s="457" t="s">
        <v>5608</v>
      </c>
      <c r="I2121" s="447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30" t="s">
        <v>73</v>
      </c>
      <c r="U2121" s="2" t="s">
        <v>4</v>
      </c>
      <c r="V2121" s="150" t="s">
        <v>92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2615</v>
      </c>
      <c r="C2122" s="40">
        <v>2427</v>
      </c>
      <c r="D2122" s="38" t="s">
        <v>2614</v>
      </c>
      <c r="E2122" s="4" t="s">
        <v>300</v>
      </c>
      <c r="F2122" s="4" t="s">
        <v>5267</v>
      </c>
      <c r="G2122" s="382" t="s">
        <v>5605</v>
      </c>
      <c r="H2122" s="457" t="s">
        <v>5608</v>
      </c>
      <c r="I2122" s="447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30" t="s">
        <v>73</v>
      </c>
      <c r="U2122" s="2" t="s">
        <v>4</v>
      </c>
      <c r="V2122" s="150" t="s">
        <v>92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2664</v>
      </c>
      <c r="C2123" s="40">
        <v>654</v>
      </c>
      <c r="D2123" s="38" t="s">
        <v>2663</v>
      </c>
      <c r="E2123" s="4" t="s">
        <v>1010</v>
      </c>
      <c r="F2123" s="4" t="s">
        <v>5268</v>
      </c>
      <c r="G2123" s="382" t="s">
        <v>5605</v>
      </c>
      <c r="H2123" s="457" t="s">
        <v>5608</v>
      </c>
      <c r="I2123" s="447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30" t="s">
        <v>73</v>
      </c>
      <c r="U2123" s="2" t="s">
        <v>4</v>
      </c>
      <c r="V2123" s="150" t="s">
        <v>92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2693</v>
      </c>
      <c r="C2124" s="40">
        <v>217</v>
      </c>
      <c r="D2124" s="38" t="s">
        <v>2678</v>
      </c>
      <c r="E2124" s="4" t="s">
        <v>1010</v>
      </c>
      <c r="F2124" s="4" t="s">
        <v>5269</v>
      </c>
      <c r="G2124" s="382" t="s">
        <v>5605</v>
      </c>
      <c r="H2124" s="457" t="s">
        <v>5608</v>
      </c>
      <c r="I2124" s="447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30" t="s">
        <v>73</v>
      </c>
      <c r="U2124" s="2" t="s">
        <v>4</v>
      </c>
      <c r="V2124" s="150" t="s">
        <v>92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2696</v>
      </c>
      <c r="C2125" s="40">
        <v>185</v>
      </c>
      <c r="D2125" s="38" t="s">
        <v>2678</v>
      </c>
      <c r="E2125" s="4" t="s">
        <v>1010</v>
      </c>
      <c r="F2125" s="4" t="s">
        <v>5270</v>
      </c>
      <c r="G2125" s="382" t="s">
        <v>5605</v>
      </c>
      <c r="H2125" s="457" t="s">
        <v>5608</v>
      </c>
      <c r="I2125" s="447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30" t="s">
        <v>73</v>
      </c>
      <c r="U2125" s="2" t="s">
        <v>4</v>
      </c>
      <c r="V2125" s="150" t="s">
        <v>92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2697</v>
      </c>
      <c r="C2126" s="40">
        <v>186</v>
      </c>
      <c r="D2126" s="38" t="s">
        <v>2678</v>
      </c>
      <c r="E2126" s="4" t="s">
        <v>1010</v>
      </c>
      <c r="F2126" s="4" t="s">
        <v>5271</v>
      </c>
      <c r="G2126" s="382" t="s">
        <v>5605</v>
      </c>
      <c r="H2126" s="457" t="s">
        <v>5608</v>
      </c>
      <c r="I2126" s="447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30" t="s">
        <v>73</v>
      </c>
      <c r="U2126" s="2" t="s">
        <v>4</v>
      </c>
      <c r="V2126" s="150" t="s">
        <v>92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2795</v>
      </c>
      <c r="C2127" s="40">
        <v>1210</v>
      </c>
      <c r="D2127" s="38" t="s">
        <v>2794</v>
      </c>
      <c r="E2127" s="4" t="s">
        <v>300</v>
      </c>
      <c r="F2127" s="4" t="s">
        <v>5272</v>
      </c>
      <c r="G2127" s="382" t="s">
        <v>5605</v>
      </c>
      <c r="H2127" s="457" t="s">
        <v>5608</v>
      </c>
      <c r="I2127" s="447"/>
      <c r="J2127" s="43">
        <v>203957</v>
      </c>
      <c r="K2127" s="43">
        <v>2666648</v>
      </c>
      <c r="L2127" s="396" t="s">
        <v>412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30" t="s">
        <v>73</v>
      </c>
      <c r="U2127" s="2" t="s">
        <v>4</v>
      </c>
      <c r="V2127" s="150" t="s">
        <v>92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2860</v>
      </c>
      <c r="C2128" s="40">
        <v>1427</v>
      </c>
      <c r="D2128" s="38" t="s">
        <v>2859</v>
      </c>
      <c r="E2128" s="4" t="s">
        <v>300</v>
      </c>
      <c r="F2128" s="4" t="s">
        <v>5273</v>
      </c>
      <c r="G2128" s="382" t="s">
        <v>5605</v>
      </c>
      <c r="H2128" s="457" t="s">
        <v>5608</v>
      </c>
      <c r="I2128" s="447"/>
      <c r="J2128" s="43">
        <v>204127</v>
      </c>
      <c r="K2128" s="43">
        <v>2667190</v>
      </c>
      <c r="L2128" s="396" t="s">
        <v>412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30" t="s">
        <v>73</v>
      </c>
      <c r="U2128" s="2" t="s">
        <v>4</v>
      </c>
      <c r="V2128" s="150" t="s">
        <v>92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2861</v>
      </c>
      <c r="C2129" s="40">
        <v>1428</v>
      </c>
      <c r="D2129" s="38" t="s">
        <v>2859</v>
      </c>
      <c r="E2129" s="4" t="s">
        <v>300</v>
      </c>
      <c r="F2129" s="4" t="s">
        <v>5274</v>
      </c>
      <c r="G2129" s="382" t="s">
        <v>5605</v>
      </c>
      <c r="H2129" s="457" t="s">
        <v>5608</v>
      </c>
      <c r="I2129" s="447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30" t="s">
        <v>73</v>
      </c>
      <c r="U2129" s="2" t="s">
        <v>4</v>
      </c>
      <c r="V2129" s="150" t="s">
        <v>92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1111</v>
      </c>
      <c r="C2130" s="58">
        <v>649</v>
      </c>
      <c r="D2130" s="56" t="s">
        <v>1110</v>
      </c>
      <c r="E2130" s="400" t="s">
        <v>1010</v>
      </c>
      <c r="F2130" s="400" t="s">
        <v>5275</v>
      </c>
      <c r="G2130" s="382" t="s">
        <v>5605</v>
      </c>
      <c r="H2130" s="458" t="s">
        <v>5608</v>
      </c>
      <c r="I2130" s="447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30" t="s">
        <v>73</v>
      </c>
      <c r="U2130" s="59" t="s">
        <v>4</v>
      </c>
      <c r="V2130" s="150" t="s">
        <v>92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489</v>
      </c>
      <c r="C2131" s="29">
        <v>1159</v>
      </c>
      <c r="D2131" s="27" t="s">
        <v>488</v>
      </c>
      <c r="E2131" s="350" t="s">
        <v>300</v>
      </c>
      <c r="F2131" s="350" t="s">
        <v>5276</v>
      </c>
      <c r="G2131" s="382" t="s">
        <v>5605</v>
      </c>
      <c r="H2131" s="458" t="s">
        <v>5608</v>
      </c>
      <c r="I2131" s="447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30" t="s">
        <v>73</v>
      </c>
      <c r="U2131" s="59" t="s">
        <v>4</v>
      </c>
      <c r="V2131" s="150" t="s">
        <v>92</v>
      </c>
      <c r="W2131" s="27">
        <v>113</v>
      </c>
      <c r="X2131" s="350"/>
      <c r="Y2131" s="350"/>
      <c r="Z2131" s="29" t="s">
        <v>2939</v>
      </c>
      <c r="AA2131" s="350"/>
      <c r="AB2131" s="350"/>
      <c r="AC2131" s="350"/>
      <c r="AD2131" s="29" t="s">
        <v>2939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71</v>
      </c>
      <c r="C2132" s="29">
        <v>1902</v>
      </c>
      <c r="D2132" s="27" t="s">
        <v>70</v>
      </c>
      <c r="E2132" s="350" t="s">
        <v>48</v>
      </c>
      <c r="F2132" s="350" t="s">
        <v>5277</v>
      </c>
      <c r="G2132" s="382" t="s">
        <v>5605</v>
      </c>
      <c r="H2132" s="458" t="s">
        <v>5608</v>
      </c>
      <c r="I2132" s="447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72</v>
      </c>
      <c r="Q2132" s="33">
        <v>38.5</v>
      </c>
      <c r="R2132" s="33">
        <v>298</v>
      </c>
      <c r="S2132" s="33">
        <v>109</v>
      </c>
      <c r="T2132" s="30" t="s">
        <v>73</v>
      </c>
      <c r="U2132" s="30" t="s">
        <v>73</v>
      </c>
      <c r="V2132" s="150" t="s">
        <v>92</v>
      </c>
      <c r="W2132" s="31">
        <v>113</v>
      </c>
      <c r="X2132" s="350"/>
      <c r="Y2132" s="350"/>
      <c r="Z2132" s="350"/>
      <c r="AA2132" s="350"/>
      <c r="AB2132" s="350"/>
      <c r="AC2132" s="29" t="s">
        <v>2894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74</v>
      </c>
      <c r="E2133" s="4" t="s">
        <v>48</v>
      </c>
      <c r="F2133" s="4" t="s">
        <v>5278</v>
      </c>
      <c r="G2133" s="382" t="s">
        <v>5605</v>
      </c>
      <c r="H2133" s="458" t="s">
        <v>5608</v>
      </c>
      <c r="I2133" s="447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30" t="s">
        <v>73</v>
      </c>
      <c r="U2133" s="2" t="str">
        <f>U2132</f>
        <v>難以採樣</v>
      </c>
      <c r="V2133" s="150" t="s">
        <v>92</v>
      </c>
      <c r="W2133" s="41">
        <v>113</v>
      </c>
      <c r="X2133" s="4"/>
      <c r="Y2133" s="4"/>
      <c r="Z2133" s="4"/>
      <c r="AA2133" s="4"/>
      <c r="AB2133" s="4"/>
      <c r="AC2133" s="40" t="s">
        <v>2894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70</v>
      </c>
      <c r="E2134" s="4" t="s">
        <v>48</v>
      </c>
      <c r="F2134" s="4" t="s">
        <v>5279</v>
      </c>
      <c r="G2134" s="382" t="s">
        <v>5605</v>
      </c>
      <c r="H2134" s="458" t="s">
        <v>5608</v>
      </c>
      <c r="I2134" s="447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30" t="s">
        <v>73</v>
      </c>
      <c r="U2134" s="2" t="str">
        <f>U2132</f>
        <v>難以採樣</v>
      </c>
      <c r="V2134" s="150" t="s">
        <v>92</v>
      </c>
      <c r="W2134" s="41">
        <v>113</v>
      </c>
      <c r="X2134" s="4"/>
      <c r="Y2134" s="4"/>
      <c r="Z2134" s="4"/>
      <c r="AA2134" s="4"/>
      <c r="AB2134" s="4"/>
      <c r="AC2134" s="40" t="s">
        <v>2894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75</v>
      </c>
      <c r="C2135" s="40">
        <v>1905</v>
      </c>
      <c r="D2135" s="38" t="s">
        <v>70</v>
      </c>
      <c r="E2135" s="4" t="s">
        <v>48</v>
      </c>
      <c r="F2135" s="4" t="s">
        <v>5280</v>
      </c>
      <c r="G2135" s="382" t="s">
        <v>5605</v>
      </c>
      <c r="H2135" s="458" t="s">
        <v>5608</v>
      </c>
      <c r="I2135" s="447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30" t="s">
        <v>73</v>
      </c>
      <c r="U2135" s="2" t="s">
        <v>73</v>
      </c>
      <c r="V2135" s="150" t="s">
        <v>92</v>
      </c>
      <c r="W2135" s="41">
        <v>113</v>
      </c>
      <c r="X2135" s="4"/>
      <c r="Y2135" s="4"/>
      <c r="Z2135" s="4"/>
      <c r="AA2135" s="4"/>
      <c r="AB2135" s="4"/>
      <c r="AC2135" s="40" t="s">
        <v>2894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76</v>
      </c>
      <c r="C2136" s="40">
        <v>1907</v>
      </c>
      <c r="D2136" s="38" t="s">
        <v>70</v>
      </c>
      <c r="E2136" s="4" t="s">
        <v>48</v>
      </c>
      <c r="F2136" s="4" t="s">
        <v>5281</v>
      </c>
      <c r="G2136" s="382" t="s">
        <v>5605</v>
      </c>
      <c r="H2136" s="458" t="s">
        <v>5608</v>
      </c>
      <c r="I2136" s="447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30" t="s">
        <v>73</v>
      </c>
      <c r="U2136" s="2" t="str">
        <f>U2134</f>
        <v>難以採樣</v>
      </c>
      <c r="V2136" s="150" t="s">
        <v>92</v>
      </c>
      <c r="W2136" s="41">
        <v>113</v>
      </c>
      <c r="X2136" s="4"/>
      <c r="Y2136" s="4"/>
      <c r="Z2136" s="4"/>
      <c r="AA2136" s="4"/>
      <c r="AB2136" s="4"/>
      <c r="AC2136" s="40" t="s">
        <v>2894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70</v>
      </c>
      <c r="E2137" s="4" t="s">
        <v>48</v>
      </c>
      <c r="F2137" s="4" t="s">
        <v>5282</v>
      </c>
      <c r="G2137" s="382" t="s">
        <v>5605</v>
      </c>
      <c r="H2137" s="458" t="s">
        <v>5608</v>
      </c>
      <c r="I2137" s="447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30" t="s">
        <v>73</v>
      </c>
      <c r="U2137" s="2" t="str">
        <f>U2136</f>
        <v>難以採樣</v>
      </c>
      <c r="V2137" s="150" t="s">
        <v>92</v>
      </c>
      <c r="W2137" s="41">
        <v>113</v>
      </c>
      <c r="X2137" s="4"/>
      <c r="Y2137" s="4"/>
      <c r="Z2137" s="4"/>
      <c r="AA2137" s="4"/>
      <c r="AB2137" s="4"/>
      <c r="AC2137" s="40" t="s">
        <v>2894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70</v>
      </c>
      <c r="E2138" s="4" t="s">
        <v>48</v>
      </c>
      <c r="F2138" s="4" t="s">
        <v>5283</v>
      </c>
      <c r="G2138" s="382" t="s">
        <v>5605</v>
      </c>
      <c r="H2138" s="458" t="s">
        <v>5608</v>
      </c>
      <c r="I2138" s="447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30" t="s">
        <v>73</v>
      </c>
      <c r="U2138" s="2" t="str">
        <f>U2136</f>
        <v>難以採樣</v>
      </c>
      <c r="V2138" s="150" t="s">
        <v>92</v>
      </c>
      <c r="W2138" s="41">
        <v>113</v>
      </c>
      <c r="X2138" s="4"/>
      <c r="Y2138" s="4"/>
      <c r="Z2138" s="4"/>
      <c r="AA2138" s="4"/>
      <c r="AB2138" s="4"/>
      <c r="AC2138" s="40" t="s">
        <v>2894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70</v>
      </c>
      <c r="E2139" s="4" t="s">
        <v>48</v>
      </c>
      <c r="F2139" s="4" t="s">
        <v>5284</v>
      </c>
      <c r="G2139" s="382" t="s">
        <v>5605</v>
      </c>
      <c r="H2139" s="458" t="s">
        <v>5608</v>
      </c>
      <c r="I2139" s="447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77</v>
      </c>
      <c r="Q2139" s="43">
        <v>34.1</v>
      </c>
      <c r="R2139" s="43">
        <v>555</v>
      </c>
      <c r="S2139" s="43">
        <v>98.2</v>
      </c>
      <c r="T2139" s="30" t="s">
        <v>73</v>
      </c>
      <c r="U2139" s="2" t="s">
        <v>73</v>
      </c>
      <c r="V2139" s="150" t="s">
        <v>92</v>
      </c>
      <c r="W2139" s="41">
        <v>113</v>
      </c>
      <c r="X2139" s="4"/>
      <c r="Y2139" s="4"/>
      <c r="Z2139" s="4"/>
      <c r="AA2139" s="4"/>
      <c r="AB2139" s="4"/>
      <c r="AC2139" s="40" t="s">
        <v>2894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78</v>
      </c>
      <c r="E2140" s="387" t="s">
        <v>48</v>
      </c>
      <c r="F2140" s="387" t="s">
        <v>5285</v>
      </c>
      <c r="G2140" s="382" t="s">
        <v>5605</v>
      </c>
      <c r="H2140" s="458" t="s">
        <v>5608</v>
      </c>
      <c r="I2140" s="447"/>
      <c r="J2140" s="43">
        <v>204010</v>
      </c>
      <c r="K2140" s="43">
        <v>2657306</v>
      </c>
      <c r="L2140" s="187" t="s">
        <v>40</v>
      </c>
      <c r="M2140" s="389">
        <v>10</v>
      </c>
      <c r="N2140" s="187">
        <v>87</v>
      </c>
      <c r="O2140" s="187">
        <v>189</v>
      </c>
      <c r="P2140" s="187" t="s">
        <v>41</v>
      </c>
      <c r="Q2140" s="187">
        <v>41</v>
      </c>
      <c r="R2140" s="187">
        <v>265</v>
      </c>
      <c r="S2140" s="187">
        <v>109</v>
      </c>
      <c r="T2140" s="30" t="s">
        <v>73</v>
      </c>
      <c r="U2140" s="2" t="s">
        <v>73</v>
      </c>
      <c r="V2140" s="150" t="s">
        <v>92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124</v>
      </c>
      <c r="C2141" s="75">
        <v>1087</v>
      </c>
      <c r="D2141" s="67" t="s">
        <v>123</v>
      </c>
      <c r="E2141" s="317" t="s">
        <v>48</v>
      </c>
      <c r="F2141" s="317" t="s">
        <v>5286</v>
      </c>
      <c r="G2141" s="382" t="s">
        <v>5605</v>
      </c>
      <c r="H2141" s="458" t="s">
        <v>5608</v>
      </c>
      <c r="I2141" s="447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30" t="s">
        <v>73</v>
      </c>
      <c r="U2141" s="2" t="s">
        <v>73</v>
      </c>
      <c r="V2141" s="150" t="s">
        <v>92</v>
      </c>
      <c r="W2141" s="67">
        <v>113</v>
      </c>
      <c r="X2141" s="317"/>
      <c r="Y2141" s="317"/>
      <c r="Z2141" s="317"/>
      <c r="AA2141" s="317"/>
      <c r="AB2141" s="317"/>
      <c r="AC2141" s="75" t="s">
        <v>2939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125</v>
      </c>
      <c r="C2142" s="40">
        <v>1096</v>
      </c>
      <c r="D2142" s="38" t="s">
        <v>123</v>
      </c>
      <c r="E2142" s="4" t="s">
        <v>48</v>
      </c>
      <c r="F2142" s="4" t="s">
        <v>5287</v>
      </c>
      <c r="G2142" s="382" t="s">
        <v>5605</v>
      </c>
      <c r="H2142" s="458" t="s">
        <v>5608</v>
      </c>
      <c r="I2142" s="447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30" t="s">
        <v>73</v>
      </c>
      <c r="U2142" s="2" t="s">
        <v>73</v>
      </c>
      <c r="V2142" s="150" t="s">
        <v>92</v>
      </c>
      <c r="W2142" s="38">
        <v>113</v>
      </c>
      <c r="X2142" s="4"/>
      <c r="Y2142" s="4"/>
      <c r="Z2142" s="4"/>
      <c r="AA2142" s="4"/>
      <c r="AB2142" s="4"/>
      <c r="AC2142" s="40" t="s">
        <v>2939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577</v>
      </c>
      <c r="C2143" s="40">
        <v>1843</v>
      </c>
      <c r="D2143" s="38" t="s">
        <v>3125</v>
      </c>
      <c r="E2143" s="4" t="s">
        <v>300</v>
      </c>
      <c r="F2143" s="4" t="s">
        <v>5288</v>
      </c>
      <c r="G2143" s="382" t="s">
        <v>5605</v>
      </c>
      <c r="H2143" s="458" t="s">
        <v>5608</v>
      </c>
      <c r="I2143" s="447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331</v>
      </c>
      <c r="Q2143" s="43">
        <v>34.5</v>
      </c>
      <c r="R2143" s="43">
        <v>295</v>
      </c>
      <c r="S2143" s="43">
        <v>70.5</v>
      </c>
      <c r="T2143" s="30" t="s">
        <v>73</v>
      </c>
      <c r="U2143" s="2" t="s">
        <v>73</v>
      </c>
      <c r="V2143" s="2" t="s">
        <v>575</v>
      </c>
      <c r="W2143" s="41">
        <v>113</v>
      </c>
      <c r="X2143" s="4"/>
      <c r="Y2143" s="392"/>
      <c r="Z2143" s="4"/>
      <c r="AA2143" s="4"/>
      <c r="AB2143" s="40" t="s">
        <v>2898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637</v>
      </c>
      <c r="C2144" s="427">
        <v>999</v>
      </c>
      <c r="D2144" s="17" t="s">
        <v>636</v>
      </c>
      <c r="E2144" s="428" t="s">
        <v>300</v>
      </c>
      <c r="F2144" s="428" t="s">
        <v>5289</v>
      </c>
      <c r="G2144" s="382" t="s">
        <v>5605</v>
      </c>
      <c r="H2144" s="458" t="s">
        <v>5608</v>
      </c>
      <c r="I2144" s="447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633</v>
      </c>
      <c r="Q2144" s="23">
        <v>38.299999999999997</v>
      </c>
      <c r="R2144" s="23">
        <v>231</v>
      </c>
      <c r="S2144" s="23">
        <v>95.8</v>
      </c>
      <c r="T2144" s="30" t="s">
        <v>73</v>
      </c>
      <c r="U2144" s="20" t="s">
        <v>4</v>
      </c>
      <c r="V2144" s="150" t="s">
        <v>92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2894</v>
      </c>
      <c r="AF2144" s="428"/>
      <c r="AG2144" s="428"/>
      <c r="AH2144" s="428"/>
      <c r="AI2144" s="428"/>
      <c r="AJ2144" s="2" t="s">
        <v>73</v>
      </c>
      <c r="AK2144" s="429"/>
    </row>
    <row r="2145" spans="1:37" ht="28.2" thickBot="1" x14ac:dyDescent="0.35">
      <c r="A2145" s="15">
        <v>2144</v>
      </c>
      <c r="B2145" s="40" t="s">
        <v>848</v>
      </c>
      <c r="C2145" s="40">
        <v>2385</v>
      </c>
      <c r="D2145" s="38" t="s">
        <v>844</v>
      </c>
      <c r="E2145" s="40" t="s">
        <v>2915</v>
      </c>
      <c r="F2145" s="40" t="s">
        <v>5290</v>
      </c>
      <c r="G2145" s="382" t="s">
        <v>5605</v>
      </c>
      <c r="H2145" s="458" t="s">
        <v>5608</v>
      </c>
      <c r="I2145" s="447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30" t="s">
        <v>73</v>
      </c>
      <c r="U2145" s="2" t="s">
        <v>73</v>
      </c>
      <c r="V2145" s="451" t="s">
        <v>575</v>
      </c>
      <c r="W2145" s="39">
        <v>113</v>
      </c>
      <c r="X2145" s="38"/>
      <c r="Y2145" s="38"/>
      <c r="Z2145" s="40" t="s">
        <v>2939</v>
      </c>
      <c r="AA2145" s="40"/>
      <c r="AB2145" s="38"/>
      <c r="AC2145" s="38"/>
      <c r="AD2145" s="38"/>
      <c r="AE2145" s="38" t="s">
        <v>2939</v>
      </c>
      <c r="AF2145" s="40"/>
      <c r="AG2145" s="40"/>
      <c r="AH2145" s="40"/>
      <c r="AI2145" s="40"/>
      <c r="AJ2145" s="2" t="s">
        <v>73</v>
      </c>
      <c r="AK2145" s="132"/>
    </row>
    <row r="2146" spans="1:37" ht="28.2" thickBot="1" x14ac:dyDescent="0.35">
      <c r="A2146" s="15">
        <v>2145</v>
      </c>
      <c r="B2146" s="29" t="s">
        <v>1012</v>
      </c>
      <c r="C2146" s="29">
        <v>2332</v>
      </c>
      <c r="D2146" s="27" t="s">
        <v>1190</v>
      </c>
      <c r="E2146" s="29" t="s">
        <v>2915</v>
      </c>
      <c r="F2146" s="29" t="s">
        <v>5291</v>
      </c>
      <c r="G2146" s="382" t="s">
        <v>5605</v>
      </c>
      <c r="H2146" s="458" t="s">
        <v>5608</v>
      </c>
      <c r="I2146" s="447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30" t="s">
        <v>73</v>
      </c>
      <c r="U2146" s="30" t="s">
        <v>73</v>
      </c>
      <c r="V2146" s="150" t="s">
        <v>92</v>
      </c>
      <c r="W2146" s="28">
        <v>113</v>
      </c>
      <c r="X2146" s="29"/>
      <c r="Y2146" s="102"/>
      <c r="Z2146" s="29"/>
      <c r="AA2146" s="29" t="s">
        <v>2939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2917</v>
      </c>
      <c r="AK2146" s="77"/>
    </row>
    <row r="2147" spans="1:37" ht="28.2" thickBot="1" x14ac:dyDescent="0.35">
      <c r="A2147" s="15">
        <v>2146</v>
      </c>
      <c r="B2147" s="40" t="s">
        <v>1248</v>
      </c>
      <c r="C2147" s="40">
        <v>2218</v>
      </c>
      <c r="D2147" s="38" t="s">
        <v>3126</v>
      </c>
      <c r="E2147" s="4" t="s">
        <v>300</v>
      </c>
      <c r="F2147" s="4" t="s">
        <v>5292</v>
      </c>
      <c r="G2147" s="382" t="s">
        <v>5605</v>
      </c>
      <c r="H2147" s="458" t="s">
        <v>5608</v>
      </c>
      <c r="I2147" s="447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30" t="s">
        <v>73</v>
      </c>
      <c r="U2147" s="2" t="s">
        <v>73</v>
      </c>
      <c r="V2147" s="150" t="s">
        <v>92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73</v>
      </c>
      <c r="AK2147" s="393"/>
    </row>
    <row r="2148" spans="1:37" ht="28.2" thickBot="1" x14ac:dyDescent="0.35">
      <c r="A2148" s="15">
        <v>2147</v>
      </c>
      <c r="B2148" s="40" t="s">
        <v>1372</v>
      </c>
      <c r="C2148" s="40">
        <v>263</v>
      </c>
      <c r="D2148" s="38" t="s">
        <v>1370</v>
      </c>
      <c r="E2148" s="4" t="s">
        <v>1010</v>
      </c>
      <c r="F2148" s="4" t="s">
        <v>5293</v>
      </c>
      <c r="G2148" s="382" t="s">
        <v>5605</v>
      </c>
      <c r="H2148" s="458" t="s">
        <v>5608</v>
      </c>
      <c r="I2148" s="447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30" t="s">
        <v>73</v>
      </c>
      <c r="U2148" s="2" t="s">
        <v>73</v>
      </c>
      <c r="V2148" s="150" t="s">
        <v>92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73</v>
      </c>
      <c r="AK2148" s="393"/>
    </row>
    <row r="2149" spans="1:37" ht="14.4" thickBot="1" x14ac:dyDescent="0.35">
      <c r="A2149" s="15">
        <v>2148</v>
      </c>
      <c r="B2149" s="75" t="s">
        <v>1375</v>
      </c>
      <c r="C2149" s="75">
        <v>285</v>
      </c>
      <c r="D2149" s="67" t="s">
        <v>1374</v>
      </c>
      <c r="E2149" s="75" t="s">
        <v>2963</v>
      </c>
      <c r="F2149" s="75" t="s">
        <v>5294</v>
      </c>
      <c r="G2149" s="382" t="s">
        <v>5605</v>
      </c>
      <c r="H2149" s="435" t="s">
        <v>5608</v>
      </c>
      <c r="I2149" s="447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30" t="s">
        <v>73</v>
      </c>
      <c r="U2149" s="69" t="s">
        <v>73</v>
      </c>
      <c r="V2149" s="150" t="s">
        <v>92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73</v>
      </c>
      <c r="AK2149" s="431"/>
    </row>
    <row r="2150" spans="1:37" ht="14.4" thickBot="1" x14ac:dyDescent="0.35">
      <c r="A2150" s="15">
        <v>2149</v>
      </c>
      <c r="B2150" s="83" t="s">
        <v>1377</v>
      </c>
      <c r="C2150" s="83">
        <v>353</v>
      </c>
      <c r="D2150" s="113" t="s">
        <v>1376</v>
      </c>
      <c r="E2150" s="83" t="s">
        <v>2963</v>
      </c>
      <c r="F2150" s="83" t="s">
        <v>5295</v>
      </c>
      <c r="G2150" s="382" t="s">
        <v>5605</v>
      </c>
      <c r="H2150" s="340" t="s">
        <v>5608</v>
      </c>
      <c r="I2150" s="447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30" t="s">
        <v>73</v>
      </c>
      <c r="U2150" s="85" t="s">
        <v>73</v>
      </c>
      <c r="V2150" s="150" t="s">
        <v>92</v>
      </c>
      <c r="W2150" s="86">
        <v>113</v>
      </c>
      <c r="X2150" s="83"/>
      <c r="Y2150" s="83"/>
      <c r="Z2150" s="83" t="s">
        <v>2939</v>
      </c>
      <c r="AA2150" s="83"/>
      <c r="AB2150" s="83"/>
      <c r="AC2150" s="83"/>
      <c r="AD2150" s="83"/>
      <c r="AE2150" s="83" t="s">
        <v>2939</v>
      </c>
      <c r="AF2150" s="83"/>
      <c r="AG2150" s="83"/>
      <c r="AH2150" s="83"/>
      <c r="AI2150" s="83"/>
      <c r="AJ2150" s="432" t="s">
        <v>73</v>
      </c>
      <c r="AK2150" s="433"/>
    </row>
    <row r="2151" spans="1:37" ht="28.2" thickBot="1" x14ac:dyDescent="0.35">
      <c r="A2151" s="15">
        <v>2150</v>
      </c>
      <c r="B2151" s="40" t="s">
        <v>1415</v>
      </c>
      <c r="C2151" s="40">
        <v>2224</v>
      </c>
      <c r="D2151" s="38" t="s">
        <v>1409</v>
      </c>
      <c r="E2151" s="4" t="s">
        <v>300</v>
      </c>
      <c r="F2151" s="4" t="s">
        <v>5296</v>
      </c>
      <c r="G2151" s="382" t="s">
        <v>5605</v>
      </c>
      <c r="H2151" s="340" t="s">
        <v>5608</v>
      </c>
      <c r="I2151" s="447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30" t="s">
        <v>73</v>
      </c>
      <c r="U2151" s="2" t="s">
        <v>73</v>
      </c>
      <c r="V2151" s="150" t="s">
        <v>92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73</v>
      </c>
      <c r="AK2151" s="393"/>
    </row>
    <row r="2152" spans="1:37" ht="28.2" thickBot="1" x14ac:dyDescent="0.35">
      <c r="A2152" s="15">
        <v>2151</v>
      </c>
      <c r="B2152" s="40" t="s">
        <v>1486</v>
      </c>
      <c r="C2152" s="40">
        <v>1710</v>
      </c>
      <c r="D2152" s="38" t="s">
        <v>1483</v>
      </c>
      <c r="E2152" s="4" t="s">
        <v>457</v>
      </c>
      <c r="F2152" s="4" t="s">
        <v>5297</v>
      </c>
      <c r="G2152" s="382" t="s">
        <v>5605</v>
      </c>
      <c r="H2152" s="340" t="s">
        <v>5608</v>
      </c>
      <c r="I2152" s="447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30" t="s">
        <v>73</v>
      </c>
      <c r="U2152" s="2" t="s">
        <v>73</v>
      </c>
      <c r="V2152" s="150" t="s">
        <v>92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73</v>
      </c>
      <c r="AK2152" s="393"/>
    </row>
    <row r="2153" spans="1:37" ht="28.2" thickBot="1" x14ac:dyDescent="0.35">
      <c r="A2153" s="15">
        <v>2152</v>
      </c>
      <c r="B2153" s="40" t="s">
        <v>1715</v>
      </c>
      <c r="C2153" s="40">
        <v>2207</v>
      </c>
      <c r="D2153" s="38" t="s">
        <v>1714</v>
      </c>
      <c r="E2153" s="4" t="s">
        <v>300</v>
      </c>
      <c r="F2153" s="4" t="s">
        <v>5298</v>
      </c>
      <c r="G2153" s="382" t="s">
        <v>5605</v>
      </c>
      <c r="H2153" s="340" t="s">
        <v>5608</v>
      </c>
      <c r="I2153" s="447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30" t="s">
        <v>73</v>
      </c>
      <c r="U2153" s="2" t="s">
        <v>73</v>
      </c>
      <c r="V2153" s="150" t="s">
        <v>92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73</v>
      </c>
      <c r="AK2153" s="393"/>
    </row>
    <row r="2154" spans="1:37" ht="27" thickBot="1" x14ac:dyDescent="0.35">
      <c r="A2154" s="15">
        <v>2153</v>
      </c>
      <c r="B2154" s="40" t="s">
        <v>1602</v>
      </c>
      <c r="C2154" s="40">
        <v>1047</v>
      </c>
      <c r="D2154" s="38" t="s">
        <v>1600</v>
      </c>
      <c r="E2154" s="40" t="s">
        <v>2915</v>
      </c>
      <c r="F2154" s="40" t="s">
        <v>5299</v>
      </c>
      <c r="G2154" s="382" t="s">
        <v>5605</v>
      </c>
      <c r="H2154" s="340" t="s">
        <v>5608</v>
      </c>
      <c r="I2154" s="447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30" t="s">
        <v>73</v>
      </c>
      <c r="U2154" s="2" t="s">
        <v>73</v>
      </c>
      <c r="V2154" s="150" t="s">
        <v>92</v>
      </c>
      <c r="W2154" s="39">
        <v>113</v>
      </c>
      <c r="X2154" s="40"/>
      <c r="Y2154" s="40"/>
      <c r="Z2154" s="40"/>
      <c r="AA2154" s="40" t="s">
        <v>2939</v>
      </c>
      <c r="AB2154" s="40"/>
      <c r="AC2154" s="40"/>
      <c r="AD2154" s="40"/>
      <c r="AE2154" s="40" t="s">
        <v>2939</v>
      </c>
      <c r="AF2154" s="40"/>
      <c r="AG2154" s="40"/>
      <c r="AH2154" s="40"/>
      <c r="AI2154" s="40"/>
      <c r="AJ2154" s="79" t="s">
        <v>73</v>
      </c>
      <c r="AK2154" s="196"/>
    </row>
    <row r="2155" spans="1:37" ht="28.2" thickBot="1" x14ac:dyDescent="0.35">
      <c r="A2155" s="15">
        <v>2154</v>
      </c>
      <c r="B2155" s="83" t="s">
        <v>1737</v>
      </c>
      <c r="C2155" s="83">
        <v>2125</v>
      </c>
      <c r="D2155" s="113" t="s">
        <v>1732</v>
      </c>
      <c r="E2155" s="83" t="s">
        <v>2963</v>
      </c>
      <c r="F2155" s="83" t="s">
        <v>5300</v>
      </c>
      <c r="G2155" s="382" t="s">
        <v>5605</v>
      </c>
      <c r="H2155" s="340" t="s">
        <v>5608</v>
      </c>
      <c r="I2155" s="447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30" t="s">
        <v>73</v>
      </c>
      <c r="U2155" s="2" t="s">
        <v>73</v>
      </c>
      <c r="V2155" s="150" t="s">
        <v>92</v>
      </c>
      <c r="W2155" s="86">
        <v>112</v>
      </c>
      <c r="X2155" s="83"/>
      <c r="Y2155" s="83"/>
      <c r="Z2155" s="83"/>
      <c r="AA2155" s="83" t="s">
        <v>2939</v>
      </c>
      <c r="AB2155" s="83"/>
      <c r="AC2155" s="83"/>
      <c r="AD2155" s="83"/>
      <c r="AE2155" s="83"/>
      <c r="AF2155" s="83"/>
      <c r="AG2155" s="83"/>
      <c r="AH2155" s="83"/>
      <c r="AI2155" s="83" t="s">
        <v>2977</v>
      </c>
      <c r="AJ2155" s="86"/>
      <c r="AK2155" s="191"/>
    </row>
    <row r="2156" spans="1:37" ht="14.4" thickBot="1" x14ac:dyDescent="0.35">
      <c r="A2156" s="15">
        <v>2155</v>
      </c>
      <c r="B2156" s="83" t="s">
        <v>1872</v>
      </c>
      <c r="C2156" s="83">
        <v>2094</v>
      </c>
      <c r="D2156" s="113" t="s">
        <v>1866</v>
      </c>
      <c r="E2156" s="83" t="s">
        <v>2963</v>
      </c>
      <c r="F2156" s="83" t="s">
        <v>5301</v>
      </c>
      <c r="G2156" s="382" t="s">
        <v>5605</v>
      </c>
      <c r="H2156" s="340" t="s">
        <v>5608</v>
      </c>
      <c r="I2156" s="447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30" t="s">
        <v>73</v>
      </c>
      <c r="U2156" s="85" t="s">
        <v>73</v>
      </c>
      <c r="V2156" s="150" t="s">
        <v>92</v>
      </c>
      <c r="W2156" s="86">
        <v>113</v>
      </c>
      <c r="X2156" s="83"/>
      <c r="Y2156" s="137"/>
      <c r="Z2156" s="83"/>
      <c r="AA2156" s="83"/>
      <c r="AB2156" s="83"/>
      <c r="AC2156" s="83" t="s">
        <v>2898</v>
      </c>
      <c r="AD2156" s="83"/>
      <c r="AE2156" s="83"/>
      <c r="AF2156" s="83"/>
      <c r="AG2156" s="83"/>
      <c r="AH2156" s="83"/>
      <c r="AI2156" s="83"/>
      <c r="AJ2156" s="112" t="s">
        <v>73</v>
      </c>
      <c r="AK2156" s="197"/>
    </row>
    <row r="2157" spans="1:37" ht="14.4" thickBot="1" x14ac:dyDescent="0.35">
      <c r="A2157" s="15">
        <v>2156</v>
      </c>
      <c r="B2157" s="40" t="s">
        <v>1960</v>
      </c>
      <c r="C2157" s="40">
        <v>1698</v>
      </c>
      <c r="D2157" s="38" t="s">
        <v>1955</v>
      </c>
      <c r="E2157" s="40" t="s">
        <v>2929</v>
      </c>
      <c r="F2157" s="40" t="s">
        <v>5302</v>
      </c>
      <c r="G2157" s="382" t="s">
        <v>5605</v>
      </c>
      <c r="H2157" s="340" t="s">
        <v>5608</v>
      </c>
      <c r="I2157" s="447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30" t="s">
        <v>73</v>
      </c>
      <c r="U2157" s="2" t="s">
        <v>73</v>
      </c>
      <c r="V2157" s="150" t="s">
        <v>92</v>
      </c>
      <c r="W2157" s="39">
        <v>113</v>
      </c>
      <c r="X2157" s="40"/>
      <c r="Y2157" s="40"/>
      <c r="Z2157" s="40" t="s">
        <v>2939</v>
      </c>
      <c r="AA2157" s="40"/>
      <c r="AB2157" s="40"/>
      <c r="AC2157" s="40" t="s">
        <v>2898</v>
      </c>
      <c r="AD2157" s="40"/>
      <c r="AE2157" s="40"/>
      <c r="AF2157" s="40"/>
      <c r="AG2157" s="40"/>
      <c r="AH2157" s="40"/>
      <c r="AI2157" s="40"/>
      <c r="AJ2157" s="79" t="s">
        <v>73</v>
      </c>
      <c r="AK2157" s="196"/>
    </row>
    <row r="2158" spans="1:37" ht="14.4" thickBot="1" x14ac:dyDescent="0.35">
      <c r="A2158" s="15">
        <v>2157</v>
      </c>
      <c r="B2158" s="83" t="s">
        <v>1961</v>
      </c>
      <c r="C2158" s="83">
        <v>1700</v>
      </c>
      <c r="D2158" s="113" t="s">
        <v>1955</v>
      </c>
      <c r="E2158" s="83" t="s">
        <v>2929</v>
      </c>
      <c r="F2158" s="83" t="s">
        <v>5303</v>
      </c>
      <c r="G2158" s="382" t="s">
        <v>5605</v>
      </c>
      <c r="H2158" s="340" t="s">
        <v>5608</v>
      </c>
      <c r="I2158" s="447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30" t="s">
        <v>73</v>
      </c>
      <c r="U2158" s="85" t="s">
        <v>73</v>
      </c>
      <c r="V2158" s="150" t="s">
        <v>92</v>
      </c>
      <c r="W2158" s="86">
        <v>113</v>
      </c>
      <c r="X2158" s="83"/>
      <c r="Y2158" s="83"/>
      <c r="Z2158" s="83" t="s">
        <v>2939</v>
      </c>
      <c r="AA2158" s="83"/>
      <c r="AB2158" s="83"/>
      <c r="AC2158" s="83" t="s">
        <v>2898</v>
      </c>
      <c r="AD2158" s="83"/>
      <c r="AE2158" s="83"/>
      <c r="AF2158" s="83"/>
      <c r="AG2158" s="83"/>
      <c r="AH2158" s="83"/>
      <c r="AI2158" s="83"/>
      <c r="AJ2158" s="112" t="s">
        <v>73</v>
      </c>
      <c r="AK2158" s="197"/>
    </row>
    <row r="2159" spans="1:37" ht="14.4" thickBot="1" x14ac:dyDescent="0.35">
      <c r="A2159" s="15">
        <v>2158</v>
      </c>
      <c r="B2159" s="29" t="s">
        <v>2050</v>
      </c>
      <c r="C2159" s="29">
        <v>2065</v>
      </c>
      <c r="D2159" s="27" t="s">
        <v>2049</v>
      </c>
      <c r="E2159" s="29" t="s">
        <v>2963</v>
      </c>
      <c r="F2159" s="29" t="s">
        <v>5304</v>
      </c>
      <c r="G2159" s="382" t="s">
        <v>5605</v>
      </c>
      <c r="H2159" s="340" t="s">
        <v>5608</v>
      </c>
      <c r="I2159" s="447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30" t="s">
        <v>73</v>
      </c>
      <c r="U2159" s="30" t="s">
        <v>73</v>
      </c>
      <c r="V2159" s="150" t="s">
        <v>92</v>
      </c>
      <c r="W2159" s="28">
        <v>113</v>
      </c>
      <c r="X2159" s="29"/>
      <c r="Y2159" s="102"/>
      <c r="Z2159" s="29"/>
      <c r="AA2159" s="29"/>
      <c r="AB2159" s="29" t="s">
        <v>2898</v>
      </c>
      <c r="AC2159" s="29"/>
      <c r="AD2159" s="29"/>
      <c r="AE2159" s="29"/>
      <c r="AF2159" s="29"/>
      <c r="AG2159" s="29"/>
      <c r="AH2159" s="29"/>
      <c r="AI2159" s="29"/>
      <c r="AJ2159" s="79" t="s">
        <v>73</v>
      </c>
      <c r="AK2159" s="247"/>
    </row>
    <row r="2160" spans="1:37" ht="14.4" thickBot="1" x14ac:dyDescent="0.35">
      <c r="A2160" s="15">
        <v>2159</v>
      </c>
      <c r="B2160" s="29" t="s">
        <v>2056</v>
      </c>
      <c r="C2160" s="29">
        <v>2062</v>
      </c>
      <c r="D2160" s="27" t="s">
        <v>2055</v>
      </c>
      <c r="E2160" s="29" t="s">
        <v>2963</v>
      </c>
      <c r="F2160" s="29" t="s">
        <v>5305</v>
      </c>
      <c r="G2160" s="382" t="s">
        <v>5605</v>
      </c>
      <c r="H2160" s="340" t="s">
        <v>5608</v>
      </c>
      <c r="I2160" s="447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30" t="s">
        <v>73</v>
      </c>
      <c r="U2160" s="30" t="s">
        <v>73</v>
      </c>
      <c r="V2160" s="150" t="s">
        <v>92</v>
      </c>
      <c r="W2160" s="28">
        <v>113</v>
      </c>
      <c r="X2160" s="29"/>
      <c r="Y2160" s="29"/>
      <c r="Z2160" s="29"/>
      <c r="AA2160" s="29"/>
      <c r="AB2160" s="29" t="s">
        <v>2939</v>
      </c>
      <c r="AC2160" s="29"/>
      <c r="AD2160" s="29"/>
      <c r="AE2160" s="29"/>
      <c r="AF2160" s="29"/>
      <c r="AG2160" s="29"/>
      <c r="AH2160" s="29"/>
      <c r="AI2160" s="29"/>
      <c r="AJ2160" s="28" t="s">
        <v>2917</v>
      </c>
      <c r="AK2160" s="190"/>
    </row>
    <row r="2161" spans="1:37" ht="14.4" thickBot="1" x14ac:dyDescent="0.35">
      <c r="A2161" s="15">
        <v>2160</v>
      </c>
      <c r="B2161" s="40" t="s">
        <v>2057</v>
      </c>
      <c r="C2161" s="40">
        <v>2063</v>
      </c>
      <c r="D2161" s="38" t="s">
        <v>2055</v>
      </c>
      <c r="E2161" s="40" t="s">
        <v>2963</v>
      </c>
      <c r="F2161" s="40" t="s">
        <v>5306</v>
      </c>
      <c r="G2161" s="382" t="s">
        <v>5605</v>
      </c>
      <c r="H2161" s="340" t="s">
        <v>5608</v>
      </c>
      <c r="I2161" s="447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30" t="s">
        <v>73</v>
      </c>
      <c r="U2161" s="2" t="s">
        <v>73</v>
      </c>
      <c r="V2161" s="150" t="s">
        <v>92</v>
      </c>
      <c r="W2161" s="39">
        <v>113</v>
      </c>
      <c r="X2161" s="40"/>
      <c r="Y2161" s="40"/>
      <c r="Z2161" s="40"/>
      <c r="AA2161" s="40"/>
      <c r="AB2161" s="40" t="s">
        <v>2939</v>
      </c>
      <c r="AC2161" s="40"/>
      <c r="AD2161" s="40"/>
      <c r="AE2161" s="40"/>
      <c r="AF2161" s="40"/>
      <c r="AG2161" s="40"/>
      <c r="AH2161" s="40"/>
      <c r="AI2161" s="40"/>
      <c r="AJ2161" s="39" t="s">
        <v>2917</v>
      </c>
      <c r="AK2161" s="125"/>
    </row>
    <row r="2162" spans="1:37" ht="14.4" thickBot="1" x14ac:dyDescent="0.35">
      <c r="A2162" s="15">
        <v>2161</v>
      </c>
      <c r="B2162" s="40" t="s">
        <v>2062</v>
      </c>
      <c r="C2162" s="40">
        <v>2042</v>
      </c>
      <c r="D2162" s="38" t="s">
        <v>2055</v>
      </c>
      <c r="E2162" s="40" t="s">
        <v>2963</v>
      </c>
      <c r="F2162" s="40" t="s">
        <v>5307</v>
      </c>
      <c r="G2162" s="382" t="s">
        <v>5605</v>
      </c>
      <c r="H2162" s="340" t="s">
        <v>5608</v>
      </c>
      <c r="I2162" s="447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30" t="s">
        <v>73</v>
      </c>
      <c r="U2162" s="2" t="s">
        <v>73</v>
      </c>
      <c r="V2162" s="150" t="s">
        <v>92</v>
      </c>
      <c r="W2162" s="39">
        <v>113</v>
      </c>
      <c r="X2162" s="40"/>
      <c r="Y2162" s="40"/>
      <c r="Z2162" s="40"/>
      <c r="AA2162" s="40"/>
      <c r="AB2162" s="40" t="s">
        <v>2939</v>
      </c>
      <c r="AC2162" s="40"/>
      <c r="AD2162" s="40"/>
      <c r="AE2162" s="40"/>
      <c r="AF2162" s="40"/>
      <c r="AG2162" s="40"/>
      <c r="AH2162" s="40"/>
      <c r="AI2162" s="40"/>
      <c r="AJ2162" s="39" t="s">
        <v>2917</v>
      </c>
      <c r="AK2162" s="125"/>
    </row>
    <row r="2163" spans="1:37" ht="14.4" thickBot="1" x14ac:dyDescent="0.35">
      <c r="A2163" s="15">
        <v>2162</v>
      </c>
      <c r="B2163" s="83" t="s">
        <v>2063</v>
      </c>
      <c r="C2163" s="83">
        <v>2043</v>
      </c>
      <c r="D2163" s="113" t="s">
        <v>2055</v>
      </c>
      <c r="E2163" s="83" t="s">
        <v>2963</v>
      </c>
      <c r="F2163" s="83" t="s">
        <v>5308</v>
      </c>
      <c r="G2163" s="382" t="s">
        <v>5605</v>
      </c>
      <c r="H2163" s="340" t="s">
        <v>5608</v>
      </c>
      <c r="I2163" s="447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30" t="s">
        <v>73</v>
      </c>
      <c r="U2163" s="85" t="s">
        <v>73</v>
      </c>
      <c r="V2163" s="150" t="s">
        <v>92</v>
      </c>
      <c r="W2163" s="86">
        <v>113</v>
      </c>
      <c r="X2163" s="83"/>
      <c r="Y2163" s="137"/>
      <c r="Z2163" s="83"/>
      <c r="AA2163" s="83"/>
      <c r="AB2163" s="83" t="s">
        <v>2898</v>
      </c>
      <c r="AC2163" s="83"/>
      <c r="AD2163" s="83"/>
      <c r="AE2163" s="83"/>
      <c r="AF2163" s="83"/>
      <c r="AG2163" s="83"/>
      <c r="AH2163" s="83"/>
      <c r="AI2163" s="83"/>
      <c r="AJ2163" s="86" t="s">
        <v>2917</v>
      </c>
      <c r="AK2163" s="191"/>
    </row>
    <row r="2164" spans="1:37" ht="28.2" thickBot="1" x14ac:dyDescent="0.35">
      <c r="A2164" s="15">
        <v>2163</v>
      </c>
      <c r="B2164" s="40" t="s">
        <v>2224</v>
      </c>
      <c r="C2164" s="40">
        <v>2036</v>
      </c>
      <c r="D2164" s="38" t="s">
        <v>2221</v>
      </c>
      <c r="E2164" s="4" t="s">
        <v>1010</v>
      </c>
      <c r="F2164" s="4" t="s">
        <v>5309</v>
      </c>
      <c r="G2164" s="382" t="s">
        <v>5605</v>
      </c>
      <c r="H2164" s="457" t="s">
        <v>5608</v>
      </c>
      <c r="I2164" s="447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30" t="s">
        <v>73</v>
      </c>
      <c r="U2164" s="2" t="s">
        <v>73</v>
      </c>
      <c r="V2164" s="150" t="s">
        <v>92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73</v>
      </c>
      <c r="AK2164" s="393"/>
    </row>
    <row r="2165" spans="1:37" ht="28.2" thickBot="1" x14ac:dyDescent="0.35">
      <c r="A2165" s="15">
        <v>2164</v>
      </c>
      <c r="B2165" s="40" t="s">
        <v>2222</v>
      </c>
      <c r="C2165" s="40">
        <v>2035</v>
      </c>
      <c r="D2165" s="38" t="s">
        <v>2221</v>
      </c>
      <c r="E2165" s="4" t="s">
        <v>1010</v>
      </c>
      <c r="F2165" s="4" t="s">
        <v>5310</v>
      </c>
      <c r="G2165" s="382" t="s">
        <v>5605</v>
      </c>
      <c r="H2165" s="457" t="s">
        <v>5608</v>
      </c>
      <c r="I2165" s="447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30" t="s">
        <v>73</v>
      </c>
      <c r="U2165" s="2" t="str">
        <f>U2164</f>
        <v>難以採樣</v>
      </c>
      <c r="V2165" s="150" t="s">
        <v>92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73</v>
      </c>
      <c r="AK2165" s="393"/>
    </row>
    <row r="2166" spans="1:37" ht="28.2" thickBot="1" x14ac:dyDescent="0.35">
      <c r="A2166" s="15">
        <v>2165</v>
      </c>
      <c r="B2166" s="40" t="s">
        <v>2229</v>
      </c>
      <c r="C2166" s="40">
        <v>660</v>
      </c>
      <c r="D2166" s="38" t="s">
        <v>3127</v>
      </c>
      <c r="E2166" s="4" t="s">
        <v>300</v>
      </c>
      <c r="F2166" s="4" t="s">
        <v>5311</v>
      </c>
      <c r="G2166" s="382" t="s">
        <v>5605</v>
      </c>
      <c r="H2166" s="457" t="s">
        <v>5608</v>
      </c>
      <c r="I2166" s="447"/>
      <c r="J2166" s="43">
        <v>204569</v>
      </c>
      <c r="K2166" s="43">
        <v>2665365</v>
      </c>
      <c r="L2166" s="396" t="s">
        <v>391</v>
      </c>
      <c r="M2166" s="396">
        <v>10.5</v>
      </c>
      <c r="N2166" s="396">
        <v>34.299999999999997</v>
      </c>
      <c r="O2166" s="396">
        <v>26.6</v>
      </c>
      <c r="P2166" s="396" t="s">
        <v>102</v>
      </c>
      <c r="Q2166" s="396">
        <v>115</v>
      </c>
      <c r="R2166" s="396">
        <v>148</v>
      </c>
      <c r="S2166" s="396">
        <v>33.799999999999997</v>
      </c>
      <c r="T2166" s="30" t="s">
        <v>73</v>
      </c>
      <c r="U2166" s="2" t="s">
        <v>73</v>
      </c>
      <c r="V2166" s="150" t="s">
        <v>92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73</v>
      </c>
      <c r="AK2166" s="393"/>
    </row>
    <row r="2167" spans="1:37" ht="28.2" thickBot="1" x14ac:dyDescent="0.35">
      <c r="A2167" s="15">
        <v>2166</v>
      </c>
      <c r="B2167" s="19" t="s">
        <v>2481</v>
      </c>
      <c r="C2167" s="19">
        <v>215</v>
      </c>
      <c r="D2167" s="17" t="s">
        <v>3128</v>
      </c>
      <c r="E2167" s="19" t="s">
        <v>2963</v>
      </c>
      <c r="F2167" s="19" t="s">
        <v>5312</v>
      </c>
      <c r="G2167" s="382" t="s">
        <v>5605</v>
      </c>
      <c r="H2167" s="457" t="s">
        <v>5608</v>
      </c>
      <c r="I2167" s="447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30" t="s">
        <v>73</v>
      </c>
      <c r="U2167" s="2" t="s">
        <v>73</v>
      </c>
      <c r="V2167" s="150" t="s">
        <v>92</v>
      </c>
      <c r="W2167" s="39">
        <v>113</v>
      </c>
      <c r="X2167" s="19"/>
      <c r="Y2167" s="19" t="s">
        <v>2939</v>
      </c>
      <c r="Z2167" s="19"/>
      <c r="AA2167" s="19"/>
      <c r="AB2167" s="19"/>
      <c r="AC2167" s="19"/>
      <c r="AD2167" s="19"/>
      <c r="AE2167" s="19" t="s">
        <v>2898</v>
      </c>
      <c r="AF2167" s="19"/>
      <c r="AG2167" s="19"/>
      <c r="AH2167" s="19"/>
      <c r="AI2167" s="19"/>
      <c r="AJ2167" s="393" t="s">
        <v>73</v>
      </c>
      <c r="AK2167" s="424"/>
    </row>
    <row r="2168" spans="1:37" ht="28.2" thickBot="1" x14ac:dyDescent="0.35">
      <c r="A2168" s="15">
        <v>2167</v>
      </c>
      <c r="B2168" s="40" t="s">
        <v>2522</v>
      </c>
      <c r="C2168" s="40">
        <v>1100</v>
      </c>
      <c r="D2168" s="38" t="s">
        <v>2521</v>
      </c>
      <c r="E2168" s="4" t="s">
        <v>300</v>
      </c>
      <c r="F2168" s="4" t="s">
        <v>5313</v>
      </c>
      <c r="G2168" s="382" t="s">
        <v>5605</v>
      </c>
      <c r="H2168" s="457" t="s">
        <v>5608</v>
      </c>
      <c r="I2168" s="447"/>
      <c r="J2168" s="43">
        <v>206716</v>
      </c>
      <c r="K2168" s="43">
        <v>2666044</v>
      </c>
      <c r="L2168" s="396" t="s">
        <v>412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30" t="s">
        <v>73</v>
      </c>
      <c r="U2168" s="2" t="s">
        <v>73</v>
      </c>
      <c r="V2168" s="150" t="s">
        <v>92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73</v>
      </c>
      <c r="AK2168" s="393"/>
    </row>
    <row r="2169" spans="1:37" ht="28.2" thickBot="1" x14ac:dyDescent="0.35">
      <c r="A2169" s="15">
        <v>2168</v>
      </c>
      <c r="B2169" s="40" t="s">
        <v>2536</v>
      </c>
      <c r="C2169" s="40">
        <v>1585</v>
      </c>
      <c r="D2169" s="38" t="s">
        <v>3129</v>
      </c>
      <c r="E2169" s="4" t="s">
        <v>457</v>
      </c>
      <c r="F2169" s="4" t="s">
        <v>5314</v>
      </c>
      <c r="G2169" s="382" t="s">
        <v>5605</v>
      </c>
      <c r="H2169" s="457" t="s">
        <v>5608</v>
      </c>
      <c r="I2169" s="447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30" t="s">
        <v>73</v>
      </c>
      <c r="U2169" s="2" t="s">
        <v>73</v>
      </c>
      <c r="V2169" s="150" t="s">
        <v>92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73</v>
      </c>
      <c r="AK2169" s="393"/>
    </row>
    <row r="2170" spans="1:37" ht="28.2" thickBot="1" x14ac:dyDescent="0.35">
      <c r="A2170" s="15">
        <v>2169</v>
      </c>
      <c r="B2170" s="231" t="s">
        <v>2613</v>
      </c>
      <c r="C2170" s="231">
        <v>2171</v>
      </c>
      <c r="D2170" s="229" t="s">
        <v>3130</v>
      </c>
      <c r="E2170" s="231" t="s">
        <v>2963</v>
      </c>
      <c r="F2170" s="231" t="s">
        <v>5315</v>
      </c>
      <c r="G2170" s="382" t="s">
        <v>5605</v>
      </c>
      <c r="H2170" s="457" t="s">
        <v>5608</v>
      </c>
      <c r="I2170" s="447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30" t="s">
        <v>73</v>
      </c>
      <c r="U2170" s="2" t="s">
        <v>73</v>
      </c>
      <c r="V2170" s="150" t="s">
        <v>92</v>
      </c>
      <c r="W2170" s="234">
        <v>113</v>
      </c>
      <c r="X2170" s="231"/>
      <c r="Y2170" s="231"/>
      <c r="Z2170" s="231" t="s">
        <v>2943</v>
      </c>
      <c r="AA2170" s="231"/>
      <c r="AB2170" s="231"/>
      <c r="AC2170" s="231"/>
      <c r="AD2170" s="231" t="s">
        <v>2939</v>
      </c>
      <c r="AE2170" s="231"/>
      <c r="AF2170" s="231"/>
      <c r="AG2170" s="231"/>
      <c r="AH2170" s="231"/>
      <c r="AI2170" s="231"/>
      <c r="AJ2170" s="393" t="s">
        <v>73</v>
      </c>
      <c r="AK2170" s="424"/>
    </row>
    <row r="2171" spans="1:37" ht="28.2" thickBot="1" x14ac:dyDescent="0.35">
      <c r="A2171" s="15">
        <v>2170</v>
      </c>
      <c r="B2171" s="29" t="s">
        <v>2725</v>
      </c>
      <c r="C2171" s="29">
        <v>2172</v>
      </c>
      <c r="D2171" s="27" t="s">
        <v>2726</v>
      </c>
      <c r="E2171" s="29" t="s">
        <v>2963</v>
      </c>
      <c r="F2171" s="29" t="s">
        <v>5316</v>
      </c>
      <c r="G2171" s="382" t="s">
        <v>5605</v>
      </c>
      <c r="H2171" s="457" t="s">
        <v>5608</v>
      </c>
      <c r="I2171" s="447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30" t="s">
        <v>73</v>
      </c>
      <c r="U2171" s="2" t="s">
        <v>73</v>
      </c>
      <c r="V2171" s="150" t="s">
        <v>92</v>
      </c>
      <c r="W2171" s="28">
        <v>113</v>
      </c>
      <c r="X2171" s="29"/>
      <c r="Y2171" s="29"/>
      <c r="Z2171" s="29" t="s">
        <v>2939</v>
      </c>
      <c r="AA2171" s="29"/>
      <c r="AB2171" s="29"/>
      <c r="AC2171" s="29"/>
      <c r="AD2171" s="29"/>
      <c r="AE2171" s="29"/>
      <c r="AF2171" s="29" t="s">
        <v>2939</v>
      </c>
      <c r="AG2171" s="29"/>
      <c r="AH2171" s="29"/>
      <c r="AI2171" s="29"/>
      <c r="AJ2171" s="393" t="s">
        <v>73</v>
      </c>
      <c r="AK2171" s="436"/>
    </row>
    <row r="2172" spans="1:37" ht="28.2" thickBot="1" x14ac:dyDescent="0.35">
      <c r="A2172" s="15">
        <v>2171</v>
      </c>
      <c r="B2172" s="40" t="s">
        <v>2727</v>
      </c>
      <c r="C2172" s="40">
        <v>2173</v>
      </c>
      <c r="D2172" s="38" t="s">
        <v>2726</v>
      </c>
      <c r="E2172" s="40" t="s">
        <v>2963</v>
      </c>
      <c r="F2172" s="40" t="s">
        <v>5317</v>
      </c>
      <c r="G2172" s="382" t="s">
        <v>5605</v>
      </c>
      <c r="H2172" s="457" t="s">
        <v>5608</v>
      </c>
      <c r="I2172" s="447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30" t="s">
        <v>73</v>
      </c>
      <c r="U2172" s="2" t="s">
        <v>73</v>
      </c>
      <c r="V2172" s="150" t="s">
        <v>92</v>
      </c>
      <c r="W2172" s="39">
        <v>113</v>
      </c>
      <c r="X2172" s="40"/>
      <c r="Y2172" s="40"/>
      <c r="Z2172" s="40" t="s">
        <v>2939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73</v>
      </c>
      <c r="AK2172" s="393"/>
    </row>
    <row r="2173" spans="1:37" ht="28.2" thickBot="1" x14ac:dyDescent="0.35">
      <c r="A2173" s="15">
        <v>2172</v>
      </c>
      <c r="B2173" s="83" t="s">
        <v>2728</v>
      </c>
      <c r="C2173" s="83">
        <v>2174</v>
      </c>
      <c r="D2173" s="113" t="s">
        <v>2726</v>
      </c>
      <c r="E2173" s="83" t="s">
        <v>2963</v>
      </c>
      <c r="F2173" s="83" t="s">
        <v>5318</v>
      </c>
      <c r="G2173" s="382" t="s">
        <v>5605</v>
      </c>
      <c r="H2173" s="457" t="s">
        <v>5608</v>
      </c>
      <c r="I2173" s="447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30" t="s">
        <v>73</v>
      </c>
      <c r="U2173" s="2" t="s">
        <v>73</v>
      </c>
      <c r="V2173" s="150" t="s">
        <v>92</v>
      </c>
      <c r="W2173" s="86">
        <v>113</v>
      </c>
      <c r="X2173" s="83"/>
      <c r="Y2173" s="83"/>
      <c r="Z2173" s="83" t="s">
        <v>2939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73</v>
      </c>
      <c r="AK2173" s="426"/>
    </row>
    <row r="2174" spans="1:37" ht="28.2" thickBot="1" x14ac:dyDescent="0.35">
      <c r="A2174" s="15">
        <v>2173</v>
      </c>
      <c r="B2174" s="83" t="s">
        <v>2401</v>
      </c>
      <c r="C2174" s="83">
        <v>1688</v>
      </c>
      <c r="D2174" s="113" t="s">
        <v>2396</v>
      </c>
      <c r="E2174" s="83" t="s">
        <v>2929</v>
      </c>
      <c r="F2174" s="83" t="s">
        <v>5319</v>
      </c>
      <c r="G2174" s="382" t="s">
        <v>5605</v>
      </c>
      <c r="H2174" s="457" t="s">
        <v>5608</v>
      </c>
      <c r="I2174" s="447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30" t="s">
        <v>73</v>
      </c>
      <c r="U2174" s="2" t="s">
        <v>73</v>
      </c>
      <c r="V2174" s="150" t="s">
        <v>92</v>
      </c>
      <c r="W2174" s="86">
        <v>113</v>
      </c>
      <c r="X2174" s="83"/>
      <c r="Y2174" s="83"/>
      <c r="Z2174" s="83" t="s">
        <v>2939</v>
      </c>
      <c r="AA2174" s="83"/>
      <c r="AB2174" s="83"/>
      <c r="AC2174" s="83" t="s">
        <v>2898</v>
      </c>
      <c r="AD2174" s="83"/>
      <c r="AE2174" s="83"/>
      <c r="AF2174" s="83"/>
      <c r="AG2174" s="83"/>
      <c r="AH2174" s="83"/>
      <c r="AI2174" s="83"/>
      <c r="AJ2174" s="393" t="s">
        <v>73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5320</v>
      </c>
      <c r="G2175" s="382" t="s">
        <v>5605</v>
      </c>
      <c r="H2175" s="460" t="s">
        <v>5608</v>
      </c>
      <c r="I2175" s="447" t="s">
        <v>5610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92</v>
      </c>
      <c r="W2175" s="27">
        <v>112</v>
      </c>
      <c r="X2175" s="145"/>
      <c r="Y2175" s="145"/>
      <c r="Z2175" s="350"/>
      <c r="AA2175" s="350" t="s">
        <v>303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100</v>
      </c>
      <c r="C2176" s="40">
        <v>2295</v>
      </c>
      <c r="D2176" s="38" t="s">
        <v>98</v>
      </c>
      <c r="E2176" s="4" t="s">
        <v>48</v>
      </c>
      <c r="F2176" s="4" t="s">
        <v>5321</v>
      </c>
      <c r="G2176" s="382" t="s">
        <v>5605</v>
      </c>
      <c r="H2176" s="457" t="s">
        <v>5608</v>
      </c>
      <c r="I2176" s="447" t="s">
        <v>5610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92</v>
      </c>
      <c r="W2176" s="38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101</v>
      </c>
      <c r="C2177" s="38">
        <v>2296</v>
      </c>
      <c r="D2177" s="38" t="s">
        <v>98</v>
      </c>
      <c r="E2177" s="4" t="s">
        <v>48</v>
      </c>
      <c r="F2177" s="4" t="s">
        <v>5322</v>
      </c>
      <c r="G2177" s="382" t="s">
        <v>5605</v>
      </c>
      <c r="H2177" s="457" t="s">
        <v>5608</v>
      </c>
      <c r="I2177" s="447" t="s">
        <v>5610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102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92</v>
      </c>
      <c r="W2177" s="38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107</v>
      </c>
      <c r="C2178" s="40">
        <v>2191</v>
      </c>
      <c r="D2178" s="38" t="s">
        <v>106</v>
      </c>
      <c r="E2178" s="4" t="s">
        <v>94</v>
      </c>
      <c r="F2178" s="4" t="s">
        <v>5323</v>
      </c>
      <c r="G2178" s="382" t="s">
        <v>5605</v>
      </c>
      <c r="H2178" s="457" t="s">
        <v>5608</v>
      </c>
      <c r="I2178" s="447" t="s">
        <v>5610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92</v>
      </c>
      <c r="W2178" s="38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108</v>
      </c>
      <c r="C2179" s="40">
        <v>2190</v>
      </c>
      <c r="D2179" s="38" t="s">
        <v>106</v>
      </c>
      <c r="E2179" s="4" t="s">
        <v>94</v>
      </c>
      <c r="F2179" s="4" t="s">
        <v>5324</v>
      </c>
      <c r="G2179" s="382" t="s">
        <v>5605</v>
      </c>
      <c r="H2179" s="457" t="s">
        <v>5608</v>
      </c>
      <c r="I2179" s="447" t="s">
        <v>5610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92</v>
      </c>
      <c r="W2179" s="38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109</v>
      </c>
      <c r="C2180" s="40">
        <v>2486</v>
      </c>
      <c r="D2180" s="38" t="s">
        <v>106</v>
      </c>
      <c r="E2180" s="4" t="s">
        <v>94</v>
      </c>
      <c r="F2180" s="4" t="s">
        <v>5325</v>
      </c>
      <c r="G2180" s="382" t="s">
        <v>5605</v>
      </c>
      <c r="H2180" s="457" t="s">
        <v>5608</v>
      </c>
      <c r="I2180" s="447" t="s">
        <v>5610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92</v>
      </c>
      <c r="W2180" s="38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132</v>
      </c>
      <c r="C2181" s="40">
        <v>2188</v>
      </c>
      <c r="D2181" s="38" t="s">
        <v>129</v>
      </c>
      <c r="E2181" s="4" t="s">
        <v>94</v>
      </c>
      <c r="F2181" s="4" t="s">
        <v>5326</v>
      </c>
      <c r="G2181" s="382" t="s">
        <v>5605</v>
      </c>
      <c r="H2181" s="457" t="s">
        <v>5608</v>
      </c>
      <c r="I2181" s="447" t="s">
        <v>5610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92</v>
      </c>
      <c r="W2181" s="38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133</v>
      </c>
      <c r="C2182" s="40">
        <v>2483</v>
      </c>
      <c r="D2182" s="38" t="s">
        <v>129</v>
      </c>
      <c r="E2182" s="4" t="s">
        <v>94</v>
      </c>
      <c r="F2182" s="4" t="s">
        <v>5327</v>
      </c>
      <c r="G2182" s="382" t="s">
        <v>5605</v>
      </c>
      <c r="H2182" s="457" t="s">
        <v>5608</v>
      </c>
      <c r="I2182" s="447" t="s">
        <v>5610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134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92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135</v>
      </c>
      <c r="C2183" s="40">
        <v>2485</v>
      </c>
      <c r="D2183" s="38" t="s">
        <v>129</v>
      </c>
      <c r="E2183" s="4" t="s">
        <v>94</v>
      </c>
      <c r="F2183" s="4" t="s">
        <v>5328</v>
      </c>
      <c r="G2183" s="382" t="s">
        <v>5605</v>
      </c>
      <c r="H2183" s="457" t="s">
        <v>5608</v>
      </c>
      <c r="I2183" s="447" t="s">
        <v>5610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92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146</v>
      </c>
      <c r="C2184" s="40">
        <v>2014</v>
      </c>
      <c r="D2184" s="38" t="s">
        <v>145</v>
      </c>
      <c r="E2184" s="4" t="s">
        <v>48</v>
      </c>
      <c r="F2184" s="4" t="s">
        <v>5329</v>
      </c>
      <c r="G2184" s="382" t="s">
        <v>5605</v>
      </c>
      <c r="H2184" s="457" t="s">
        <v>5608</v>
      </c>
      <c r="I2184" s="447" t="s">
        <v>5610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92</v>
      </c>
      <c r="W2184" s="38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149</v>
      </c>
      <c r="C2185" s="40">
        <v>2179</v>
      </c>
      <c r="D2185" s="38" t="s">
        <v>148</v>
      </c>
      <c r="E2185" s="4" t="s">
        <v>94</v>
      </c>
      <c r="F2185" s="4" t="s">
        <v>5330</v>
      </c>
      <c r="G2185" s="382" t="s">
        <v>5605</v>
      </c>
      <c r="H2185" s="457" t="s">
        <v>5608</v>
      </c>
      <c r="I2185" s="447" t="s">
        <v>5610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92</v>
      </c>
      <c r="W2185" s="38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150</v>
      </c>
      <c r="C2186" s="40">
        <v>2180</v>
      </c>
      <c r="D2186" s="38" t="s">
        <v>148</v>
      </c>
      <c r="E2186" s="4" t="s">
        <v>94</v>
      </c>
      <c r="F2186" s="4" t="s">
        <v>5331</v>
      </c>
      <c r="G2186" s="382" t="s">
        <v>5605</v>
      </c>
      <c r="H2186" s="457" t="s">
        <v>5608</v>
      </c>
      <c r="I2186" s="447" t="s">
        <v>5610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92</v>
      </c>
      <c r="W2186" s="38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157</v>
      </c>
      <c r="C2187" s="40">
        <v>2013</v>
      </c>
      <c r="D2187" s="38" t="s">
        <v>153</v>
      </c>
      <c r="E2187" s="4" t="s">
        <v>48</v>
      </c>
      <c r="F2187" s="4" t="s">
        <v>5332</v>
      </c>
      <c r="G2187" s="382" t="s">
        <v>5605</v>
      </c>
      <c r="H2187" s="457" t="s">
        <v>5608</v>
      </c>
      <c r="I2187" s="447" t="s">
        <v>5610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92</v>
      </c>
      <c r="W2187" s="38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161</v>
      </c>
      <c r="C2188" s="40">
        <v>2178</v>
      </c>
      <c r="D2188" s="38" t="s">
        <v>160</v>
      </c>
      <c r="E2188" s="4" t="s">
        <v>94</v>
      </c>
      <c r="F2188" s="4" t="s">
        <v>5333</v>
      </c>
      <c r="G2188" s="382" t="s">
        <v>5605</v>
      </c>
      <c r="H2188" s="457" t="s">
        <v>5608</v>
      </c>
      <c r="I2188" s="447" t="s">
        <v>5610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92</v>
      </c>
      <c r="W2188" s="38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242</v>
      </c>
      <c r="C2189" s="40">
        <v>687</v>
      </c>
      <c r="D2189" s="38" t="s">
        <v>241</v>
      </c>
      <c r="E2189" s="4" t="s">
        <v>48</v>
      </c>
      <c r="F2189" s="4" t="s">
        <v>5334</v>
      </c>
      <c r="G2189" s="382" t="s">
        <v>5605</v>
      </c>
      <c r="H2189" s="457" t="s">
        <v>5608</v>
      </c>
      <c r="I2189" s="447" t="s">
        <v>5610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92</v>
      </c>
      <c r="W2189" s="38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243</v>
      </c>
      <c r="C2190" s="40">
        <v>688</v>
      </c>
      <c r="D2190" s="38" t="s">
        <v>241</v>
      </c>
      <c r="E2190" s="4" t="s">
        <v>48</v>
      </c>
      <c r="F2190" s="4" t="s">
        <v>5335</v>
      </c>
      <c r="G2190" s="382" t="s">
        <v>5605</v>
      </c>
      <c r="H2190" s="457" t="s">
        <v>5608</v>
      </c>
      <c r="I2190" s="447" t="s">
        <v>5610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102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92</v>
      </c>
      <c r="W2190" s="38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245</v>
      </c>
      <c r="C2191" s="40">
        <v>1439</v>
      </c>
      <c r="D2191" s="38" t="s">
        <v>244</v>
      </c>
      <c r="E2191" s="4" t="s">
        <v>246</v>
      </c>
      <c r="F2191" s="4" t="s">
        <v>5336</v>
      </c>
      <c r="G2191" s="382" t="s">
        <v>5605</v>
      </c>
      <c r="H2191" s="457" t="s">
        <v>5608</v>
      </c>
      <c r="I2191" s="447" t="s">
        <v>5610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92</v>
      </c>
      <c r="W2191" s="38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247</v>
      </c>
      <c r="C2192" s="40">
        <v>1440</v>
      </c>
      <c r="D2192" s="38" t="s">
        <v>244</v>
      </c>
      <c r="E2192" s="4" t="s">
        <v>246</v>
      </c>
      <c r="F2192" s="4" t="s">
        <v>5337</v>
      </c>
      <c r="G2192" s="382" t="s">
        <v>5605</v>
      </c>
      <c r="H2192" s="457" t="s">
        <v>5608</v>
      </c>
      <c r="I2192" s="447" t="s">
        <v>5610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102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92</v>
      </c>
      <c r="W2192" s="38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244</v>
      </c>
      <c r="E2193" s="4" t="s">
        <v>246</v>
      </c>
      <c r="F2193" s="4" t="s">
        <v>5338</v>
      </c>
      <c r="G2193" s="382" t="s">
        <v>5605</v>
      </c>
      <c r="H2193" s="457" t="s">
        <v>5608</v>
      </c>
      <c r="I2193" s="447" t="s">
        <v>5610</v>
      </c>
      <c r="J2193" s="43">
        <v>198450.53995379101</v>
      </c>
      <c r="K2193" s="43">
        <v>2660530.0512651699</v>
      </c>
      <c r="L2193" s="43" t="s">
        <v>40</v>
      </c>
      <c r="M2193" s="38">
        <v>9</v>
      </c>
      <c r="N2193" s="38">
        <v>26</v>
      </c>
      <c r="O2193" s="38">
        <v>67</v>
      </c>
      <c r="P2193" s="38" t="s">
        <v>41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92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318</v>
      </c>
      <c r="C2194" s="38">
        <v>694</v>
      </c>
      <c r="D2194" s="38" t="s">
        <v>317</v>
      </c>
      <c r="E2194" s="150" t="s">
        <v>48</v>
      </c>
      <c r="F2194" s="150" t="s">
        <v>5339</v>
      </c>
      <c r="G2194" s="382" t="s">
        <v>5605</v>
      </c>
      <c r="H2194" s="457" t="s">
        <v>5608</v>
      </c>
      <c r="I2194" s="447" t="s">
        <v>5610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92</v>
      </c>
      <c r="W2194" s="38">
        <v>112</v>
      </c>
      <c r="X2194" s="4"/>
      <c r="Y2194" s="4"/>
      <c r="Z2194" s="4"/>
      <c r="AA2194" s="4"/>
      <c r="AB2194" s="4"/>
      <c r="AC2194" s="40" t="s">
        <v>2939</v>
      </c>
      <c r="AD2194" s="4"/>
      <c r="AE2194" s="4"/>
      <c r="AF2194" s="4"/>
      <c r="AG2194" s="4"/>
      <c r="AH2194" s="4"/>
      <c r="AI2194" s="40" t="s">
        <v>2898</v>
      </c>
      <c r="AJ2194" s="51"/>
      <c r="AK2194" s="51"/>
    </row>
    <row r="2195" spans="1:37" ht="14.4" thickBot="1" x14ac:dyDescent="0.35">
      <c r="A2195" s="15">
        <v>2194</v>
      </c>
      <c r="B2195" s="38" t="s">
        <v>372</v>
      </c>
      <c r="C2195" s="40">
        <v>1853</v>
      </c>
      <c r="D2195" s="38" t="s">
        <v>371</v>
      </c>
      <c r="E2195" s="150" t="s">
        <v>300</v>
      </c>
      <c r="F2195" s="150" t="s">
        <v>5340</v>
      </c>
      <c r="G2195" s="382" t="s">
        <v>5605</v>
      </c>
      <c r="H2195" s="457" t="s">
        <v>5608</v>
      </c>
      <c r="I2195" s="447" t="s">
        <v>5610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331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92</v>
      </c>
      <c r="W2195" s="38">
        <v>111</v>
      </c>
      <c r="X2195" s="4"/>
      <c r="Y2195" s="392"/>
      <c r="Z2195" s="40" t="s">
        <v>2939</v>
      </c>
      <c r="AA2195" s="4"/>
      <c r="AB2195" s="4"/>
      <c r="AC2195" s="4"/>
      <c r="AD2195" s="4"/>
      <c r="AE2195" s="40" t="s">
        <v>2898</v>
      </c>
      <c r="AF2195" s="4"/>
      <c r="AG2195" s="4"/>
      <c r="AH2195" s="40" t="s">
        <v>2898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373</v>
      </c>
      <c r="C2196" s="40">
        <v>1854</v>
      </c>
      <c r="D2196" s="38" t="s">
        <v>371</v>
      </c>
      <c r="E2196" s="4" t="s">
        <v>300</v>
      </c>
      <c r="F2196" s="4" t="s">
        <v>5341</v>
      </c>
      <c r="G2196" s="382" t="s">
        <v>5605</v>
      </c>
      <c r="H2196" s="457" t="s">
        <v>5608</v>
      </c>
      <c r="I2196" s="447" t="s">
        <v>5610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92</v>
      </c>
      <c r="W2196" s="38">
        <v>111</v>
      </c>
      <c r="X2196" s="4"/>
      <c r="Y2196" s="392"/>
      <c r="Z2196" s="4"/>
      <c r="AA2196" s="4"/>
      <c r="AB2196" s="40" t="s">
        <v>2898</v>
      </c>
      <c r="AC2196" s="4"/>
      <c r="AD2196" s="4"/>
      <c r="AE2196" s="4"/>
      <c r="AF2196" s="4"/>
      <c r="AG2196" s="4"/>
      <c r="AH2196" s="40" t="s">
        <v>2898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378</v>
      </c>
      <c r="C2197" s="38">
        <v>1866</v>
      </c>
      <c r="D2197" s="38" t="s">
        <v>374</v>
      </c>
      <c r="E2197" s="4" t="s">
        <v>300</v>
      </c>
      <c r="F2197" s="4" t="s">
        <v>5342</v>
      </c>
      <c r="G2197" s="382" t="s">
        <v>5605</v>
      </c>
      <c r="H2197" s="457" t="s">
        <v>5608</v>
      </c>
      <c r="I2197" s="447" t="s">
        <v>5610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92</v>
      </c>
      <c r="W2197" s="38">
        <v>109</v>
      </c>
      <c r="X2197" s="392"/>
      <c r="Y2197" s="392"/>
      <c r="Z2197" s="40" t="s">
        <v>2898</v>
      </c>
      <c r="AA2197" s="4"/>
      <c r="AB2197" s="4"/>
      <c r="AC2197" s="4"/>
      <c r="AD2197" s="4"/>
      <c r="AE2197" s="4"/>
      <c r="AF2197" s="40" t="s">
        <v>2898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304</v>
      </c>
      <c r="C2198" s="40">
        <v>1136</v>
      </c>
      <c r="D2198" s="40" t="s">
        <v>301</v>
      </c>
      <c r="E2198" s="4" t="s">
        <v>300</v>
      </c>
      <c r="F2198" s="4" t="s">
        <v>5343</v>
      </c>
      <c r="G2198" s="382" t="s">
        <v>5605</v>
      </c>
      <c r="H2198" s="457" t="s">
        <v>5608</v>
      </c>
      <c r="I2198" s="447" t="s">
        <v>5610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92</v>
      </c>
      <c r="W2198" s="41">
        <v>111</v>
      </c>
      <c r="X2198" s="4"/>
      <c r="Y2198" s="4"/>
      <c r="Z2198" s="4"/>
      <c r="AA2198" s="4"/>
      <c r="AB2198" s="40" t="s">
        <v>2894</v>
      </c>
      <c r="AC2198" s="40" t="s">
        <v>2894</v>
      </c>
      <c r="AD2198" s="4"/>
      <c r="AE2198" s="40" t="s">
        <v>2894</v>
      </c>
      <c r="AF2198" s="4"/>
      <c r="AG2198" s="4"/>
      <c r="AH2198" s="40" t="s">
        <v>2898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301</v>
      </c>
      <c r="E2199" s="4" t="s">
        <v>300</v>
      </c>
      <c r="F2199" s="4" t="s">
        <v>5344</v>
      </c>
      <c r="G2199" s="382" t="s">
        <v>5605</v>
      </c>
      <c r="H2199" s="457" t="s">
        <v>5608</v>
      </c>
      <c r="I2199" s="447" t="s">
        <v>5610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 t="str">
        <f>T2198</f>
        <v>正常</v>
      </c>
      <c r="U2199" s="2" t="str">
        <f>U2198</f>
        <v>正常</v>
      </c>
      <c r="V2199" s="150" t="s">
        <v>92</v>
      </c>
      <c r="W2199" s="41">
        <v>111</v>
      </c>
      <c r="X2199" s="4"/>
      <c r="Y2199" s="4"/>
      <c r="Z2199" s="4"/>
      <c r="AA2199" s="4"/>
      <c r="AB2199" s="4"/>
      <c r="AC2199" s="40" t="s">
        <v>2894</v>
      </c>
      <c r="AD2199" s="4"/>
      <c r="AE2199" s="40" t="s">
        <v>2894</v>
      </c>
      <c r="AF2199" s="4"/>
      <c r="AG2199" s="4"/>
      <c r="AH2199" s="40" t="s">
        <v>2898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301</v>
      </c>
      <c r="E2200" s="4" t="s">
        <v>300</v>
      </c>
      <c r="F2200" s="4" t="s">
        <v>5345</v>
      </c>
      <c r="G2200" s="382" t="s">
        <v>5605</v>
      </c>
      <c r="H2200" s="457" t="s">
        <v>5608</v>
      </c>
      <c r="I2200" s="447" t="s">
        <v>5610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str">
        <f>U2199</f>
        <v>正常</v>
      </c>
      <c r="V2200" s="150" t="s">
        <v>92</v>
      </c>
      <c r="W2200" s="41">
        <v>111</v>
      </c>
      <c r="X2200" s="4"/>
      <c r="Y2200" s="4"/>
      <c r="Z2200" s="4"/>
      <c r="AA2200" s="4"/>
      <c r="AB2200" s="4"/>
      <c r="AC2200" s="40" t="s">
        <v>2894</v>
      </c>
      <c r="AD2200" s="4"/>
      <c r="AE2200" s="40" t="s">
        <v>2894</v>
      </c>
      <c r="AF2200" s="4"/>
      <c r="AG2200" s="4"/>
      <c r="AH2200" s="40" t="s">
        <v>2898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301</v>
      </c>
      <c r="E2201" s="4" t="s">
        <v>300</v>
      </c>
      <c r="F2201" s="4" t="s">
        <v>5346</v>
      </c>
      <c r="G2201" s="382" t="s">
        <v>5605</v>
      </c>
      <c r="H2201" s="457" t="s">
        <v>5608</v>
      </c>
      <c r="I2201" s="447" t="s">
        <v>5610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 t="str">
        <f>T2200</f>
        <v>正常</v>
      </c>
      <c r="U2201" s="2" t="str">
        <f>U2198</f>
        <v>正常</v>
      </c>
      <c r="V2201" s="150" t="s">
        <v>92</v>
      </c>
      <c r="W2201" s="41">
        <v>111</v>
      </c>
      <c r="X2201" s="4"/>
      <c r="Y2201" s="4"/>
      <c r="Z2201" s="4"/>
      <c r="AA2201" s="4"/>
      <c r="AB2201" s="4"/>
      <c r="AC2201" s="40" t="s">
        <v>2894</v>
      </c>
      <c r="AD2201" s="4"/>
      <c r="AE2201" s="40" t="s">
        <v>2894</v>
      </c>
      <c r="AF2201" s="4"/>
      <c r="AG2201" s="4"/>
      <c r="AH2201" s="40" t="s">
        <v>2898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480</v>
      </c>
      <c r="C2202" s="38">
        <v>1832</v>
      </c>
      <c r="D2202" s="38" t="s">
        <v>473</v>
      </c>
      <c r="E2202" s="4" t="s">
        <v>300</v>
      </c>
      <c r="F2202" s="4" t="s">
        <v>5347</v>
      </c>
      <c r="G2202" s="382" t="s">
        <v>5605</v>
      </c>
      <c r="H2202" s="457" t="s">
        <v>5608</v>
      </c>
      <c r="I2202" s="447" t="s">
        <v>5610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92</v>
      </c>
      <c r="W2202" s="38">
        <v>109</v>
      </c>
      <c r="X2202" s="4"/>
      <c r="Y2202" s="392"/>
      <c r="Z2202" s="4"/>
      <c r="AA2202" s="4"/>
      <c r="AB2202" s="40" t="s">
        <v>2898</v>
      </c>
      <c r="AC2202" s="4"/>
      <c r="AD2202" s="4"/>
      <c r="AE2202" s="4"/>
      <c r="AF2202" s="40" t="s">
        <v>2898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481</v>
      </c>
      <c r="C2203" s="38">
        <v>1833</v>
      </c>
      <c r="D2203" s="38" t="s">
        <v>473</v>
      </c>
      <c r="E2203" s="4" t="s">
        <v>300</v>
      </c>
      <c r="F2203" s="4" t="s">
        <v>5348</v>
      </c>
      <c r="G2203" s="382" t="s">
        <v>5605</v>
      </c>
      <c r="H2203" s="457" t="s">
        <v>5608</v>
      </c>
      <c r="I2203" s="447" t="s">
        <v>5610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92</v>
      </c>
      <c r="W2203" s="38">
        <v>109</v>
      </c>
      <c r="X2203" s="4"/>
      <c r="Y2203" s="392"/>
      <c r="Z2203" s="4"/>
      <c r="AA2203" s="4"/>
      <c r="AB2203" s="40" t="s">
        <v>2898</v>
      </c>
      <c r="AC2203" s="4"/>
      <c r="AD2203" s="4"/>
      <c r="AE2203" s="4"/>
      <c r="AF2203" s="40" t="s">
        <v>2898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486</v>
      </c>
      <c r="C2204" s="40">
        <v>977</v>
      </c>
      <c r="D2204" s="38" t="s">
        <v>485</v>
      </c>
      <c r="E2204" s="4" t="s">
        <v>300</v>
      </c>
      <c r="F2204" s="4" t="s">
        <v>5349</v>
      </c>
      <c r="G2204" s="382" t="s">
        <v>5605</v>
      </c>
      <c r="H2204" s="457"/>
      <c r="I2204" s="447" t="s">
        <v>5610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331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92</v>
      </c>
      <c r="W2204" s="41">
        <v>112</v>
      </c>
      <c r="X2204" s="4"/>
      <c r="Y2204" s="392"/>
      <c r="Z2204" s="4"/>
      <c r="AA2204" s="4"/>
      <c r="AB2204" s="40" t="s">
        <v>2898</v>
      </c>
      <c r="AC2204" s="4"/>
      <c r="AD2204" s="4"/>
      <c r="AE2204" s="4"/>
      <c r="AF2204" s="4"/>
      <c r="AG2204" s="4"/>
      <c r="AH2204" s="4"/>
      <c r="AI2204" s="40" t="s">
        <v>2898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554</v>
      </c>
      <c r="E2205" s="150" t="s">
        <v>457</v>
      </c>
      <c r="F2205" s="150" t="s">
        <v>5350</v>
      </c>
      <c r="G2205" s="382" t="s">
        <v>5605</v>
      </c>
      <c r="H2205" s="457" t="s">
        <v>5608</v>
      </c>
      <c r="I2205" s="447" t="s">
        <v>5610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92</v>
      </c>
      <c r="W2205" s="41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624</v>
      </c>
      <c r="C2206" s="40">
        <v>1081</v>
      </c>
      <c r="D2206" s="38" t="s">
        <v>623</v>
      </c>
      <c r="E2206" s="4" t="s">
        <v>300</v>
      </c>
      <c r="F2206" s="4" t="s">
        <v>5351</v>
      </c>
      <c r="G2206" s="382" t="s">
        <v>5605</v>
      </c>
      <c r="H2206" s="457" t="s">
        <v>5608</v>
      </c>
      <c r="I2206" s="447" t="s">
        <v>5610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331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92</v>
      </c>
      <c r="W2206" s="41">
        <v>109</v>
      </c>
      <c r="X2206" s="4"/>
      <c r="Y2206" s="392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625</v>
      </c>
      <c r="C2207" s="40">
        <v>1082</v>
      </c>
      <c r="D2207" s="38" t="s">
        <v>623</v>
      </c>
      <c r="E2207" s="4" t="s">
        <v>300</v>
      </c>
      <c r="F2207" s="4" t="s">
        <v>5352</v>
      </c>
      <c r="G2207" s="382" t="s">
        <v>5605</v>
      </c>
      <c r="H2207" s="457" t="s">
        <v>5608</v>
      </c>
      <c r="I2207" s="447" t="s">
        <v>5610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92</v>
      </c>
      <c r="W2207" s="41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675</v>
      </c>
      <c r="C2208" s="40">
        <v>732</v>
      </c>
      <c r="D2208" s="38" t="s">
        <v>674</v>
      </c>
      <c r="E2208" s="4" t="s">
        <v>300</v>
      </c>
      <c r="F2208" s="4" t="s">
        <v>5353</v>
      </c>
      <c r="G2208" s="382" t="s">
        <v>5605</v>
      </c>
      <c r="H2208" s="457" t="s">
        <v>5608</v>
      </c>
      <c r="I2208" s="447" t="s">
        <v>5610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92</v>
      </c>
      <c r="W2208" s="39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720</v>
      </c>
      <c r="C2209" s="40">
        <v>1370</v>
      </c>
      <c r="D2209" s="38" t="s">
        <v>718</v>
      </c>
      <c r="E2209" s="4" t="s">
        <v>457</v>
      </c>
      <c r="F2209" s="4" t="s">
        <v>5354</v>
      </c>
      <c r="G2209" s="382" t="s">
        <v>5605</v>
      </c>
      <c r="H2209" s="457" t="s">
        <v>5608</v>
      </c>
      <c r="I2209" s="447" t="s">
        <v>5610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92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726</v>
      </c>
      <c r="C2210" s="40">
        <v>2164</v>
      </c>
      <c r="D2210" s="38" t="s">
        <v>724</v>
      </c>
      <c r="E2210" s="4" t="s">
        <v>300</v>
      </c>
      <c r="F2210" s="4" t="s">
        <v>5355</v>
      </c>
      <c r="G2210" s="382" t="s">
        <v>5605</v>
      </c>
      <c r="H2210" s="457" t="s">
        <v>5608</v>
      </c>
      <c r="I2210" s="447" t="s">
        <v>5610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92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728</v>
      </c>
      <c r="C2211" s="40">
        <v>2166</v>
      </c>
      <c r="D2211" s="38" t="s">
        <v>724</v>
      </c>
      <c r="E2211" s="4" t="s">
        <v>300</v>
      </c>
      <c r="F2211" s="4" t="s">
        <v>5356</v>
      </c>
      <c r="G2211" s="382" t="s">
        <v>5605</v>
      </c>
      <c r="H2211" s="457" t="s">
        <v>5608</v>
      </c>
      <c r="I2211" s="447" t="s">
        <v>5610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92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737</v>
      </c>
      <c r="C2212" s="40">
        <v>2321</v>
      </c>
      <c r="D2212" s="38" t="s">
        <v>736</v>
      </c>
      <c r="E2212" s="4" t="s">
        <v>300</v>
      </c>
      <c r="F2212" s="4" t="s">
        <v>5357</v>
      </c>
      <c r="G2212" s="382" t="s">
        <v>5605</v>
      </c>
      <c r="H2212" s="457" t="s">
        <v>5608</v>
      </c>
      <c r="I2212" s="447" t="s">
        <v>5610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331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92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738</v>
      </c>
      <c r="C2213" s="40">
        <v>2340</v>
      </c>
      <c r="D2213" s="38" t="s">
        <v>736</v>
      </c>
      <c r="E2213" s="4" t="s">
        <v>300</v>
      </c>
      <c r="F2213" s="4" t="s">
        <v>5358</v>
      </c>
      <c r="G2213" s="382" t="s">
        <v>5605</v>
      </c>
      <c r="H2213" s="457" t="s">
        <v>5608</v>
      </c>
      <c r="I2213" s="447" t="s">
        <v>5610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92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740</v>
      </c>
      <c r="C2214" s="40">
        <v>2479</v>
      </c>
      <c r="D2214" s="38" t="s">
        <v>736</v>
      </c>
      <c r="E2214" s="4" t="s">
        <v>300</v>
      </c>
      <c r="F2214" s="4" t="s">
        <v>5359</v>
      </c>
      <c r="G2214" s="382" t="s">
        <v>5605</v>
      </c>
      <c r="H2214" s="457" t="s">
        <v>5608</v>
      </c>
      <c r="I2214" s="447" t="s">
        <v>5610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92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736</v>
      </c>
      <c r="E2215" s="4" t="s">
        <v>300</v>
      </c>
      <c r="F2215" s="4" t="s">
        <v>5360</v>
      </c>
      <c r="G2215" s="382" t="s">
        <v>5605</v>
      </c>
      <c r="H2215" s="457" t="s">
        <v>5608</v>
      </c>
      <c r="I2215" s="447" t="s">
        <v>5610</v>
      </c>
      <c r="J2215" s="43">
        <v>200241.25644969498</v>
      </c>
      <c r="K2215" s="43">
        <v>2663118.9552764231</v>
      </c>
      <c r="L2215" s="396" t="s">
        <v>40</v>
      </c>
      <c r="M2215" s="397">
        <v>13</v>
      </c>
      <c r="N2215" s="396">
        <v>29</v>
      </c>
      <c r="O2215" s="396">
        <v>91</v>
      </c>
      <c r="P2215" s="396" t="s">
        <v>41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92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742</v>
      </c>
      <c r="C2216" s="40">
        <v>2320</v>
      </c>
      <c r="D2216" s="38" t="s">
        <v>741</v>
      </c>
      <c r="E2216" s="4" t="s">
        <v>300</v>
      </c>
      <c r="F2216" s="4" t="s">
        <v>5361</v>
      </c>
      <c r="G2216" s="382" t="s">
        <v>5605</v>
      </c>
      <c r="H2216" s="457" t="s">
        <v>5608</v>
      </c>
      <c r="I2216" s="447" t="s">
        <v>5610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92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744</v>
      </c>
      <c r="C2217" s="40">
        <v>731</v>
      </c>
      <c r="D2217" s="38" t="s">
        <v>743</v>
      </c>
      <c r="E2217" s="4" t="s">
        <v>300</v>
      </c>
      <c r="F2217" s="4" t="s">
        <v>5362</v>
      </c>
      <c r="G2217" s="382" t="s">
        <v>5605</v>
      </c>
      <c r="H2217" s="457" t="s">
        <v>5608</v>
      </c>
      <c r="I2217" s="447" t="s">
        <v>5610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92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750</v>
      </c>
      <c r="C2218" s="40">
        <v>729</v>
      </c>
      <c r="D2218" s="38" t="s">
        <v>743</v>
      </c>
      <c r="E2218" s="4" t="s">
        <v>300</v>
      </c>
      <c r="F2218" s="4" t="s">
        <v>5363</v>
      </c>
      <c r="G2218" s="382" t="s">
        <v>5605</v>
      </c>
      <c r="H2218" s="457" t="s">
        <v>5608</v>
      </c>
      <c r="I2218" s="447" t="s">
        <v>5610</v>
      </c>
      <c r="J2218" s="43">
        <v>201081</v>
      </c>
      <c r="K2218" s="43">
        <v>2663186</v>
      </c>
      <c r="L2218" s="396" t="s">
        <v>391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92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749</v>
      </c>
      <c r="C2219" s="40">
        <v>727</v>
      </c>
      <c r="D2219" s="38" t="s">
        <v>743</v>
      </c>
      <c r="E2219" s="4" t="s">
        <v>300</v>
      </c>
      <c r="F2219" s="4" t="s">
        <v>5364</v>
      </c>
      <c r="G2219" s="382" t="s">
        <v>5605</v>
      </c>
      <c r="H2219" s="457" t="s">
        <v>5608</v>
      </c>
      <c r="I2219" s="447" t="s">
        <v>5610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92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763</v>
      </c>
      <c r="C2220" s="40">
        <v>982</v>
      </c>
      <c r="D2220" s="38" t="s">
        <v>762</v>
      </c>
      <c r="E2220" s="4" t="s">
        <v>300</v>
      </c>
      <c r="F2220" s="4" t="s">
        <v>5365</v>
      </c>
      <c r="G2220" s="382" t="s">
        <v>5605</v>
      </c>
      <c r="H2220" s="457" t="s">
        <v>5608</v>
      </c>
      <c r="I2220" s="447" t="s">
        <v>5610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92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771</v>
      </c>
      <c r="C2221" s="40">
        <v>826</v>
      </c>
      <c r="D2221" s="38" t="s">
        <v>769</v>
      </c>
      <c r="E2221" s="4" t="s">
        <v>457</v>
      </c>
      <c r="F2221" s="4" t="s">
        <v>5366</v>
      </c>
      <c r="G2221" s="382" t="s">
        <v>5605</v>
      </c>
      <c r="H2221" s="457" t="s">
        <v>5608</v>
      </c>
      <c r="I2221" s="447" t="s">
        <v>5610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92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772</v>
      </c>
      <c r="C2222" s="40">
        <v>828</v>
      </c>
      <c r="D2222" s="38" t="s">
        <v>769</v>
      </c>
      <c r="E2222" s="4" t="s">
        <v>457</v>
      </c>
      <c r="F2222" s="4" t="s">
        <v>5367</v>
      </c>
      <c r="G2222" s="382" t="s">
        <v>5605</v>
      </c>
      <c r="H2222" s="457" t="s">
        <v>5608</v>
      </c>
      <c r="I2222" s="447" t="s">
        <v>5610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92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773</v>
      </c>
      <c r="C2223" s="40">
        <v>829</v>
      </c>
      <c r="D2223" s="38" t="s">
        <v>769</v>
      </c>
      <c r="E2223" s="4" t="s">
        <v>457</v>
      </c>
      <c r="F2223" s="4" t="s">
        <v>5368</v>
      </c>
      <c r="G2223" s="382" t="s">
        <v>5605</v>
      </c>
      <c r="H2223" s="457" t="s">
        <v>5608</v>
      </c>
      <c r="I2223" s="447" t="s">
        <v>5610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278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92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774</v>
      </c>
      <c r="C2224" s="40">
        <v>942</v>
      </c>
      <c r="D2224" s="38" t="s">
        <v>769</v>
      </c>
      <c r="E2224" s="4" t="s">
        <v>457</v>
      </c>
      <c r="F2224" s="4" t="s">
        <v>5369</v>
      </c>
      <c r="G2224" s="382" t="s">
        <v>5605</v>
      </c>
      <c r="H2224" s="457" t="s">
        <v>5608</v>
      </c>
      <c r="I2224" s="447" t="s">
        <v>5610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92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777</v>
      </c>
      <c r="C2225" s="40">
        <v>835</v>
      </c>
      <c r="D2225" s="38" t="s">
        <v>775</v>
      </c>
      <c r="E2225" s="4" t="s">
        <v>457</v>
      </c>
      <c r="F2225" s="4" t="s">
        <v>5370</v>
      </c>
      <c r="G2225" s="382" t="s">
        <v>5605</v>
      </c>
      <c r="H2225" s="457" t="s">
        <v>5608</v>
      </c>
      <c r="I2225" s="447" t="s">
        <v>5610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92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839</v>
      </c>
      <c r="C2226" s="40">
        <v>2163</v>
      </c>
      <c r="D2226" s="38" t="s">
        <v>837</v>
      </c>
      <c r="E2226" s="4" t="s">
        <v>300</v>
      </c>
      <c r="F2226" s="4" t="s">
        <v>5371</v>
      </c>
      <c r="G2226" s="382" t="s">
        <v>5605</v>
      </c>
      <c r="H2226" s="457" t="s">
        <v>5608</v>
      </c>
      <c r="I2226" s="447" t="s">
        <v>5610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92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840</v>
      </c>
      <c r="C2227" s="40">
        <v>2153</v>
      </c>
      <c r="D2227" s="38" t="s">
        <v>837</v>
      </c>
      <c r="E2227" s="4" t="s">
        <v>300</v>
      </c>
      <c r="F2227" s="4" t="s">
        <v>5372</v>
      </c>
      <c r="G2227" s="382" t="s">
        <v>5605</v>
      </c>
      <c r="H2227" s="457" t="s">
        <v>5608</v>
      </c>
      <c r="I2227" s="447" t="s">
        <v>5610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92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809</v>
      </c>
      <c r="C2228" s="40">
        <v>1366</v>
      </c>
      <c r="D2228" s="38" t="s">
        <v>808</v>
      </c>
      <c r="E2228" s="4" t="s">
        <v>457</v>
      </c>
      <c r="F2228" s="4" t="s">
        <v>5373</v>
      </c>
      <c r="G2228" s="382" t="s">
        <v>5605</v>
      </c>
      <c r="H2228" s="457" t="s">
        <v>5608</v>
      </c>
      <c r="I2228" s="447" t="s">
        <v>5610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92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887</v>
      </c>
      <c r="C2229" s="40">
        <v>713</v>
      </c>
      <c r="D2229" s="38" t="s">
        <v>878</v>
      </c>
      <c r="E2229" s="4" t="s">
        <v>300</v>
      </c>
      <c r="F2229" s="4" t="s">
        <v>5374</v>
      </c>
      <c r="G2229" s="382" t="s">
        <v>5605</v>
      </c>
      <c r="H2229" s="457" t="s">
        <v>5608</v>
      </c>
      <c r="I2229" s="447" t="s">
        <v>5610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92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878</v>
      </c>
      <c r="E2230" s="4" t="s">
        <v>300</v>
      </c>
      <c r="F2230" s="4" t="s">
        <v>5375</v>
      </c>
      <c r="G2230" s="382" t="s">
        <v>5605</v>
      </c>
      <c r="H2230" s="457" t="s">
        <v>5608</v>
      </c>
      <c r="I2230" s="447" t="s">
        <v>5610</v>
      </c>
      <c r="J2230" s="43">
        <v>201319.27432821601</v>
      </c>
      <c r="K2230" s="43">
        <v>2663299.9651097506</v>
      </c>
      <c r="L2230" s="439" t="s">
        <v>40</v>
      </c>
      <c r="M2230" s="150">
        <v>19</v>
      </c>
      <c r="N2230" s="150">
        <v>58</v>
      </c>
      <c r="O2230" s="150">
        <v>115</v>
      </c>
      <c r="P2230" s="439" t="s">
        <v>41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92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904</v>
      </c>
      <c r="C2231" s="40">
        <v>972</v>
      </c>
      <c r="D2231" s="38" t="s">
        <v>903</v>
      </c>
      <c r="E2231" s="4" t="s">
        <v>300</v>
      </c>
      <c r="F2231" s="4" t="s">
        <v>5376</v>
      </c>
      <c r="G2231" s="382" t="s">
        <v>5605</v>
      </c>
      <c r="H2231" s="457" t="s">
        <v>5608</v>
      </c>
      <c r="I2231" s="447" t="s">
        <v>5610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92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907</v>
      </c>
      <c r="C2232" s="40">
        <v>983</v>
      </c>
      <c r="D2232" s="38" t="s">
        <v>903</v>
      </c>
      <c r="E2232" s="4" t="s">
        <v>300</v>
      </c>
      <c r="F2232" s="4" t="s">
        <v>5377</v>
      </c>
      <c r="G2232" s="382" t="s">
        <v>5605</v>
      </c>
      <c r="H2232" s="457" t="s">
        <v>5608</v>
      </c>
      <c r="I2232" s="447" t="s">
        <v>5610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92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908</v>
      </c>
      <c r="C2233" s="40">
        <v>984</v>
      </c>
      <c r="D2233" s="38" t="s">
        <v>903</v>
      </c>
      <c r="E2233" s="4" t="s">
        <v>300</v>
      </c>
      <c r="F2233" s="4" t="s">
        <v>5378</v>
      </c>
      <c r="G2233" s="382" t="s">
        <v>5605</v>
      </c>
      <c r="H2233" s="457" t="s">
        <v>5608</v>
      </c>
      <c r="I2233" s="447" t="s">
        <v>5610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102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92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909</v>
      </c>
      <c r="C2234" s="40">
        <v>985</v>
      </c>
      <c r="D2234" s="38" t="s">
        <v>903</v>
      </c>
      <c r="E2234" s="4" t="s">
        <v>300</v>
      </c>
      <c r="F2234" s="4" t="s">
        <v>5379</v>
      </c>
      <c r="G2234" s="382" t="s">
        <v>5605</v>
      </c>
      <c r="H2234" s="457" t="s">
        <v>5608</v>
      </c>
      <c r="I2234" s="447" t="s">
        <v>5610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910</v>
      </c>
      <c r="T2234" s="2" t="s">
        <v>3</v>
      </c>
      <c r="U2234" s="2" t="s">
        <v>3</v>
      </c>
      <c r="V2234" s="150" t="s">
        <v>92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986</v>
      </c>
      <c r="C2235" s="40">
        <v>1467</v>
      </c>
      <c r="D2235" s="38" t="s">
        <v>985</v>
      </c>
      <c r="E2235" s="4" t="s">
        <v>246</v>
      </c>
      <c r="F2235" s="4" t="s">
        <v>5380</v>
      </c>
      <c r="G2235" s="382" t="s">
        <v>5605</v>
      </c>
      <c r="H2235" s="457" t="s">
        <v>5608</v>
      </c>
      <c r="I2235" s="447" t="s">
        <v>5610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92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1002</v>
      </c>
      <c r="C2236" s="40">
        <v>2170</v>
      </c>
      <c r="D2236" s="38" t="s">
        <v>1000</v>
      </c>
      <c r="E2236" s="4" t="s">
        <v>300</v>
      </c>
      <c r="F2236" s="4" t="s">
        <v>5381</v>
      </c>
      <c r="G2236" s="382" t="s">
        <v>5605</v>
      </c>
      <c r="H2236" s="456" t="s">
        <v>5608</v>
      </c>
      <c r="I2236" s="447" t="s">
        <v>5610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92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1007</v>
      </c>
      <c r="C2237" s="40">
        <v>2315</v>
      </c>
      <c r="D2237" s="38" t="s">
        <v>1006</v>
      </c>
      <c r="E2237" s="4" t="s">
        <v>300</v>
      </c>
      <c r="F2237" s="4" t="s">
        <v>5382</v>
      </c>
      <c r="G2237" s="382" t="s">
        <v>5605</v>
      </c>
      <c r="H2237" s="456" t="s">
        <v>5608</v>
      </c>
      <c r="I2237" s="447" t="s">
        <v>5610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331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92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1008</v>
      </c>
      <c r="C2238" s="40">
        <v>2336</v>
      </c>
      <c r="D2238" s="38" t="s">
        <v>1006</v>
      </c>
      <c r="E2238" s="4" t="s">
        <v>300</v>
      </c>
      <c r="F2238" s="4" t="s">
        <v>5383</v>
      </c>
      <c r="G2238" s="382" t="s">
        <v>5605</v>
      </c>
      <c r="H2238" s="456" t="s">
        <v>5608</v>
      </c>
      <c r="I2238" s="447" t="s">
        <v>5610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92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1009</v>
      </c>
      <c r="C2239" s="40">
        <v>2136</v>
      </c>
      <c r="D2239" s="38" t="s">
        <v>1006</v>
      </c>
      <c r="E2239" s="4" t="s">
        <v>1010</v>
      </c>
      <c r="F2239" s="4" t="s">
        <v>5384</v>
      </c>
      <c r="G2239" s="382" t="s">
        <v>5605</v>
      </c>
      <c r="H2239" s="456" t="s">
        <v>5608</v>
      </c>
      <c r="I2239" s="447" t="s">
        <v>5610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92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1018</v>
      </c>
      <c r="C2240" s="40">
        <v>2504</v>
      </c>
      <c r="D2240" s="38" t="s">
        <v>1011</v>
      </c>
      <c r="E2240" s="4" t="s">
        <v>300</v>
      </c>
      <c r="F2240" s="4" t="s">
        <v>5385</v>
      </c>
      <c r="G2240" s="382" t="s">
        <v>5605</v>
      </c>
      <c r="H2240" s="456" t="s">
        <v>5608</v>
      </c>
      <c r="I2240" s="447" t="s">
        <v>5610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41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92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1019</v>
      </c>
      <c r="C2241" s="40">
        <v>2505</v>
      </c>
      <c r="D2241" s="38" t="s">
        <v>1011</v>
      </c>
      <c r="E2241" s="4" t="s">
        <v>300</v>
      </c>
      <c r="F2241" s="4" t="s">
        <v>5386</v>
      </c>
      <c r="G2241" s="382" t="s">
        <v>5605</v>
      </c>
      <c r="H2241" s="456" t="s">
        <v>5608</v>
      </c>
      <c r="I2241" s="447" t="s">
        <v>5610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92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1020</v>
      </c>
      <c r="C2242" s="40">
        <v>2506</v>
      </c>
      <c r="D2242" s="38" t="s">
        <v>1011</v>
      </c>
      <c r="E2242" s="4" t="s">
        <v>300</v>
      </c>
      <c r="F2242" s="4" t="s">
        <v>5387</v>
      </c>
      <c r="G2242" s="382" t="s">
        <v>5605</v>
      </c>
      <c r="H2242" s="456" t="s">
        <v>5608</v>
      </c>
      <c r="I2242" s="447" t="s">
        <v>5610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41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92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1021</v>
      </c>
      <c r="C2243" s="40">
        <v>2507</v>
      </c>
      <c r="D2243" s="38" t="s">
        <v>1011</v>
      </c>
      <c r="E2243" s="4" t="s">
        <v>300</v>
      </c>
      <c r="F2243" s="4" t="s">
        <v>5388</v>
      </c>
      <c r="G2243" s="382" t="s">
        <v>5605</v>
      </c>
      <c r="H2243" s="456" t="s">
        <v>5608</v>
      </c>
      <c r="I2243" s="447" t="s">
        <v>5610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41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92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1022</v>
      </c>
      <c r="C2244" s="40">
        <v>2508</v>
      </c>
      <c r="D2244" s="38" t="s">
        <v>1011</v>
      </c>
      <c r="E2244" s="4" t="s">
        <v>300</v>
      </c>
      <c r="F2244" s="4" t="s">
        <v>5389</v>
      </c>
      <c r="G2244" s="382" t="s">
        <v>5605</v>
      </c>
      <c r="H2244" s="456" t="s">
        <v>5608</v>
      </c>
      <c r="I2244" s="447" t="s">
        <v>5610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41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92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1023</v>
      </c>
      <c r="C2245" s="40">
        <v>2509</v>
      </c>
      <c r="D2245" s="38" t="s">
        <v>1011</v>
      </c>
      <c r="E2245" s="4" t="s">
        <v>300</v>
      </c>
      <c r="F2245" s="4" t="s">
        <v>5390</v>
      </c>
      <c r="G2245" s="382" t="s">
        <v>5605</v>
      </c>
      <c r="H2245" s="456" t="s">
        <v>5608</v>
      </c>
      <c r="I2245" s="447" t="s">
        <v>5610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41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92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1024</v>
      </c>
      <c r="E2246" s="4" t="s">
        <v>300</v>
      </c>
      <c r="F2246" s="4" t="s">
        <v>5391</v>
      </c>
      <c r="G2246" s="382" t="s">
        <v>5605</v>
      </c>
      <c r="H2246" s="456" t="s">
        <v>5608</v>
      </c>
      <c r="I2246" s="447" t="s">
        <v>5610</v>
      </c>
      <c r="J2246" s="43">
        <v>200890</v>
      </c>
      <c r="K2246" s="43">
        <v>2663604</v>
      </c>
      <c r="L2246" s="396" t="s">
        <v>40</v>
      </c>
      <c r="M2246" s="397">
        <v>8</v>
      </c>
      <c r="N2246" s="396">
        <v>56</v>
      </c>
      <c r="O2246" s="396">
        <v>89</v>
      </c>
      <c r="P2246" s="396" t="s">
        <v>41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92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1208</v>
      </c>
      <c r="C2247" s="40">
        <v>2331</v>
      </c>
      <c r="D2247" s="38" t="s">
        <v>1199</v>
      </c>
      <c r="E2247" s="4" t="s">
        <v>300</v>
      </c>
      <c r="F2247" s="4" t="s">
        <v>5392</v>
      </c>
      <c r="G2247" s="382" t="s">
        <v>5605</v>
      </c>
      <c r="H2247" s="456" t="s">
        <v>5608</v>
      </c>
      <c r="I2247" s="447" t="s">
        <v>5610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92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1057</v>
      </c>
      <c r="C2248" s="40">
        <v>784</v>
      </c>
      <c r="D2248" s="38" t="s">
        <v>1055</v>
      </c>
      <c r="E2248" s="4" t="s">
        <v>457</v>
      </c>
      <c r="F2248" s="4" t="s">
        <v>5393</v>
      </c>
      <c r="G2248" s="382" t="s">
        <v>5605</v>
      </c>
      <c r="H2248" s="456" t="s">
        <v>5608</v>
      </c>
      <c r="I2248" s="447" t="s">
        <v>5610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615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92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1058</v>
      </c>
      <c r="C2249" s="40">
        <v>785</v>
      </c>
      <c r="D2249" s="38" t="s">
        <v>1055</v>
      </c>
      <c r="E2249" s="4" t="s">
        <v>457</v>
      </c>
      <c r="F2249" s="4" t="s">
        <v>5394</v>
      </c>
      <c r="G2249" s="382" t="s">
        <v>5605</v>
      </c>
      <c r="H2249" s="456" t="s">
        <v>5608</v>
      </c>
      <c r="I2249" s="447" t="s">
        <v>5610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92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1055</v>
      </c>
      <c r="E2250" s="4" t="s">
        <v>457</v>
      </c>
      <c r="F2250" s="4" t="s">
        <v>5395</v>
      </c>
      <c r="G2250" s="382" t="s">
        <v>5605</v>
      </c>
      <c r="H2250" s="456" t="s">
        <v>5608</v>
      </c>
      <c r="I2250" s="447" t="s">
        <v>5610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92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1086</v>
      </c>
      <c r="C2251" s="40">
        <v>1247</v>
      </c>
      <c r="D2251" s="38" t="s">
        <v>1085</v>
      </c>
      <c r="E2251" s="4" t="s">
        <v>457</v>
      </c>
      <c r="F2251" s="4" t="s">
        <v>5396</v>
      </c>
      <c r="G2251" s="382" t="s">
        <v>5605</v>
      </c>
      <c r="H2251" s="456" t="s">
        <v>5608</v>
      </c>
      <c r="I2251" s="447" t="s">
        <v>5610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92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1102</v>
      </c>
      <c r="C2252" s="40">
        <v>1424</v>
      </c>
      <c r="D2252" s="38" t="s">
        <v>1101</v>
      </c>
      <c r="E2252" s="4" t="s">
        <v>457</v>
      </c>
      <c r="F2252" s="4" t="s">
        <v>5397</v>
      </c>
      <c r="G2252" s="382" t="s">
        <v>5605</v>
      </c>
      <c r="H2252" s="456" t="s">
        <v>5608</v>
      </c>
      <c r="I2252" s="447" t="s">
        <v>5610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92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1152</v>
      </c>
      <c r="C2253" s="40">
        <v>2152</v>
      </c>
      <c r="D2253" s="38" t="s">
        <v>1143</v>
      </c>
      <c r="E2253" s="4" t="s">
        <v>300</v>
      </c>
      <c r="F2253" s="4" t="s">
        <v>5398</v>
      </c>
      <c r="G2253" s="382" t="s">
        <v>5605</v>
      </c>
      <c r="H2253" s="456" t="s">
        <v>5608</v>
      </c>
      <c r="I2253" s="447" t="s">
        <v>5610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92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1205</v>
      </c>
      <c r="C2254" s="83">
        <v>369</v>
      </c>
      <c r="D2254" s="113" t="s">
        <v>1192</v>
      </c>
      <c r="E2254" s="131" t="s">
        <v>1010</v>
      </c>
      <c r="F2254" s="131" t="s">
        <v>5399</v>
      </c>
      <c r="G2254" s="382" t="s">
        <v>5605</v>
      </c>
      <c r="H2254" s="456" t="s">
        <v>5608</v>
      </c>
      <c r="I2254" s="447" t="s">
        <v>5610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2" t="str">
        <f>T2253</f>
        <v>正常</v>
      </c>
      <c r="U2254" s="2" t="s">
        <v>3</v>
      </c>
      <c r="V2254" s="150" t="s">
        <v>92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1197</v>
      </c>
      <c r="C2255" s="40">
        <v>324</v>
      </c>
      <c r="D2255" s="38" t="s">
        <v>1192</v>
      </c>
      <c r="E2255" s="4" t="s">
        <v>1010</v>
      </c>
      <c r="F2255" s="4" t="s">
        <v>5400</v>
      </c>
      <c r="G2255" s="382" t="s">
        <v>5605</v>
      </c>
      <c r="H2255" s="456" t="s">
        <v>5608</v>
      </c>
      <c r="I2255" s="447" t="s">
        <v>5610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2" t="str">
        <f>T2254</f>
        <v>正常</v>
      </c>
      <c r="U2255" s="2" t="str">
        <f>U2254</f>
        <v>正常</v>
      </c>
      <c r="V2255" s="150" t="s">
        <v>92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1191</v>
      </c>
      <c r="C2256" s="40">
        <v>2330</v>
      </c>
      <c r="D2256" s="38" t="s">
        <v>1190</v>
      </c>
      <c r="E2256" s="4" t="s">
        <v>300</v>
      </c>
      <c r="F2256" s="4" t="s">
        <v>5401</v>
      </c>
      <c r="G2256" s="382" t="s">
        <v>5605</v>
      </c>
      <c r="H2256" s="456" t="s">
        <v>5608</v>
      </c>
      <c r="I2256" s="447" t="s">
        <v>5610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92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1207</v>
      </c>
      <c r="C2257" s="40">
        <v>2329</v>
      </c>
      <c r="D2257" s="38" t="s">
        <v>1190</v>
      </c>
      <c r="E2257" s="4" t="s">
        <v>300</v>
      </c>
      <c r="F2257" s="4" t="s">
        <v>5402</v>
      </c>
      <c r="G2257" s="382" t="s">
        <v>5605</v>
      </c>
      <c r="H2257" s="456" t="s">
        <v>5608</v>
      </c>
      <c r="I2257" s="447" t="s">
        <v>5610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92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1233</v>
      </c>
      <c r="C2258" s="40">
        <v>2341</v>
      </c>
      <c r="D2258" s="38" t="s">
        <v>1232</v>
      </c>
      <c r="E2258" s="4" t="s">
        <v>300</v>
      </c>
      <c r="F2258" s="4" t="s">
        <v>5403</v>
      </c>
      <c r="G2258" s="382" t="s">
        <v>5605</v>
      </c>
      <c r="H2258" s="456" t="s">
        <v>5608</v>
      </c>
      <c r="I2258" s="447" t="s">
        <v>5610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92</v>
      </c>
      <c r="W2258" s="39">
        <v>111</v>
      </c>
      <c r="X2258" s="4"/>
      <c r="Y2258" s="392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1266</v>
      </c>
      <c r="C2259" s="40">
        <v>816</v>
      </c>
      <c r="D2259" s="38" t="s">
        <v>1265</v>
      </c>
      <c r="E2259" s="4" t="s">
        <v>457</v>
      </c>
      <c r="F2259" s="4" t="s">
        <v>5404</v>
      </c>
      <c r="G2259" s="382" t="s">
        <v>5605</v>
      </c>
      <c r="H2259" s="456" t="s">
        <v>5608</v>
      </c>
      <c r="I2259" s="447" t="s">
        <v>5610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92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1393</v>
      </c>
      <c r="C2260" s="40">
        <v>2337</v>
      </c>
      <c r="D2260" s="38" t="s">
        <v>1388</v>
      </c>
      <c r="E2260" s="4" t="s">
        <v>300</v>
      </c>
      <c r="F2260" s="4" t="s">
        <v>5405</v>
      </c>
      <c r="G2260" s="382" t="s">
        <v>5605</v>
      </c>
      <c r="H2260" s="456" t="s">
        <v>5608</v>
      </c>
      <c r="I2260" s="447" t="s">
        <v>5610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92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1380</v>
      </c>
      <c r="C2261" s="40">
        <v>282</v>
      </c>
      <c r="D2261" s="38" t="s">
        <v>1376</v>
      </c>
      <c r="E2261" s="4" t="s">
        <v>1010</v>
      </c>
      <c r="F2261" s="4" t="s">
        <v>5406</v>
      </c>
      <c r="G2261" s="382" t="s">
        <v>5605</v>
      </c>
      <c r="H2261" s="456" t="s">
        <v>5608</v>
      </c>
      <c r="I2261" s="447" t="s">
        <v>5610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92</v>
      </c>
      <c r="W2261" s="39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1397</v>
      </c>
      <c r="C2262" s="40">
        <v>2134</v>
      </c>
      <c r="D2262" s="38" t="s">
        <v>1396</v>
      </c>
      <c r="E2262" s="4" t="s">
        <v>1010</v>
      </c>
      <c r="F2262" s="4" t="s">
        <v>5407</v>
      </c>
      <c r="G2262" s="382" t="s">
        <v>5605</v>
      </c>
      <c r="H2262" s="456" t="s">
        <v>5608</v>
      </c>
      <c r="I2262" s="447" t="s">
        <v>5610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1193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1405</v>
      </c>
      <c r="C2263" s="40">
        <v>2268</v>
      </c>
      <c r="D2263" s="38" t="s">
        <v>1404</v>
      </c>
      <c r="E2263" s="4" t="s">
        <v>300</v>
      </c>
      <c r="F2263" s="4" t="s">
        <v>5408</v>
      </c>
      <c r="G2263" s="382" t="s">
        <v>5605</v>
      </c>
      <c r="H2263" s="456" t="s">
        <v>5608</v>
      </c>
      <c r="I2263" s="447" t="s">
        <v>5610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331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92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1407</v>
      </c>
      <c r="C2264" s="40">
        <v>2226</v>
      </c>
      <c r="D2264" s="38" t="s">
        <v>1404</v>
      </c>
      <c r="E2264" s="4" t="s">
        <v>300</v>
      </c>
      <c r="F2264" s="4" t="s">
        <v>5409</v>
      </c>
      <c r="G2264" s="382" t="s">
        <v>5605</v>
      </c>
      <c r="H2264" s="456" t="s">
        <v>5608</v>
      </c>
      <c r="I2264" s="447" t="s">
        <v>5610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92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1585</v>
      </c>
      <c r="C2265" s="40">
        <v>2279</v>
      </c>
      <c r="D2265" s="38" t="s">
        <v>1582</v>
      </c>
      <c r="E2265" s="4" t="s">
        <v>300</v>
      </c>
      <c r="F2265" s="4" t="s">
        <v>5410</v>
      </c>
      <c r="G2265" s="382" t="s">
        <v>5605</v>
      </c>
      <c r="H2265" s="456" t="s">
        <v>5608</v>
      </c>
      <c r="I2265" s="447" t="s">
        <v>5610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92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1588</v>
      </c>
      <c r="C2266" s="40">
        <v>2255</v>
      </c>
      <c r="D2266" s="38" t="s">
        <v>1582</v>
      </c>
      <c r="E2266" s="4" t="s">
        <v>300</v>
      </c>
      <c r="F2266" s="4" t="s">
        <v>5411</v>
      </c>
      <c r="G2266" s="382" t="s">
        <v>5605</v>
      </c>
      <c r="H2266" s="456" t="s">
        <v>5608</v>
      </c>
      <c r="I2266" s="447" t="s">
        <v>5610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331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92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1596</v>
      </c>
      <c r="C2267" s="40">
        <v>2287</v>
      </c>
      <c r="D2267" s="38" t="s">
        <v>1590</v>
      </c>
      <c r="E2267" s="4" t="s">
        <v>300</v>
      </c>
      <c r="F2267" s="4" t="s">
        <v>5412</v>
      </c>
      <c r="G2267" s="382" t="s">
        <v>5605</v>
      </c>
      <c r="H2267" s="456" t="s">
        <v>5608</v>
      </c>
      <c r="I2267" s="447" t="s">
        <v>5610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92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1591</v>
      </c>
      <c r="C2268" s="40">
        <v>2253</v>
      </c>
      <c r="D2268" s="38" t="s">
        <v>1590</v>
      </c>
      <c r="E2268" s="4" t="s">
        <v>300</v>
      </c>
      <c r="F2268" s="4" t="s">
        <v>5413</v>
      </c>
      <c r="G2268" s="382" t="s">
        <v>5605</v>
      </c>
      <c r="H2268" s="456" t="s">
        <v>5608</v>
      </c>
      <c r="I2268" s="447" t="s">
        <v>5610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331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92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1566</v>
      </c>
      <c r="C2269" s="40">
        <v>2083</v>
      </c>
      <c r="D2269" s="38" t="s">
        <v>1565</v>
      </c>
      <c r="E2269" s="4" t="s">
        <v>1010</v>
      </c>
      <c r="F2269" s="4" t="s">
        <v>5414</v>
      </c>
      <c r="G2269" s="382" t="s">
        <v>5605</v>
      </c>
      <c r="H2269" s="456" t="s">
        <v>5608</v>
      </c>
      <c r="I2269" s="447" t="s">
        <v>5610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92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1699</v>
      </c>
      <c r="C2270" s="40">
        <v>279</v>
      </c>
      <c r="D2270" s="38" t="s">
        <v>1693</v>
      </c>
      <c r="E2270" s="4" t="s">
        <v>1010</v>
      </c>
      <c r="F2270" s="4" t="s">
        <v>5415</v>
      </c>
      <c r="G2270" s="382" t="s">
        <v>5605</v>
      </c>
      <c r="H2270" s="456" t="s">
        <v>5608</v>
      </c>
      <c r="I2270" s="447" t="s">
        <v>5610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92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1836</v>
      </c>
      <c r="C2271" s="40">
        <v>358</v>
      </c>
      <c r="D2271" s="38" t="s">
        <v>1833</v>
      </c>
      <c r="E2271" s="4" t="s">
        <v>1010</v>
      </c>
      <c r="F2271" s="4" t="s">
        <v>5416</v>
      </c>
      <c r="G2271" s="382" t="s">
        <v>5605</v>
      </c>
      <c r="H2271" s="456" t="s">
        <v>5608</v>
      </c>
      <c r="I2271" s="447" t="s">
        <v>5610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37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92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1951</v>
      </c>
      <c r="C2272" s="40">
        <v>1605</v>
      </c>
      <c r="D2272" s="38" t="s">
        <v>1947</v>
      </c>
      <c r="E2272" s="4" t="s">
        <v>457</v>
      </c>
      <c r="F2272" s="4" t="s">
        <v>5417</v>
      </c>
      <c r="G2272" s="382" t="s">
        <v>5605</v>
      </c>
      <c r="H2272" s="456" t="s">
        <v>5608</v>
      </c>
      <c r="I2272" s="447" t="s">
        <v>5610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92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2066</v>
      </c>
      <c r="C2273" s="40">
        <v>2038</v>
      </c>
      <c r="D2273" s="38" t="s">
        <v>2064</v>
      </c>
      <c r="E2273" s="4" t="s">
        <v>1010</v>
      </c>
      <c r="F2273" s="4" t="s">
        <v>5418</v>
      </c>
      <c r="G2273" s="382" t="s">
        <v>5605</v>
      </c>
      <c r="H2273" s="456" t="s">
        <v>5608</v>
      </c>
      <c r="I2273" s="447" t="s">
        <v>5610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92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2087</v>
      </c>
      <c r="C2274" s="40">
        <v>1724</v>
      </c>
      <c r="D2274" s="38" t="s">
        <v>2086</v>
      </c>
      <c r="E2274" s="4" t="s">
        <v>457</v>
      </c>
      <c r="F2274" s="4" t="s">
        <v>5419</v>
      </c>
      <c r="G2274" s="382" t="s">
        <v>5605</v>
      </c>
      <c r="H2274" s="456" t="s">
        <v>5608</v>
      </c>
      <c r="I2274" s="447" t="s">
        <v>5610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92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2157</v>
      </c>
      <c r="C2275" s="40">
        <v>118</v>
      </c>
      <c r="D2275" s="38" t="s">
        <v>2156</v>
      </c>
      <c r="E2275" s="4" t="s">
        <v>1010</v>
      </c>
      <c r="F2275" s="4" t="s">
        <v>5420</v>
      </c>
      <c r="G2275" s="382" t="s">
        <v>5605</v>
      </c>
      <c r="H2275" s="456" t="s">
        <v>5608</v>
      </c>
      <c r="I2275" s="447" t="s">
        <v>5610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92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2223</v>
      </c>
      <c r="C2276" s="40">
        <v>2053</v>
      </c>
      <c r="D2276" s="38" t="s">
        <v>2219</v>
      </c>
      <c r="E2276" s="4" t="s">
        <v>1010</v>
      </c>
      <c r="F2276" s="4" t="s">
        <v>5421</v>
      </c>
      <c r="G2276" s="382" t="s">
        <v>5605</v>
      </c>
      <c r="H2276" s="456" t="s">
        <v>5608</v>
      </c>
      <c r="I2276" s="447" t="s">
        <v>5610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92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2290</v>
      </c>
      <c r="C2277" s="40">
        <v>1689</v>
      </c>
      <c r="D2277" s="38" t="s">
        <v>2289</v>
      </c>
      <c r="E2277" s="4" t="s">
        <v>457</v>
      </c>
      <c r="F2277" s="4" t="s">
        <v>5422</v>
      </c>
      <c r="G2277" s="382" t="s">
        <v>5605</v>
      </c>
      <c r="H2277" s="456" t="s">
        <v>5608</v>
      </c>
      <c r="I2277" s="447" t="s">
        <v>5610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92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2324</v>
      </c>
      <c r="C2278" s="40">
        <v>420</v>
      </c>
      <c r="D2278" s="38" t="s">
        <v>2318</v>
      </c>
      <c r="E2278" s="4" t="s">
        <v>1010</v>
      </c>
      <c r="F2278" s="4" t="s">
        <v>5423</v>
      </c>
      <c r="G2278" s="382" t="s">
        <v>5605</v>
      </c>
      <c r="H2278" s="456" t="s">
        <v>5608</v>
      </c>
      <c r="I2278" s="447" t="s">
        <v>5610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92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2328</v>
      </c>
      <c r="C2279" s="40">
        <v>387</v>
      </c>
      <c r="D2279" s="38" t="s">
        <v>2327</v>
      </c>
      <c r="E2279" s="4" t="s">
        <v>1010</v>
      </c>
      <c r="F2279" s="4" t="s">
        <v>5424</v>
      </c>
      <c r="G2279" s="382" t="s">
        <v>5605</v>
      </c>
      <c r="H2279" s="456" t="s">
        <v>5608</v>
      </c>
      <c r="I2279" s="447" t="s">
        <v>5610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92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2329</v>
      </c>
      <c r="C2280" s="40">
        <v>386</v>
      </c>
      <c r="D2280" s="38" t="s">
        <v>2327</v>
      </c>
      <c r="E2280" s="4" t="s">
        <v>1010</v>
      </c>
      <c r="F2280" s="4" t="s">
        <v>5425</v>
      </c>
      <c r="G2280" s="382" t="s">
        <v>5605</v>
      </c>
      <c r="H2280" s="456" t="s">
        <v>5608</v>
      </c>
      <c r="I2280" s="447" t="s">
        <v>5610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92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2380</v>
      </c>
      <c r="C2281" s="40">
        <v>1579</v>
      </c>
      <c r="D2281" s="38" t="s">
        <v>2378</v>
      </c>
      <c r="E2281" s="4" t="s">
        <v>457</v>
      </c>
      <c r="F2281" s="4" t="s">
        <v>5426</v>
      </c>
      <c r="G2281" s="382" t="s">
        <v>5605</v>
      </c>
      <c r="H2281" s="456" t="s">
        <v>5608</v>
      </c>
      <c r="I2281" s="447" t="s">
        <v>5610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92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2381</v>
      </c>
      <c r="C2282" s="40">
        <v>1596</v>
      </c>
      <c r="D2282" s="38" t="s">
        <v>2378</v>
      </c>
      <c r="E2282" s="4" t="s">
        <v>457</v>
      </c>
      <c r="F2282" s="4" t="s">
        <v>5427</v>
      </c>
      <c r="G2282" s="382" t="s">
        <v>5605</v>
      </c>
      <c r="H2282" s="456" t="s">
        <v>5608</v>
      </c>
      <c r="I2282" s="447" t="s">
        <v>5610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92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2383</v>
      </c>
      <c r="C2283" s="40">
        <v>2513</v>
      </c>
      <c r="D2283" s="40" t="s">
        <v>2382</v>
      </c>
      <c r="E2283" s="4" t="s">
        <v>457</v>
      </c>
      <c r="F2283" s="4" t="s">
        <v>5428</v>
      </c>
      <c r="G2283" s="382" t="s">
        <v>5605</v>
      </c>
      <c r="H2283" s="456" t="s">
        <v>5608</v>
      </c>
      <c r="I2283" s="447" t="s">
        <v>5610</v>
      </c>
      <c r="J2283" s="43" t="s">
        <v>2384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92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2385</v>
      </c>
      <c r="C2284" s="40">
        <v>2514</v>
      </c>
      <c r="D2284" s="40" t="s">
        <v>2382</v>
      </c>
      <c r="E2284" s="4" t="s">
        <v>457</v>
      </c>
      <c r="F2284" s="4" t="s">
        <v>5429</v>
      </c>
      <c r="G2284" s="382" t="s">
        <v>5605</v>
      </c>
      <c r="H2284" s="456" t="s">
        <v>5608</v>
      </c>
      <c r="I2284" s="447" t="s">
        <v>5610</v>
      </c>
      <c r="J2284" s="43" t="s">
        <v>2384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92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2392</v>
      </c>
      <c r="C2285" s="40">
        <v>1573</v>
      </c>
      <c r="D2285" s="38" t="s">
        <v>2386</v>
      </c>
      <c r="E2285" s="4" t="s">
        <v>457</v>
      </c>
      <c r="F2285" s="4" t="s">
        <v>5430</v>
      </c>
      <c r="G2285" s="382" t="s">
        <v>5605</v>
      </c>
      <c r="H2285" s="456" t="s">
        <v>5608</v>
      </c>
      <c r="I2285" s="447" t="s">
        <v>5610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92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2414</v>
      </c>
      <c r="C2286" s="40">
        <v>121</v>
      </c>
      <c r="D2286" s="38" t="s">
        <v>2413</v>
      </c>
      <c r="E2286" s="4" t="s">
        <v>1010</v>
      </c>
      <c r="F2286" s="4" t="s">
        <v>5431</v>
      </c>
      <c r="G2286" s="382" t="s">
        <v>5605</v>
      </c>
      <c r="H2286" s="456" t="s">
        <v>5608</v>
      </c>
      <c r="I2286" s="447" t="s">
        <v>5610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92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2468</v>
      </c>
      <c r="C2287" s="40">
        <v>2422</v>
      </c>
      <c r="D2287" s="38" t="s">
        <v>2455</v>
      </c>
      <c r="E2287" s="4" t="s">
        <v>1010</v>
      </c>
      <c r="F2287" s="4" t="s">
        <v>5432</v>
      </c>
      <c r="G2287" s="382" t="s">
        <v>5605</v>
      </c>
      <c r="H2287" s="456" t="s">
        <v>5608</v>
      </c>
      <c r="I2287" s="447" t="s">
        <v>5610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92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2513</v>
      </c>
      <c r="C2288" s="40">
        <v>1996</v>
      </c>
      <c r="D2288" s="38" t="s">
        <v>2512</v>
      </c>
      <c r="E2288" s="4" t="s">
        <v>1010</v>
      </c>
      <c r="F2288" s="4" t="s">
        <v>5433</v>
      </c>
      <c r="G2288" s="382" t="s">
        <v>5605</v>
      </c>
      <c r="H2288" s="456" t="s">
        <v>5608</v>
      </c>
      <c r="I2288" s="447" t="s">
        <v>5610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92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2557</v>
      </c>
      <c r="C2289" s="40">
        <v>179</v>
      </c>
      <c r="D2289" s="38" t="s">
        <v>2553</v>
      </c>
      <c r="E2289" s="4" t="s">
        <v>1010</v>
      </c>
      <c r="F2289" s="4" t="s">
        <v>5434</v>
      </c>
      <c r="G2289" s="382" t="s">
        <v>5605</v>
      </c>
      <c r="H2289" s="456" t="s">
        <v>5608</v>
      </c>
      <c r="I2289" s="447" t="s">
        <v>5610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92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2553</v>
      </c>
      <c r="E2290" s="4" t="s">
        <v>1010</v>
      </c>
      <c r="F2290" s="4" t="s">
        <v>5435</v>
      </c>
      <c r="G2290" s="382" t="s">
        <v>5605</v>
      </c>
      <c r="H2290" s="456" t="s">
        <v>5608</v>
      </c>
      <c r="I2290" s="447" t="s">
        <v>5610</v>
      </c>
      <c r="J2290" s="43">
        <v>197693</v>
      </c>
      <c r="K2290" s="43">
        <v>2666120</v>
      </c>
      <c r="L2290" s="396" t="s">
        <v>40</v>
      </c>
      <c r="M2290" s="397">
        <v>11</v>
      </c>
      <c r="N2290" s="396">
        <v>63</v>
      </c>
      <c r="O2290" s="396">
        <v>81</v>
      </c>
      <c r="P2290" s="396" t="s">
        <v>41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92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2582</v>
      </c>
      <c r="C2291" s="40">
        <v>384</v>
      </c>
      <c r="D2291" s="38" t="s">
        <v>2581</v>
      </c>
      <c r="E2291" s="4" t="s">
        <v>1010</v>
      </c>
      <c r="F2291" s="4" t="s">
        <v>5436</v>
      </c>
      <c r="G2291" s="382" t="s">
        <v>5605</v>
      </c>
      <c r="H2291" s="456" t="s">
        <v>5608</v>
      </c>
      <c r="I2291" s="447" t="s">
        <v>5610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92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2583</v>
      </c>
      <c r="C2292" s="40">
        <v>385</v>
      </c>
      <c r="D2292" s="38" t="s">
        <v>2581</v>
      </c>
      <c r="E2292" s="4" t="s">
        <v>1010</v>
      </c>
      <c r="F2292" s="4" t="s">
        <v>5437</v>
      </c>
      <c r="G2292" s="382" t="s">
        <v>5605</v>
      </c>
      <c r="H2292" s="456" t="s">
        <v>5608</v>
      </c>
      <c r="I2292" s="447" t="s">
        <v>5610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92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2631</v>
      </c>
      <c r="C2293" s="40">
        <v>1655</v>
      </c>
      <c r="D2293" s="38" t="s">
        <v>2627</v>
      </c>
      <c r="E2293" s="419" t="s">
        <v>457</v>
      </c>
      <c r="F2293" s="419" t="s">
        <v>5438</v>
      </c>
      <c r="G2293" s="382" t="s">
        <v>5605</v>
      </c>
      <c r="H2293" s="456" t="s">
        <v>5608</v>
      </c>
      <c r="I2293" s="447" t="s">
        <v>5610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92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2634</v>
      </c>
      <c r="C2294" s="40">
        <v>1586</v>
      </c>
      <c r="D2294" s="38" t="s">
        <v>2633</v>
      </c>
      <c r="E2294" s="4" t="s">
        <v>457</v>
      </c>
      <c r="F2294" s="4" t="s">
        <v>5439</v>
      </c>
      <c r="G2294" s="382" t="s">
        <v>5605</v>
      </c>
      <c r="H2294" s="456" t="s">
        <v>5608</v>
      </c>
      <c r="I2294" s="447" t="s">
        <v>5610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92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2675</v>
      </c>
      <c r="C2295" s="40">
        <v>371</v>
      </c>
      <c r="D2295" s="38" t="s">
        <v>2674</v>
      </c>
      <c r="E2295" s="4" t="s">
        <v>1010</v>
      </c>
      <c r="F2295" s="4" t="s">
        <v>5440</v>
      </c>
      <c r="G2295" s="382" t="s">
        <v>5605</v>
      </c>
      <c r="H2295" s="456" t="s">
        <v>5608</v>
      </c>
      <c r="I2295" s="447" t="s">
        <v>5610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92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2680</v>
      </c>
      <c r="C2296" s="40">
        <v>373</v>
      </c>
      <c r="D2296" s="38" t="s">
        <v>2674</v>
      </c>
      <c r="E2296" s="4" t="s">
        <v>1010</v>
      </c>
      <c r="F2296" s="4" t="s">
        <v>5441</v>
      </c>
      <c r="G2296" s="382" t="s">
        <v>5605</v>
      </c>
      <c r="H2296" s="456" t="s">
        <v>5608</v>
      </c>
      <c r="I2296" s="447" t="s">
        <v>5610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92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2684</v>
      </c>
      <c r="C2297" s="40">
        <v>372</v>
      </c>
      <c r="D2297" s="38" t="s">
        <v>2685</v>
      </c>
      <c r="E2297" s="4" t="s">
        <v>1010</v>
      </c>
      <c r="F2297" s="4" t="s">
        <v>5442</v>
      </c>
      <c r="G2297" s="382" t="s">
        <v>5605</v>
      </c>
      <c r="H2297" s="456" t="s">
        <v>5608</v>
      </c>
      <c r="I2297" s="447" t="s">
        <v>5610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92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2771</v>
      </c>
      <c r="C2298" s="40">
        <v>1206</v>
      </c>
      <c r="D2298" s="38" t="s">
        <v>2770</v>
      </c>
      <c r="E2298" s="4" t="s">
        <v>1010</v>
      </c>
      <c r="F2298" s="4" t="s">
        <v>5443</v>
      </c>
      <c r="G2298" s="382" t="s">
        <v>5605</v>
      </c>
      <c r="H2298" s="456" t="s">
        <v>5608</v>
      </c>
      <c r="I2298" s="447" t="s">
        <v>5610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236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92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2821</v>
      </c>
      <c r="C2299" s="40">
        <v>655</v>
      </c>
      <c r="D2299" s="38" t="s">
        <v>2820</v>
      </c>
      <c r="E2299" s="4" t="s">
        <v>1010</v>
      </c>
      <c r="F2299" s="4" t="s">
        <v>5444</v>
      </c>
      <c r="G2299" s="382" t="s">
        <v>5605</v>
      </c>
      <c r="H2299" s="456" t="s">
        <v>5608</v>
      </c>
      <c r="I2299" s="447" t="s">
        <v>5610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92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2866</v>
      </c>
      <c r="C2300" s="40">
        <v>1668</v>
      </c>
      <c r="D2300" s="38" t="s">
        <v>2865</v>
      </c>
      <c r="E2300" s="419" t="s">
        <v>457</v>
      </c>
      <c r="F2300" s="419" t="s">
        <v>5445</v>
      </c>
      <c r="G2300" s="382" t="s">
        <v>5605</v>
      </c>
      <c r="H2300" s="456" t="s">
        <v>5608</v>
      </c>
      <c r="I2300" s="447" t="s">
        <v>5610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92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476</v>
      </c>
      <c r="C2301" s="38">
        <v>2378</v>
      </c>
      <c r="D2301" s="38" t="s">
        <v>473</v>
      </c>
      <c r="E2301" s="4" t="s">
        <v>300</v>
      </c>
      <c r="F2301" s="4" t="s">
        <v>5446</v>
      </c>
      <c r="G2301" s="382" t="s">
        <v>5605</v>
      </c>
      <c r="H2301" s="456" t="s">
        <v>5608</v>
      </c>
      <c r="I2301" s="447" t="s">
        <v>5610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306</v>
      </c>
      <c r="V2301" s="150" t="s">
        <v>92</v>
      </c>
      <c r="W2301" s="38">
        <v>113</v>
      </c>
      <c r="X2301" s="3"/>
      <c r="Y2301" s="3"/>
      <c r="Z2301" s="40" t="s">
        <v>2939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2898</v>
      </c>
      <c r="AK2301" s="99"/>
    </row>
    <row r="2302" spans="1:37" ht="14.4" thickBot="1" x14ac:dyDescent="0.35">
      <c r="A2302" s="15">
        <v>2301</v>
      </c>
      <c r="B2302" s="29" t="s">
        <v>845</v>
      </c>
      <c r="C2302" s="29">
        <v>2318</v>
      </c>
      <c r="D2302" s="27" t="s">
        <v>846</v>
      </c>
      <c r="E2302" s="29" t="s">
        <v>2915</v>
      </c>
      <c r="F2302" s="29" t="s">
        <v>5447</v>
      </c>
      <c r="G2302" s="382" t="s">
        <v>5605</v>
      </c>
      <c r="H2302" s="456" t="s">
        <v>5608</v>
      </c>
      <c r="I2302" s="447" t="s">
        <v>5610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1" t="s">
        <v>575</v>
      </c>
      <c r="W2302" s="28">
        <v>113</v>
      </c>
      <c r="X2302" s="29"/>
      <c r="Y2302" s="102"/>
      <c r="Z2302" s="29" t="s">
        <v>2939</v>
      </c>
      <c r="AA2302" s="29"/>
      <c r="AB2302" s="29"/>
      <c r="AC2302" s="29"/>
      <c r="AD2302" s="29"/>
      <c r="AE2302" s="29" t="s">
        <v>2898</v>
      </c>
      <c r="AF2302" s="29"/>
      <c r="AG2302" s="29"/>
      <c r="AH2302" s="29"/>
      <c r="AI2302" s="29"/>
      <c r="AJ2302" s="145" t="s">
        <v>306</v>
      </c>
      <c r="AK2302" s="442"/>
    </row>
    <row r="2303" spans="1:37" ht="14.4" thickBot="1" x14ac:dyDescent="0.35">
      <c r="A2303" s="15">
        <v>2302</v>
      </c>
      <c r="B2303" s="40" t="s">
        <v>847</v>
      </c>
      <c r="C2303" s="40">
        <v>2319</v>
      </c>
      <c r="D2303" s="38" t="s">
        <v>846</v>
      </c>
      <c r="E2303" s="40" t="s">
        <v>2915</v>
      </c>
      <c r="F2303" s="40" t="s">
        <v>5448</v>
      </c>
      <c r="G2303" s="382" t="s">
        <v>5605</v>
      </c>
      <c r="H2303" s="456" t="s">
        <v>5608</v>
      </c>
      <c r="I2303" s="447" t="s">
        <v>5610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306</v>
      </c>
      <c r="V2303" s="451" t="s">
        <v>575</v>
      </c>
      <c r="W2303" s="39">
        <v>113</v>
      </c>
      <c r="X2303" s="40"/>
      <c r="Y2303" s="106"/>
      <c r="Z2303" s="40" t="s">
        <v>2939</v>
      </c>
      <c r="AA2303" s="40"/>
      <c r="AB2303" s="40"/>
      <c r="AC2303" s="40"/>
      <c r="AD2303" s="40"/>
      <c r="AE2303" s="40" t="s">
        <v>2939</v>
      </c>
      <c r="AF2303" s="40"/>
      <c r="AG2303" s="40"/>
      <c r="AH2303" s="40"/>
      <c r="AI2303" s="40"/>
      <c r="AJ2303" s="150" t="s">
        <v>306</v>
      </c>
      <c r="AK2303" s="174"/>
    </row>
    <row r="2304" spans="1:37" ht="14.4" thickBot="1" x14ac:dyDescent="0.35">
      <c r="A2304" s="15">
        <v>2303</v>
      </c>
      <c r="B2304" s="83" t="s">
        <v>854</v>
      </c>
      <c r="C2304" s="83">
        <v>2338</v>
      </c>
      <c r="D2304" s="113" t="s">
        <v>846</v>
      </c>
      <c r="E2304" s="83" t="s">
        <v>2915</v>
      </c>
      <c r="F2304" s="83" t="s">
        <v>5449</v>
      </c>
      <c r="G2304" s="382" t="s">
        <v>5605</v>
      </c>
      <c r="H2304" s="456" t="s">
        <v>5608</v>
      </c>
      <c r="I2304" s="447" t="s">
        <v>5610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2976</v>
      </c>
      <c r="V2304" s="451" t="s">
        <v>575</v>
      </c>
      <c r="W2304" s="86">
        <v>113</v>
      </c>
      <c r="X2304" s="83"/>
      <c r="Y2304" s="137"/>
      <c r="Z2304" s="83"/>
      <c r="AA2304" s="83"/>
      <c r="AB2304" s="83"/>
      <c r="AC2304" s="83" t="s">
        <v>2898</v>
      </c>
      <c r="AD2304" s="83"/>
      <c r="AE2304" s="83"/>
      <c r="AF2304" s="83"/>
      <c r="AG2304" s="83"/>
      <c r="AH2304" s="83"/>
      <c r="AI2304" s="83"/>
      <c r="AJ2304" s="340" t="s">
        <v>306</v>
      </c>
      <c r="AK2304" s="174"/>
    </row>
    <row r="2305" spans="1:37" ht="14.4" thickBot="1" x14ac:dyDescent="0.35">
      <c r="A2305" s="15">
        <v>2304</v>
      </c>
      <c r="B2305" s="40" t="s">
        <v>1014</v>
      </c>
      <c r="C2305" s="40">
        <v>2349</v>
      </c>
      <c r="D2305" s="38" t="s">
        <v>1190</v>
      </c>
      <c r="E2305" s="40" t="s">
        <v>2915</v>
      </c>
      <c r="F2305" s="40" t="s">
        <v>5450</v>
      </c>
      <c r="G2305" s="382" t="s">
        <v>5605</v>
      </c>
      <c r="H2305" s="456" t="s">
        <v>5608</v>
      </c>
      <c r="I2305" s="447" t="s">
        <v>5610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306</v>
      </c>
      <c r="V2305" s="150" t="s">
        <v>92</v>
      </c>
      <c r="W2305" s="39">
        <v>113</v>
      </c>
      <c r="X2305" s="40"/>
      <c r="Y2305" s="40"/>
      <c r="Z2305" s="40"/>
      <c r="AA2305" s="40" t="s">
        <v>2939</v>
      </c>
      <c r="AB2305" s="40"/>
      <c r="AC2305" s="40"/>
      <c r="AD2305" s="40" t="s">
        <v>2939</v>
      </c>
      <c r="AE2305" s="40"/>
      <c r="AF2305" s="40"/>
      <c r="AG2305" s="40"/>
      <c r="AH2305" s="40"/>
      <c r="AI2305" s="40"/>
      <c r="AJ2305" s="83" t="s">
        <v>2898</v>
      </c>
      <c r="AK2305" s="99"/>
    </row>
    <row r="2306" spans="1:37" ht="14.4" thickBot="1" x14ac:dyDescent="0.35">
      <c r="A2306" s="15">
        <v>2305</v>
      </c>
      <c r="B2306" s="40" t="s">
        <v>1148</v>
      </c>
      <c r="C2306" s="40">
        <v>616</v>
      </c>
      <c r="D2306" s="38" t="s">
        <v>1143</v>
      </c>
      <c r="E2306" s="40" t="s">
        <v>2963</v>
      </c>
      <c r="F2306" s="40" t="s">
        <v>5451</v>
      </c>
      <c r="G2306" s="382" t="s">
        <v>5605</v>
      </c>
      <c r="H2306" s="456" t="s">
        <v>5608</v>
      </c>
      <c r="I2306" s="447" t="s">
        <v>5610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92</v>
      </c>
      <c r="W2306" s="39">
        <v>113</v>
      </c>
      <c r="X2306" s="40"/>
      <c r="Y2306" s="40"/>
      <c r="Z2306" s="40"/>
      <c r="AA2306" s="40" t="s">
        <v>2939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2959</v>
      </c>
      <c r="AK2306" s="92"/>
    </row>
    <row r="2307" spans="1:37" ht="14.4" thickBot="1" x14ac:dyDescent="0.35">
      <c r="A2307" s="15">
        <v>2306</v>
      </c>
      <c r="B2307" s="40" t="s">
        <v>1155</v>
      </c>
      <c r="C2307" s="40">
        <v>615</v>
      </c>
      <c r="D2307" s="38" t="s">
        <v>1143</v>
      </c>
      <c r="E2307" s="40" t="s">
        <v>2963</v>
      </c>
      <c r="F2307" s="40" t="s">
        <v>5452</v>
      </c>
      <c r="G2307" s="382" t="s">
        <v>5605</v>
      </c>
      <c r="H2307" s="456" t="s">
        <v>5608</v>
      </c>
      <c r="I2307" s="447" t="s">
        <v>5610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306</v>
      </c>
      <c r="V2307" s="150" t="s">
        <v>92</v>
      </c>
      <c r="W2307" s="39">
        <v>113</v>
      </c>
      <c r="X2307" s="40"/>
      <c r="Y2307" s="40"/>
      <c r="Z2307" s="40"/>
      <c r="AA2307" s="40" t="s">
        <v>2939</v>
      </c>
      <c r="AB2307" s="40"/>
      <c r="AC2307" s="40"/>
      <c r="AD2307" s="40"/>
      <c r="AE2307" s="40"/>
      <c r="AF2307" s="40" t="s">
        <v>2939</v>
      </c>
      <c r="AG2307" s="40"/>
      <c r="AH2307" s="40"/>
      <c r="AI2307" s="40"/>
      <c r="AJ2307" s="75" t="s">
        <v>2959</v>
      </c>
      <c r="AK2307" s="92"/>
    </row>
    <row r="2308" spans="1:37" ht="14.4" thickBot="1" x14ac:dyDescent="0.35">
      <c r="A2308" s="15">
        <v>2307</v>
      </c>
      <c r="B2308" s="40" t="s">
        <v>1196</v>
      </c>
      <c r="C2308" s="40">
        <v>323</v>
      </c>
      <c r="D2308" s="38" t="s">
        <v>1192</v>
      </c>
      <c r="E2308" s="40" t="s">
        <v>2963</v>
      </c>
      <c r="F2308" s="40" t="s">
        <v>5453</v>
      </c>
      <c r="G2308" s="382" t="s">
        <v>5605</v>
      </c>
      <c r="H2308" s="456" t="s">
        <v>5608</v>
      </c>
      <c r="I2308" s="447" t="s">
        <v>5610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92</v>
      </c>
      <c r="W2308" s="39">
        <v>113</v>
      </c>
      <c r="X2308" s="40"/>
      <c r="Y2308" s="40"/>
      <c r="Z2308" s="40" t="s">
        <v>2939</v>
      </c>
      <c r="AA2308" s="40"/>
      <c r="AB2308" s="40"/>
      <c r="AC2308" s="40"/>
      <c r="AD2308" s="40"/>
      <c r="AE2308" s="40" t="s">
        <v>2939</v>
      </c>
      <c r="AF2308" s="40"/>
      <c r="AG2308" s="40"/>
      <c r="AH2308" s="40"/>
      <c r="AI2308" s="40"/>
      <c r="AJ2308" s="150" t="s">
        <v>306</v>
      </c>
      <c r="AK2308" s="173"/>
    </row>
    <row r="2309" spans="1:37" ht="14.4" thickBot="1" x14ac:dyDescent="0.35">
      <c r="A2309" s="15">
        <v>2308</v>
      </c>
      <c r="B2309" s="40" t="s">
        <v>1361</v>
      </c>
      <c r="C2309" s="40">
        <v>256</v>
      </c>
      <c r="D2309" s="38" t="s">
        <v>1359</v>
      </c>
      <c r="E2309" s="40" t="s">
        <v>2963</v>
      </c>
      <c r="F2309" s="40" t="s">
        <v>5454</v>
      </c>
      <c r="G2309" s="382" t="s">
        <v>5605</v>
      </c>
      <c r="H2309" s="456" t="s">
        <v>5608</v>
      </c>
      <c r="I2309" s="447" t="s">
        <v>5610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306</v>
      </c>
      <c r="V2309" s="150" t="s">
        <v>92</v>
      </c>
      <c r="W2309" s="39">
        <v>113</v>
      </c>
      <c r="X2309" s="40"/>
      <c r="Y2309" s="106"/>
      <c r="Z2309" s="40"/>
      <c r="AA2309" s="40"/>
      <c r="AB2309" s="40"/>
      <c r="AC2309" s="40" t="s">
        <v>2939</v>
      </c>
      <c r="AD2309" s="40"/>
      <c r="AE2309" s="40"/>
      <c r="AF2309" s="40"/>
      <c r="AG2309" s="40"/>
      <c r="AH2309" s="40"/>
      <c r="AI2309" s="40"/>
      <c r="AJ2309" s="150" t="s">
        <v>306</v>
      </c>
      <c r="AK2309" s="173"/>
    </row>
    <row r="2310" spans="1:37" ht="14.4" thickBot="1" x14ac:dyDescent="0.35">
      <c r="A2310" s="15">
        <v>2309</v>
      </c>
      <c r="B2310" s="19" t="s">
        <v>1180</v>
      </c>
      <c r="C2310" s="19">
        <v>2327</v>
      </c>
      <c r="D2310" s="17" t="s">
        <v>1179</v>
      </c>
      <c r="E2310" s="19" t="s">
        <v>2915</v>
      </c>
      <c r="F2310" s="19" t="s">
        <v>5455</v>
      </c>
      <c r="G2310" s="382" t="s">
        <v>5605</v>
      </c>
      <c r="H2310" s="456" t="s">
        <v>5608</v>
      </c>
      <c r="I2310" s="447" t="s">
        <v>5610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306</v>
      </c>
      <c r="V2310" s="150" t="s">
        <v>92</v>
      </c>
      <c r="W2310" s="222">
        <v>113</v>
      </c>
      <c r="X2310" s="19"/>
      <c r="Y2310" s="130"/>
      <c r="Z2310" s="19"/>
      <c r="AA2310" s="19" t="s">
        <v>2939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306</v>
      </c>
      <c r="AK2310" s="442"/>
    </row>
    <row r="2311" spans="1:37" ht="14.4" thickBot="1" x14ac:dyDescent="0.35">
      <c r="A2311" s="15">
        <v>2310</v>
      </c>
      <c r="B2311" s="40" t="s">
        <v>1494</v>
      </c>
      <c r="C2311" s="40">
        <v>599</v>
      </c>
      <c r="D2311" s="38" t="s">
        <v>3131</v>
      </c>
      <c r="E2311" s="40" t="s">
        <v>2963</v>
      </c>
      <c r="F2311" s="40" t="s">
        <v>5456</v>
      </c>
      <c r="G2311" s="382" t="s">
        <v>5605</v>
      </c>
      <c r="H2311" s="456" t="s">
        <v>5608</v>
      </c>
      <c r="I2311" s="447" t="s">
        <v>5610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122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92</v>
      </c>
      <c r="W2311" s="39">
        <v>113</v>
      </c>
      <c r="X2311" s="40"/>
      <c r="Y2311" s="40"/>
      <c r="Z2311" s="40"/>
      <c r="AA2311" s="40" t="s">
        <v>2939</v>
      </c>
      <c r="AB2311" s="40"/>
      <c r="AC2311" s="40"/>
      <c r="AD2311" s="40"/>
      <c r="AE2311" s="40" t="s">
        <v>2898</v>
      </c>
      <c r="AF2311" s="40"/>
      <c r="AG2311" s="40"/>
      <c r="AH2311" s="40"/>
      <c r="AI2311" s="40"/>
      <c r="AJ2311" s="79" t="s">
        <v>306</v>
      </c>
      <c r="AK2311" s="196"/>
    </row>
    <row r="2312" spans="1:37" ht="14.4" thickBot="1" x14ac:dyDescent="0.35">
      <c r="A2312" s="15">
        <v>2311</v>
      </c>
      <c r="B2312" s="83" t="s">
        <v>1540</v>
      </c>
      <c r="C2312" s="83">
        <v>2098</v>
      </c>
      <c r="D2312" s="113" t="s">
        <v>1539</v>
      </c>
      <c r="E2312" s="83" t="s">
        <v>2963</v>
      </c>
      <c r="F2312" s="83" t="s">
        <v>5457</v>
      </c>
      <c r="G2312" s="382" t="s">
        <v>5605</v>
      </c>
      <c r="H2312" s="456" t="s">
        <v>5608</v>
      </c>
      <c r="I2312" s="447" t="s">
        <v>5610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92</v>
      </c>
      <c r="W2312" s="86">
        <v>113</v>
      </c>
      <c r="X2312" s="83"/>
      <c r="Y2312" s="137"/>
      <c r="Z2312" s="83"/>
      <c r="AA2312" s="83" t="s">
        <v>2939</v>
      </c>
      <c r="AB2312" s="83"/>
      <c r="AC2312" s="83"/>
      <c r="AD2312" s="83" t="s">
        <v>2898</v>
      </c>
      <c r="AE2312" s="83"/>
      <c r="AF2312" s="83"/>
      <c r="AG2312" s="83"/>
      <c r="AH2312" s="83"/>
      <c r="AI2312" s="83"/>
      <c r="AJ2312" s="112" t="s">
        <v>306</v>
      </c>
      <c r="AK2312" s="197"/>
    </row>
    <row r="2313" spans="1:37" ht="14.4" thickBot="1" x14ac:dyDescent="0.35">
      <c r="A2313" s="15">
        <v>2312</v>
      </c>
      <c r="B2313" s="83" t="s">
        <v>1555</v>
      </c>
      <c r="C2313" s="83">
        <v>2097</v>
      </c>
      <c r="D2313" s="113" t="s">
        <v>1554</v>
      </c>
      <c r="E2313" s="83" t="s">
        <v>2963</v>
      </c>
      <c r="F2313" s="83" t="s">
        <v>5458</v>
      </c>
      <c r="G2313" s="382" t="s">
        <v>5605</v>
      </c>
      <c r="H2313" s="456" t="s">
        <v>5608</v>
      </c>
      <c r="I2313" s="447" t="s">
        <v>5610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92</v>
      </c>
      <c r="W2313" s="86">
        <v>113</v>
      </c>
      <c r="X2313" s="83"/>
      <c r="Y2313" s="137"/>
      <c r="Z2313" s="83"/>
      <c r="AA2313" s="83" t="s">
        <v>2939</v>
      </c>
      <c r="AB2313" s="83"/>
      <c r="AC2313" s="83"/>
      <c r="AD2313" s="83" t="s">
        <v>2898</v>
      </c>
      <c r="AE2313" s="83"/>
      <c r="AF2313" s="83"/>
      <c r="AG2313" s="83"/>
      <c r="AH2313" s="83"/>
      <c r="AI2313" s="83"/>
      <c r="AJ2313" s="112" t="s">
        <v>306</v>
      </c>
      <c r="AK2313" s="197"/>
    </row>
    <row r="2314" spans="1:37" ht="14.4" thickBot="1" x14ac:dyDescent="0.35">
      <c r="A2314" s="15">
        <v>2313</v>
      </c>
      <c r="B2314" s="40" t="s">
        <v>1594</v>
      </c>
      <c r="C2314" s="40">
        <v>2276</v>
      </c>
      <c r="D2314" s="38" t="s">
        <v>1590</v>
      </c>
      <c r="E2314" s="40" t="s">
        <v>2915</v>
      </c>
      <c r="F2314" s="40" t="s">
        <v>5459</v>
      </c>
      <c r="G2314" s="382" t="s">
        <v>5605</v>
      </c>
      <c r="H2314" s="456" t="s">
        <v>5608</v>
      </c>
      <c r="I2314" s="447" t="s">
        <v>5610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306</v>
      </c>
      <c r="V2314" s="150" t="s">
        <v>92</v>
      </c>
      <c r="W2314" s="39">
        <v>113</v>
      </c>
      <c r="X2314" s="40"/>
      <c r="Y2314" s="40"/>
      <c r="Z2314" s="40"/>
      <c r="AA2314" s="40" t="s">
        <v>2939</v>
      </c>
      <c r="AB2314" s="40"/>
      <c r="AC2314" s="40"/>
      <c r="AD2314" s="40" t="s">
        <v>2939</v>
      </c>
      <c r="AE2314" s="40"/>
      <c r="AF2314" s="40"/>
      <c r="AG2314" s="40"/>
      <c r="AH2314" s="40"/>
      <c r="AI2314" s="40"/>
      <c r="AJ2314" s="79" t="s">
        <v>306</v>
      </c>
      <c r="AK2314" s="196"/>
    </row>
    <row r="2315" spans="1:37" ht="14.4" thickBot="1" x14ac:dyDescent="0.35">
      <c r="A2315" s="15">
        <v>2314</v>
      </c>
      <c r="B2315" s="40" t="s">
        <v>1953</v>
      </c>
      <c r="C2315" s="40">
        <v>1701</v>
      </c>
      <c r="D2315" s="38" t="s">
        <v>1952</v>
      </c>
      <c r="E2315" s="40" t="s">
        <v>2929</v>
      </c>
      <c r="F2315" s="40" t="s">
        <v>5460</v>
      </c>
      <c r="G2315" s="382" t="s">
        <v>5605</v>
      </c>
      <c r="H2315" s="456" t="s">
        <v>5608</v>
      </c>
      <c r="I2315" s="447" t="s">
        <v>5610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92</v>
      </c>
      <c r="W2315" s="39">
        <v>113</v>
      </c>
      <c r="X2315" s="40"/>
      <c r="Y2315" s="40"/>
      <c r="Z2315" s="40" t="s">
        <v>2939</v>
      </c>
      <c r="AA2315" s="40"/>
      <c r="AB2315" s="40"/>
      <c r="AC2315" s="40" t="s">
        <v>2898</v>
      </c>
      <c r="AD2315" s="40"/>
      <c r="AE2315" s="40"/>
      <c r="AF2315" s="40"/>
      <c r="AG2315" s="40"/>
      <c r="AH2315" s="40"/>
      <c r="AI2315" s="40"/>
      <c r="AJ2315" s="79" t="s">
        <v>306</v>
      </c>
      <c r="AK2315" s="196"/>
    </row>
    <row r="2316" spans="1:37" ht="14.4" thickBot="1" x14ac:dyDescent="0.35">
      <c r="A2316" s="15">
        <v>2315</v>
      </c>
      <c r="B2316" s="40" t="s">
        <v>2430</v>
      </c>
      <c r="C2316" s="40">
        <v>388</v>
      </c>
      <c r="D2316" s="38" t="s">
        <v>1548</v>
      </c>
      <c r="E2316" s="40" t="s">
        <v>2963</v>
      </c>
      <c r="F2316" s="40" t="s">
        <v>5461</v>
      </c>
      <c r="G2316" s="382" t="s">
        <v>5605</v>
      </c>
      <c r="H2316" s="456" t="s">
        <v>5608</v>
      </c>
      <c r="I2316" s="447" t="s">
        <v>5610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92</v>
      </c>
      <c r="W2316" s="39">
        <v>113</v>
      </c>
      <c r="X2316" s="40"/>
      <c r="Y2316" s="106"/>
      <c r="Z2316" s="40"/>
      <c r="AA2316" s="40" t="s">
        <v>2939</v>
      </c>
      <c r="AB2316" s="40"/>
      <c r="AC2316" s="40"/>
      <c r="AD2316" s="40" t="s">
        <v>2898</v>
      </c>
      <c r="AE2316" s="40"/>
      <c r="AF2316" s="40"/>
      <c r="AG2316" s="40"/>
      <c r="AH2316" s="40"/>
      <c r="AI2316" s="40"/>
      <c r="AJ2316" s="40" t="s">
        <v>2898</v>
      </c>
      <c r="AK2316" s="51"/>
    </row>
    <row r="2317" spans="1:37" ht="14.4" thickBot="1" x14ac:dyDescent="0.35">
      <c r="A2317" s="15">
        <v>2316</v>
      </c>
      <c r="B2317" s="40" t="s">
        <v>2575</v>
      </c>
      <c r="C2317" s="40">
        <v>500</v>
      </c>
      <c r="D2317" s="38" t="s">
        <v>2572</v>
      </c>
      <c r="E2317" s="40" t="s">
        <v>2963</v>
      </c>
      <c r="F2317" s="40" t="s">
        <v>5462</v>
      </c>
      <c r="G2317" s="382" t="s">
        <v>5605</v>
      </c>
      <c r="H2317" s="456" t="s">
        <v>5608</v>
      </c>
      <c r="I2317" s="447" t="s">
        <v>5610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306</v>
      </c>
      <c r="V2317" s="79" t="s">
        <v>1114</v>
      </c>
      <c r="W2317" s="39">
        <v>113</v>
      </c>
      <c r="X2317" s="40"/>
      <c r="Y2317" s="40"/>
      <c r="Z2317" s="40"/>
      <c r="AA2317" s="40" t="s">
        <v>2939</v>
      </c>
      <c r="AB2317" s="40"/>
      <c r="AC2317" s="40"/>
      <c r="AD2317" s="40"/>
      <c r="AE2317" s="40"/>
      <c r="AF2317" s="40" t="s">
        <v>2939</v>
      </c>
      <c r="AG2317" s="40"/>
      <c r="AH2317" s="40"/>
      <c r="AI2317" s="40"/>
      <c r="AJ2317" s="79" t="s">
        <v>306</v>
      </c>
      <c r="AK2317" s="196"/>
    </row>
    <row r="2318" spans="1:37" ht="14.4" thickBot="1" x14ac:dyDescent="0.35">
      <c r="A2318" s="15">
        <v>2317</v>
      </c>
      <c r="B2318" s="40" t="s">
        <v>3132</v>
      </c>
      <c r="C2318" s="40">
        <v>501</v>
      </c>
      <c r="D2318" s="38" t="s">
        <v>2572</v>
      </c>
      <c r="E2318" s="40" t="s">
        <v>2963</v>
      </c>
      <c r="F2318" s="40" t="s">
        <v>5463</v>
      </c>
      <c r="G2318" s="382" t="s">
        <v>5605</v>
      </c>
      <c r="H2318" s="456" t="s">
        <v>5608</v>
      </c>
      <c r="I2318" s="447" t="s">
        <v>5610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1114</v>
      </c>
      <c r="W2318" s="39">
        <v>113</v>
      </c>
      <c r="X2318" s="40"/>
      <c r="Y2318" s="40"/>
      <c r="Z2318" s="40"/>
      <c r="AA2318" s="40" t="s">
        <v>2939</v>
      </c>
      <c r="AB2318" s="40"/>
      <c r="AC2318" s="40"/>
      <c r="AD2318" s="40"/>
      <c r="AE2318" s="40" t="s">
        <v>2898</v>
      </c>
      <c r="AF2318" s="40"/>
      <c r="AG2318" s="40"/>
      <c r="AH2318" s="40"/>
      <c r="AI2318" s="40"/>
      <c r="AJ2318" s="79" t="s">
        <v>306</v>
      </c>
      <c r="AK2318" s="196"/>
    </row>
    <row r="2319" spans="1:37" ht="14.4" thickBot="1" x14ac:dyDescent="0.35">
      <c r="A2319" s="15">
        <v>2318</v>
      </c>
      <c r="B2319" s="40" t="s">
        <v>2577</v>
      </c>
      <c r="C2319" s="40">
        <v>503</v>
      </c>
      <c r="D2319" s="38" t="s">
        <v>2572</v>
      </c>
      <c r="E2319" s="40" t="s">
        <v>2963</v>
      </c>
      <c r="F2319" s="40" t="s">
        <v>5464</v>
      </c>
      <c r="G2319" s="382" t="s">
        <v>5605</v>
      </c>
      <c r="H2319" s="456" t="s">
        <v>5608</v>
      </c>
      <c r="I2319" s="447" t="s">
        <v>5610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97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306</v>
      </c>
      <c r="V2319" s="79" t="s">
        <v>1114</v>
      </c>
      <c r="W2319" s="39">
        <v>113</v>
      </c>
      <c r="X2319" s="40"/>
      <c r="Y2319" s="40"/>
      <c r="Z2319" s="40"/>
      <c r="AA2319" s="40" t="s">
        <v>2939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306</v>
      </c>
      <c r="AK2319" s="196"/>
    </row>
    <row r="2320" spans="1:37" ht="14.4" thickBot="1" x14ac:dyDescent="0.35">
      <c r="A2320" s="15">
        <v>2319</v>
      </c>
      <c r="B2320" s="40" t="s">
        <v>2576</v>
      </c>
      <c r="C2320" s="40">
        <v>502</v>
      </c>
      <c r="D2320" s="38" t="s">
        <v>2572</v>
      </c>
      <c r="E2320" s="40" t="s">
        <v>2963</v>
      </c>
      <c r="F2320" s="40" t="s">
        <v>5465</v>
      </c>
      <c r="G2320" s="382" t="s">
        <v>5605</v>
      </c>
      <c r="H2320" s="456" t="s">
        <v>5608</v>
      </c>
      <c r="I2320" s="447" t="s">
        <v>5610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306</v>
      </c>
      <c r="V2320" s="79" t="s">
        <v>1114</v>
      </c>
      <c r="W2320" s="39">
        <v>113</v>
      </c>
      <c r="X2320" s="40"/>
      <c r="Y2320" s="40"/>
      <c r="Z2320" s="40"/>
      <c r="AA2320" s="40" t="s">
        <v>2939</v>
      </c>
      <c r="AB2320" s="40"/>
      <c r="AC2320" s="40"/>
      <c r="AD2320" s="40"/>
      <c r="AE2320" s="40" t="s">
        <v>2898</v>
      </c>
      <c r="AF2320" s="40"/>
      <c r="AG2320" s="40"/>
      <c r="AH2320" s="40"/>
      <c r="AI2320" s="40"/>
      <c r="AJ2320" s="79" t="s">
        <v>306</v>
      </c>
      <c r="AK2320" s="196"/>
    </row>
    <row r="2321" spans="1:37" ht="14.4" thickBot="1" x14ac:dyDescent="0.35">
      <c r="A2321" s="15">
        <v>2320</v>
      </c>
      <c r="B2321" s="40" t="s">
        <v>2579</v>
      </c>
      <c r="C2321" s="40">
        <v>505</v>
      </c>
      <c r="D2321" s="38" t="s">
        <v>2572</v>
      </c>
      <c r="E2321" s="40" t="s">
        <v>2963</v>
      </c>
      <c r="F2321" s="40" t="s">
        <v>5466</v>
      </c>
      <c r="G2321" s="382" t="s">
        <v>5605</v>
      </c>
      <c r="H2321" s="456" t="s">
        <v>5608</v>
      </c>
      <c r="I2321" s="447" t="s">
        <v>5610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1114</v>
      </c>
      <c r="W2321" s="39">
        <v>113</v>
      </c>
      <c r="X2321" s="40"/>
      <c r="Y2321" s="40"/>
      <c r="Z2321" s="40"/>
      <c r="AA2321" s="40" t="s">
        <v>2939</v>
      </c>
      <c r="AB2321" s="40"/>
      <c r="AC2321" s="40"/>
      <c r="AD2321" s="40"/>
      <c r="AE2321" s="40" t="s">
        <v>2898</v>
      </c>
      <c r="AF2321" s="40"/>
      <c r="AG2321" s="40"/>
      <c r="AH2321" s="40"/>
      <c r="AI2321" s="40"/>
      <c r="AJ2321" s="79" t="s">
        <v>306</v>
      </c>
      <c r="AK2321" s="196"/>
    </row>
    <row r="2322" spans="1:37" ht="14.4" thickBot="1" x14ac:dyDescent="0.35">
      <c r="A2322" s="15">
        <v>2321</v>
      </c>
      <c r="B2322" s="83" t="s">
        <v>2580</v>
      </c>
      <c r="C2322" s="83">
        <v>506</v>
      </c>
      <c r="D2322" s="113" t="s">
        <v>2572</v>
      </c>
      <c r="E2322" s="83" t="s">
        <v>2963</v>
      </c>
      <c r="F2322" s="83" t="s">
        <v>5467</v>
      </c>
      <c r="G2322" s="382" t="s">
        <v>5605</v>
      </c>
      <c r="H2322" s="456" t="s">
        <v>5608</v>
      </c>
      <c r="I2322" s="447" t="s">
        <v>5610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2" t="s">
        <v>3</v>
      </c>
      <c r="V2322" s="79" t="s">
        <v>1114</v>
      </c>
      <c r="W2322" s="86">
        <v>113</v>
      </c>
      <c r="X2322" s="83"/>
      <c r="Y2322" s="83"/>
      <c r="Z2322" s="83"/>
      <c r="AA2322" s="83" t="s">
        <v>2939</v>
      </c>
      <c r="AB2322" s="83"/>
      <c r="AC2322" s="83"/>
      <c r="AD2322" s="83"/>
      <c r="AE2322" s="83" t="s">
        <v>2898</v>
      </c>
      <c r="AF2322" s="83"/>
      <c r="AG2322" s="83"/>
      <c r="AH2322" s="83"/>
      <c r="AI2322" s="83"/>
      <c r="AJ2322" s="79" t="s">
        <v>306</v>
      </c>
      <c r="AK2322" s="197"/>
    </row>
    <row r="2323" spans="1:37" ht="14.4" thickBot="1" x14ac:dyDescent="0.35">
      <c r="A2323" s="15">
        <v>2322</v>
      </c>
      <c r="B2323" s="75" t="s">
        <v>2768</v>
      </c>
      <c r="C2323" s="75">
        <v>1201</v>
      </c>
      <c r="D2323" s="67" t="s">
        <v>3133</v>
      </c>
      <c r="E2323" s="75" t="s">
        <v>2963</v>
      </c>
      <c r="F2323" s="75" t="s">
        <v>5468</v>
      </c>
      <c r="G2323" s="382" t="s">
        <v>5605</v>
      </c>
      <c r="H2323" s="456" t="s">
        <v>5608</v>
      </c>
      <c r="I2323" s="447" t="s">
        <v>5610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92</v>
      </c>
      <c r="W2323" s="70">
        <v>113</v>
      </c>
      <c r="X2323" s="75"/>
      <c r="Y2323" s="215"/>
      <c r="Z2323" s="75"/>
      <c r="AA2323" s="75"/>
      <c r="AB2323" s="75"/>
      <c r="AC2323" s="75" t="s">
        <v>2898</v>
      </c>
      <c r="AD2323" s="75"/>
      <c r="AE2323" s="75"/>
      <c r="AF2323" s="75"/>
      <c r="AG2323" s="75"/>
      <c r="AH2323" s="75"/>
      <c r="AI2323" s="75"/>
      <c r="AJ2323" s="79" t="s">
        <v>306</v>
      </c>
      <c r="AK2323" s="247"/>
    </row>
    <row r="2324" spans="1:37" ht="14.4" thickBot="1" x14ac:dyDescent="0.35">
      <c r="A2324" s="15">
        <v>2323</v>
      </c>
      <c r="B2324" s="83" t="s">
        <v>2769</v>
      </c>
      <c r="C2324" s="83">
        <v>1202</v>
      </c>
      <c r="D2324" s="113" t="s">
        <v>2767</v>
      </c>
      <c r="E2324" s="83" t="s">
        <v>2963</v>
      </c>
      <c r="F2324" s="83" t="s">
        <v>5469</v>
      </c>
      <c r="G2324" s="382" t="s">
        <v>5605</v>
      </c>
      <c r="H2324" s="456" t="s">
        <v>5608</v>
      </c>
      <c r="I2324" s="447" t="s">
        <v>5610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92</v>
      </c>
      <c r="W2324" s="86">
        <v>113</v>
      </c>
      <c r="X2324" s="83"/>
      <c r="Y2324" s="137"/>
      <c r="Z2324" s="83"/>
      <c r="AA2324" s="83"/>
      <c r="AB2324" s="83" t="s">
        <v>2898</v>
      </c>
      <c r="AC2324" s="83"/>
      <c r="AD2324" s="83"/>
      <c r="AE2324" s="83"/>
      <c r="AF2324" s="83" t="s">
        <v>2898</v>
      </c>
      <c r="AG2324" s="83"/>
      <c r="AH2324" s="83"/>
      <c r="AI2324" s="83"/>
      <c r="AJ2324" s="79" t="s">
        <v>306</v>
      </c>
      <c r="AK2324" s="247"/>
    </row>
    <row r="2325" spans="1:37" ht="14.4" thickBot="1" x14ac:dyDescent="0.35">
      <c r="A2325" s="15">
        <v>2324</v>
      </c>
      <c r="B2325" s="40" t="s">
        <v>1017</v>
      </c>
      <c r="C2325" s="40">
        <v>2350</v>
      </c>
      <c r="D2325" s="38" t="s">
        <v>1016</v>
      </c>
      <c r="E2325" s="40" t="s">
        <v>2915</v>
      </c>
      <c r="F2325" s="40" t="s">
        <v>5470</v>
      </c>
      <c r="G2325" s="382" t="s">
        <v>5605</v>
      </c>
      <c r="H2325" s="456" t="s">
        <v>5608</v>
      </c>
      <c r="I2325" s="447" t="s">
        <v>5610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2" t="s">
        <v>3</v>
      </c>
      <c r="U2325" s="2" t="s">
        <v>3</v>
      </c>
      <c r="V2325" s="150" t="s">
        <v>92</v>
      </c>
      <c r="W2325" s="39">
        <v>107</v>
      </c>
      <c r="X2325" s="40"/>
      <c r="Y2325" s="40"/>
      <c r="Z2325" s="40"/>
      <c r="AA2325" s="40" t="s">
        <v>2939</v>
      </c>
      <c r="AB2325" s="40"/>
      <c r="AC2325" s="40"/>
      <c r="AD2325" s="40" t="s">
        <v>2898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131</v>
      </c>
      <c r="C2326" s="29">
        <v>2193</v>
      </c>
      <c r="D2326" s="27" t="s">
        <v>129</v>
      </c>
      <c r="E2326" s="29" t="s">
        <v>3087</v>
      </c>
      <c r="F2326" s="29" t="s">
        <v>5471</v>
      </c>
      <c r="G2326" s="382" t="s">
        <v>5605</v>
      </c>
      <c r="H2326" s="460" t="s">
        <v>5608</v>
      </c>
      <c r="I2326" s="447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30" t="s">
        <v>88</v>
      </c>
      <c r="U2326" s="30" t="s">
        <v>2916</v>
      </c>
      <c r="V2326" s="150" t="s">
        <v>92</v>
      </c>
      <c r="W2326" s="27">
        <v>103</v>
      </c>
      <c r="X2326" s="350"/>
      <c r="Y2326" s="350"/>
      <c r="Z2326" s="350" t="s">
        <v>303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375</v>
      </c>
      <c r="C2327" s="38">
        <v>1842</v>
      </c>
      <c r="D2327" s="38" t="s">
        <v>374</v>
      </c>
      <c r="E2327" s="40" t="s">
        <v>2915</v>
      </c>
      <c r="F2327" s="40" t="s">
        <v>5472</v>
      </c>
      <c r="G2327" s="382" t="s">
        <v>5605</v>
      </c>
      <c r="H2327" s="457" t="s">
        <v>5608</v>
      </c>
      <c r="I2327" s="447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30" t="s">
        <v>88</v>
      </c>
      <c r="U2327" s="2" t="s">
        <v>2916</v>
      </c>
      <c r="V2327" s="150" t="s">
        <v>92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381</v>
      </c>
      <c r="C2328" s="38">
        <v>1192</v>
      </c>
      <c r="D2328" s="38" t="s">
        <v>380</v>
      </c>
      <c r="E2328" s="40" t="s">
        <v>2915</v>
      </c>
      <c r="F2328" s="40" t="s">
        <v>5473</v>
      </c>
      <c r="G2328" s="382" t="s">
        <v>5605</v>
      </c>
      <c r="H2328" s="457" t="s">
        <v>5608</v>
      </c>
      <c r="I2328" s="447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331</v>
      </c>
      <c r="Q2328" s="43">
        <v>42</v>
      </c>
      <c r="R2328" s="43">
        <v>280</v>
      </c>
      <c r="S2328" s="43">
        <v>56.3</v>
      </c>
      <c r="T2328" s="30" t="s">
        <v>88</v>
      </c>
      <c r="U2328" s="2" t="s">
        <v>2916</v>
      </c>
      <c r="V2328" s="150" t="s">
        <v>92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2916</v>
      </c>
      <c r="AJ2328" s="443"/>
      <c r="AK2328" s="443"/>
    </row>
    <row r="2329" spans="1:37" ht="14.4" thickBot="1" x14ac:dyDescent="0.35">
      <c r="A2329" s="15">
        <v>2328</v>
      </c>
      <c r="B2329" s="38" t="s">
        <v>384</v>
      </c>
      <c r="C2329" s="38">
        <v>1191</v>
      </c>
      <c r="D2329" s="40" t="s">
        <v>383</v>
      </c>
      <c r="E2329" s="40" t="s">
        <v>2915</v>
      </c>
      <c r="F2329" s="40" t="s">
        <v>5474</v>
      </c>
      <c r="G2329" s="382" t="s">
        <v>5605</v>
      </c>
      <c r="H2329" s="457" t="s">
        <v>5608</v>
      </c>
      <c r="I2329" s="447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331</v>
      </c>
      <c r="Q2329" s="43">
        <v>39.799999999999997</v>
      </c>
      <c r="R2329" s="43">
        <v>328</v>
      </c>
      <c r="S2329" s="43">
        <v>48.9</v>
      </c>
      <c r="T2329" s="30" t="s">
        <v>88</v>
      </c>
      <c r="U2329" s="2" t="s">
        <v>2916</v>
      </c>
      <c r="V2329" s="150" t="s">
        <v>92</v>
      </c>
      <c r="W2329" s="38">
        <v>112</v>
      </c>
      <c r="X2329" s="4"/>
      <c r="Y2329" s="392"/>
      <c r="Z2329" s="4"/>
      <c r="AA2329" s="4"/>
      <c r="AB2329" s="40" t="s">
        <v>2898</v>
      </c>
      <c r="AC2329" s="4"/>
      <c r="AD2329" s="4"/>
      <c r="AE2329" s="4"/>
      <c r="AF2329" s="4"/>
      <c r="AG2329" s="4"/>
      <c r="AH2329" s="4"/>
      <c r="AI2329" s="194" t="s">
        <v>2916</v>
      </c>
      <c r="AJ2329" s="443"/>
      <c r="AK2329" s="443"/>
    </row>
    <row r="2330" spans="1:37" ht="14.4" thickBot="1" x14ac:dyDescent="0.35">
      <c r="A2330" s="15">
        <v>2329</v>
      </c>
      <c r="B2330" s="40" t="s">
        <v>395</v>
      </c>
      <c r="C2330" s="38">
        <v>1116</v>
      </c>
      <c r="D2330" s="38" t="s">
        <v>394</v>
      </c>
      <c r="E2330" s="40" t="s">
        <v>2915</v>
      </c>
      <c r="F2330" s="40" t="s">
        <v>5475</v>
      </c>
      <c r="G2330" s="382" t="s">
        <v>5605</v>
      </c>
      <c r="H2330" s="457" t="s">
        <v>5608</v>
      </c>
      <c r="I2330" s="447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30" t="s">
        <v>88</v>
      </c>
      <c r="U2330" s="2" t="s">
        <v>2916</v>
      </c>
      <c r="V2330" s="150" t="s">
        <v>92</v>
      </c>
      <c r="W2330" s="38">
        <v>106</v>
      </c>
      <c r="X2330" s="4"/>
      <c r="Y2330" s="392"/>
      <c r="Z2330" s="4"/>
      <c r="AA2330" s="4"/>
      <c r="AB2330" s="4"/>
      <c r="AC2330" s="40" t="s">
        <v>2939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396</v>
      </c>
      <c r="C2331" s="38">
        <v>1117</v>
      </c>
      <c r="D2331" s="38" t="s">
        <v>394</v>
      </c>
      <c r="E2331" s="40" t="s">
        <v>2915</v>
      </c>
      <c r="F2331" s="40" t="s">
        <v>5476</v>
      </c>
      <c r="G2331" s="382" t="s">
        <v>5605</v>
      </c>
      <c r="H2331" s="457" t="s">
        <v>5608</v>
      </c>
      <c r="I2331" s="447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30" t="s">
        <v>88</v>
      </c>
      <c r="U2331" s="2" t="s">
        <v>2916</v>
      </c>
      <c r="V2331" s="150" t="s">
        <v>92</v>
      </c>
      <c r="W2331" s="38">
        <v>106</v>
      </c>
      <c r="X2331" s="4"/>
      <c r="Y2331" s="392"/>
      <c r="Z2331" s="4"/>
      <c r="AA2331" s="4"/>
      <c r="AB2331" s="4"/>
      <c r="AC2331" s="40" t="s">
        <v>2939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434</v>
      </c>
      <c r="C2332" s="38">
        <v>1153</v>
      </c>
      <c r="D2332" s="38" t="s">
        <v>433</v>
      </c>
      <c r="E2332" s="40" t="s">
        <v>2915</v>
      </c>
      <c r="F2332" s="40" t="s">
        <v>5477</v>
      </c>
      <c r="G2332" s="382" t="s">
        <v>5605</v>
      </c>
      <c r="H2332" s="457" t="s">
        <v>5608</v>
      </c>
      <c r="I2332" s="447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30" t="s">
        <v>88</v>
      </c>
      <c r="U2332" s="2" t="s">
        <v>2916</v>
      </c>
      <c r="V2332" s="150" t="s">
        <v>92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448</v>
      </c>
      <c r="C2333" s="40">
        <v>1115</v>
      </c>
      <c r="D2333" s="40" t="s">
        <v>451</v>
      </c>
      <c r="E2333" s="38" t="s">
        <v>2915</v>
      </c>
      <c r="F2333" s="38" t="s">
        <v>5478</v>
      </c>
      <c r="G2333" s="382" t="s">
        <v>5605</v>
      </c>
      <c r="H2333" s="457" t="s">
        <v>5608</v>
      </c>
      <c r="I2333" s="447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30" t="s">
        <v>88</v>
      </c>
      <c r="U2333" s="2" t="s">
        <v>2916</v>
      </c>
      <c r="V2333" s="150" t="s">
        <v>92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484</v>
      </c>
      <c r="C2334" s="40">
        <v>1883</v>
      </c>
      <c r="D2334" s="38" t="s">
        <v>483</v>
      </c>
      <c r="E2334" s="4" t="s">
        <v>300</v>
      </c>
      <c r="F2334" s="4" t="s">
        <v>5479</v>
      </c>
      <c r="G2334" s="382" t="s">
        <v>5605</v>
      </c>
      <c r="H2334" s="457" t="s">
        <v>5608</v>
      </c>
      <c r="I2334" s="447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30" t="s">
        <v>88</v>
      </c>
      <c r="U2334" s="2" t="s">
        <v>2916</v>
      </c>
      <c r="V2334" s="150" t="s">
        <v>92</v>
      </c>
      <c r="W2334" s="38">
        <v>112</v>
      </c>
      <c r="X2334" s="4"/>
      <c r="Y2334" s="4"/>
      <c r="Z2334" s="4"/>
      <c r="AA2334" s="40" t="s">
        <v>2939</v>
      </c>
      <c r="AB2334" s="4"/>
      <c r="AC2334" s="4"/>
      <c r="AD2334" s="4"/>
      <c r="AE2334" s="4"/>
      <c r="AF2334" s="4"/>
      <c r="AG2334" s="4"/>
      <c r="AH2334" s="4"/>
      <c r="AI2334" s="194" t="s">
        <v>2916</v>
      </c>
      <c r="AJ2334" s="443"/>
      <c r="AK2334" s="443"/>
    </row>
    <row r="2335" spans="1:37" ht="14.4" thickBot="1" x14ac:dyDescent="0.35">
      <c r="A2335" s="15">
        <v>2334</v>
      </c>
      <c r="B2335" s="40" t="s">
        <v>502</v>
      </c>
      <c r="C2335" s="40">
        <v>1114</v>
      </c>
      <c r="D2335" s="38" t="s">
        <v>501</v>
      </c>
      <c r="E2335" s="4" t="s">
        <v>300</v>
      </c>
      <c r="F2335" s="4" t="s">
        <v>5480</v>
      </c>
      <c r="G2335" s="382" t="s">
        <v>5605</v>
      </c>
      <c r="H2335" s="457" t="s">
        <v>5608</v>
      </c>
      <c r="I2335" s="447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30" t="s">
        <v>88</v>
      </c>
      <c r="U2335" s="2" t="s">
        <v>2916</v>
      </c>
      <c r="V2335" s="150" t="s">
        <v>92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510</v>
      </c>
      <c r="C2336" s="40">
        <v>1871</v>
      </c>
      <c r="D2336" s="38" t="s">
        <v>509</v>
      </c>
      <c r="E2336" s="4" t="s">
        <v>300</v>
      </c>
      <c r="F2336" s="4" t="s">
        <v>5481</v>
      </c>
      <c r="G2336" s="382" t="s">
        <v>5605</v>
      </c>
      <c r="H2336" s="457" t="s">
        <v>5608</v>
      </c>
      <c r="I2336" s="447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30" t="s">
        <v>88</v>
      </c>
      <c r="U2336" s="2" t="s">
        <v>2916</v>
      </c>
      <c r="V2336" s="150" t="s">
        <v>92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511</v>
      </c>
      <c r="C2337" s="40">
        <v>1836</v>
      </c>
      <c r="D2337" s="38" t="s">
        <v>509</v>
      </c>
      <c r="E2337" s="4" t="s">
        <v>300</v>
      </c>
      <c r="F2337" s="4" t="s">
        <v>5482</v>
      </c>
      <c r="G2337" s="382" t="s">
        <v>5605</v>
      </c>
      <c r="H2337" s="457" t="s">
        <v>5608</v>
      </c>
      <c r="I2337" s="447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30" t="s">
        <v>88</v>
      </c>
      <c r="U2337" s="2" t="s">
        <v>2916</v>
      </c>
      <c r="V2337" s="150" t="s">
        <v>92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512</v>
      </c>
      <c r="C2338" s="40">
        <v>1837</v>
      </c>
      <c r="D2338" s="38" t="s">
        <v>509</v>
      </c>
      <c r="E2338" s="4" t="s">
        <v>300</v>
      </c>
      <c r="F2338" s="4" t="s">
        <v>5483</v>
      </c>
      <c r="G2338" s="382" t="s">
        <v>5605</v>
      </c>
      <c r="H2338" s="457" t="s">
        <v>5608</v>
      </c>
      <c r="I2338" s="447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30" t="s">
        <v>88</v>
      </c>
      <c r="U2338" s="2" t="s">
        <v>2916</v>
      </c>
      <c r="V2338" s="150" t="s">
        <v>92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544</v>
      </c>
      <c r="C2339" s="40">
        <v>99</v>
      </c>
      <c r="D2339" s="38" t="s">
        <v>537</v>
      </c>
      <c r="E2339" s="4" t="s">
        <v>300</v>
      </c>
      <c r="F2339" s="4" t="s">
        <v>5484</v>
      </c>
      <c r="G2339" s="382" t="s">
        <v>5605</v>
      </c>
      <c r="H2339" s="457" t="s">
        <v>5608</v>
      </c>
      <c r="I2339" s="447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30" t="s">
        <v>88</v>
      </c>
      <c r="U2339" s="2" t="s">
        <v>2916</v>
      </c>
      <c r="V2339" s="150" t="s">
        <v>92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4"/>
      <c r="AJ2339" s="445"/>
      <c r="AK2339" s="445"/>
    </row>
    <row r="2340" spans="1:37" ht="14.4" thickBot="1" x14ac:dyDescent="0.35">
      <c r="A2340" s="15">
        <v>2339</v>
      </c>
      <c r="B2340" s="40" t="s">
        <v>545</v>
      </c>
      <c r="C2340" s="40">
        <v>967</v>
      </c>
      <c r="D2340" s="38" t="s">
        <v>537</v>
      </c>
      <c r="E2340" s="4" t="s">
        <v>300</v>
      </c>
      <c r="F2340" s="4" t="s">
        <v>5485</v>
      </c>
      <c r="G2340" s="382" t="s">
        <v>5605</v>
      </c>
      <c r="H2340" s="457" t="s">
        <v>5608</v>
      </c>
      <c r="I2340" s="447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30" t="s">
        <v>88</v>
      </c>
      <c r="U2340" s="2" t="s">
        <v>2916</v>
      </c>
      <c r="V2340" s="150" t="s">
        <v>92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4"/>
      <c r="AJ2340" s="445"/>
      <c r="AK2340" s="445"/>
    </row>
    <row r="2341" spans="1:37" ht="14.4" thickBot="1" x14ac:dyDescent="0.35">
      <c r="A2341" s="15">
        <v>2340</v>
      </c>
      <c r="B2341" s="40" t="s">
        <v>549</v>
      </c>
      <c r="C2341" s="40">
        <v>105</v>
      </c>
      <c r="D2341" s="38" t="s">
        <v>546</v>
      </c>
      <c r="E2341" s="4" t="s">
        <v>300</v>
      </c>
      <c r="F2341" s="4" t="s">
        <v>5486</v>
      </c>
      <c r="G2341" s="382" t="s">
        <v>5605</v>
      </c>
      <c r="H2341" s="457" t="s">
        <v>5608</v>
      </c>
      <c r="I2341" s="447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30" t="s">
        <v>88</v>
      </c>
      <c r="U2341" s="2" t="s">
        <v>2916</v>
      </c>
      <c r="V2341" s="150" t="s">
        <v>92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4"/>
      <c r="AJ2341" s="445"/>
      <c r="AK2341" s="445"/>
    </row>
    <row r="2342" spans="1:37" ht="14.4" thickBot="1" x14ac:dyDescent="0.35">
      <c r="A2342" s="15">
        <v>2341</v>
      </c>
      <c r="B2342" s="40" t="s">
        <v>550</v>
      </c>
      <c r="C2342" s="40">
        <v>95</v>
      </c>
      <c r="D2342" s="38" t="s">
        <v>546</v>
      </c>
      <c r="E2342" s="4" t="s">
        <v>300</v>
      </c>
      <c r="F2342" s="4" t="s">
        <v>5487</v>
      </c>
      <c r="G2342" s="382" t="s">
        <v>5605</v>
      </c>
      <c r="H2342" s="457" t="s">
        <v>5608</v>
      </c>
      <c r="I2342" s="447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30" t="s">
        <v>88</v>
      </c>
      <c r="U2342" s="2" t="s">
        <v>2916</v>
      </c>
      <c r="V2342" s="150" t="s">
        <v>92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4"/>
      <c r="AJ2342" s="445"/>
      <c r="AK2342" s="445"/>
    </row>
    <row r="2343" spans="1:37" ht="14.4" thickBot="1" x14ac:dyDescent="0.35">
      <c r="A2343" s="15">
        <v>2342</v>
      </c>
      <c r="B2343" s="40" t="s">
        <v>551</v>
      </c>
      <c r="C2343" s="40">
        <v>98</v>
      </c>
      <c r="D2343" s="38" t="s">
        <v>546</v>
      </c>
      <c r="E2343" s="4" t="s">
        <v>300</v>
      </c>
      <c r="F2343" s="4" t="s">
        <v>5488</v>
      </c>
      <c r="G2343" s="382" t="s">
        <v>5605</v>
      </c>
      <c r="H2343" s="457" t="s">
        <v>5608</v>
      </c>
      <c r="I2343" s="447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30" t="s">
        <v>88</v>
      </c>
      <c r="U2343" s="2" t="s">
        <v>2916</v>
      </c>
      <c r="V2343" s="150" t="s">
        <v>92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4"/>
      <c r="AJ2343" s="445"/>
      <c r="AK2343" s="445"/>
    </row>
    <row r="2344" spans="1:37" ht="14.4" thickBot="1" x14ac:dyDescent="0.35">
      <c r="A2344" s="15">
        <v>2343</v>
      </c>
      <c r="B2344" s="40" t="s">
        <v>586</v>
      </c>
      <c r="C2344" s="40">
        <v>96</v>
      </c>
      <c r="D2344" s="38" t="s">
        <v>585</v>
      </c>
      <c r="E2344" s="4" t="s">
        <v>300</v>
      </c>
      <c r="F2344" s="4" t="s">
        <v>5489</v>
      </c>
      <c r="G2344" s="382" t="s">
        <v>5605</v>
      </c>
      <c r="H2344" s="457" t="s">
        <v>5608</v>
      </c>
      <c r="I2344" s="447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30" t="s">
        <v>88</v>
      </c>
      <c r="U2344" s="2" t="s">
        <v>2916</v>
      </c>
      <c r="V2344" s="150" t="s">
        <v>92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587</v>
      </c>
      <c r="C2345" s="40">
        <v>100</v>
      </c>
      <c r="D2345" s="38" t="s">
        <v>585</v>
      </c>
      <c r="E2345" s="4" t="s">
        <v>300</v>
      </c>
      <c r="F2345" s="4" t="s">
        <v>5490</v>
      </c>
      <c r="G2345" s="382" t="s">
        <v>5605</v>
      </c>
      <c r="H2345" s="457" t="s">
        <v>5608</v>
      </c>
      <c r="I2345" s="447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30" t="s">
        <v>88</v>
      </c>
      <c r="U2345" s="2" t="s">
        <v>2916</v>
      </c>
      <c r="V2345" s="150" t="s">
        <v>92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665</v>
      </c>
      <c r="C2346" s="38">
        <v>1840</v>
      </c>
      <c r="D2346" s="38" t="s">
        <v>663</v>
      </c>
      <c r="E2346" s="4" t="s">
        <v>300</v>
      </c>
      <c r="F2346" s="4" t="s">
        <v>5491</v>
      </c>
      <c r="G2346" s="382" t="s">
        <v>5605</v>
      </c>
      <c r="H2346" s="457" t="s">
        <v>5608</v>
      </c>
      <c r="I2346" s="447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30" t="s">
        <v>88</v>
      </c>
      <c r="U2346" s="2" t="s">
        <v>2916</v>
      </c>
      <c r="V2346" s="150" t="s">
        <v>92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725</v>
      </c>
      <c r="C2347" s="40">
        <v>2159</v>
      </c>
      <c r="D2347" s="38" t="s">
        <v>724</v>
      </c>
      <c r="E2347" s="4" t="s">
        <v>300</v>
      </c>
      <c r="F2347" s="4" t="s">
        <v>5492</v>
      </c>
      <c r="G2347" s="382" t="s">
        <v>5605</v>
      </c>
      <c r="H2347" s="457" t="s">
        <v>5608</v>
      </c>
      <c r="I2347" s="447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30" t="s">
        <v>88</v>
      </c>
      <c r="U2347" s="2" t="s">
        <v>2916</v>
      </c>
      <c r="V2347" s="150" t="s">
        <v>92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731</v>
      </c>
      <c r="C2348" s="40">
        <v>2156</v>
      </c>
      <c r="D2348" s="38" t="s">
        <v>729</v>
      </c>
      <c r="E2348" s="4" t="s">
        <v>300</v>
      </c>
      <c r="F2348" s="4" t="s">
        <v>5493</v>
      </c>
      <c r="G2348" s="382" t="s">
        <v>5605</v>
      </c>
      <c r="H2348" s="457" t="s">
        <v>5608</v>
      </c>
      <c r="I2348" s="447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30" t="s">
        <v>88</v>
      </c>
      <c r="U2348" s="2" t="s">
        <v>2916</v>
      </c>
      <c r="V2348" s="150" t="s">
        <v>92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732</v>
      </c>
      <c r="C2349" s="40">
        <v>2157</v>
      </c>
      <c r="D2349" s="38" t="s">
        <v>729</v>
      </c>
      <c r="E2349" s="4" t="s">
        <v>300</v>
      </c>
      <c r="F2349" s="4" t="s">
        <v>5494</v>
      </c>
      <c r="G2349" s="382" t="s">
        <v>5605</v>
      </c>
      <c r="H2349" s="457" t="s">
        <v>5608</v>
      </c>
      <c r="I2349" s="447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30" t="s">
        <v>88</v>
      </c>
      <c r="U2349" s="467" t="s">
        <v>2916</v>
      </c>
      <c r="V2349" s="150" t="s">
        <v>92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745</v>
      </c>
      <c r="C2350" s="40">
        <v>2381</v>
      </c>
      <c r="D2350" s="38" t="s">
        <v>743</v>
      </c>
      <c r="E2350" s="4" t="s">
        <v>300</v>
      </c>
      <c r="F2350" s="4" t="s">
        <v>5495</v>
      </c>
      <c r="G2350" s="382" t="s">
        <v>5605</v>
      </c>
      <c r="H2350" s="457" t="s">
        <v>5608</v>
      </c>
      <c r="I2350" s="447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30" t="s">
        <v>88</v>
      </c>
      <c r="U2350" s="2" t="s">
        <v>2916</v>
      </c>
      <c r="V2350" s="150" t="s">
        <v>92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746</v>
      </c>
      <c r="C2351" s="40">
        <v>2382</v>
      </c>
      <c r="D2351" s="38" t="s">
        <v>743</v>
      </c>
      <c r="E2351" s="4" t="s">
        <v>300</v>
      </c>
      <c r="F2351" s="4" t="s">
        <v>5496</v>
      </c>
      <c r="G2351" s="382" t="s">
        <v>5605</v>
      </c>
      <c r="H2351" s="457" t="s">
        <v>5608</v>
      </c>
      <c r="I2351" s="447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30" t="s">
        <v>88</v>
      </c>
      <c r="U2351" s="2" t="s">
        <v>2916</v>
      </c>
      <c r="V2351" s="150" t="s">
        <v>92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747</v>
      </c>
      <c r="C2352" s="40">
        <v>2383</v>
      </c>
      <c r="D2352" s="38" t="s">
        <v>743</v>
      </c>
      <c r="E2352" s="4" t="s">
        <v>300</v>
      </c>
      <c r="F2352" s="4" t="s">
        <v>5497</v>
      </c>
      <c r="G2352" s="382" t="s">
        <v>5605</v>
      </c>
      <c r="H2352" s="457" t="s">
        <v>5608</v>
      </c>
      <c r="I2352" s="447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30" t="s">
        <v>88</v>
      </c>
      <c r="U2352" s="2" t="s">
        <v>2916</v>
      </c>
      <c r="V2352" s="150" t="s">
        <v>92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748</v>
      </c>
      <c r="C2353" s="40">
        <v>701</v>
      </c>
      <c r="D2353" s="38" t="s">
        <v>743</v>
      </c>
      <c r="E2353" s="4" t="s">
        <v>300</v>
      </c>
      <c r="F2353" s="4" t="s">
        <v>5498</v>
      </c>
      <c r="G2353" s="382" t="s">
        <v>5605</v>
      </c>
      <c r="H2353" s="457" t="s">
        <v>5608</v>
      </c>
      <c r="I2353" s="447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30" t="s">
        <v>88</v>
      </c>
      <c r="U2353" s="2" t="s">
        <v>2916</v>
      </c>
      <c r="V2353" s="150" t="s">
        <v>92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842</v>
      </c>
      <c r="C2354" s="40">
        <v>710</v>
      </c>
      <c r="D2354" s="38" t="s">
        <v>741</v>
      </c>
      <c r="E2354" s="4" t="s">
        <v>300</v>
      </c>
      <c r="F2354" s="4" t="s">
        <v>5499</v>
      </c>
      <c r="G2354" s="382" t="s">
        <v>5605</v>
      </c>
      <c r="H2354" s="457" t="s">
        <v>5608</v>
      </c>
      <c r="I2354" s="447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30" t="s">
        <v>88</v>
      </c>
      <c r="U2354" s="2" t="s">
        <v>2916</v>
      </c>
      <c r="V2354" s="150" t="s">
        <v>92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976</v>
      </c>
      <c r="C2355" s="40">
        <v>1271</v>
      </c>
      <c r="D2355" s="38" t="s">
        <v>973</v>
      </c>
      <c r="E2355" s="4" t="s">
        <v>457</v>
      </c>
      <c r="F2355" s="4" t="s">
        <v>5500</v>
      </c>
      <c r="G2355" s="382" t="s">
        <v>5605</v>
      </c>
      <c r="H2355" s="457" t="s">
        <v>5608</v>
      </c>
      <c r="I2355" s="447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30" t="s">
        <v>88</v>
      </c>
      <c r="U2355" s="2" t="s">
        <v>2916</v>
      </c>
      <c r="V2355" s="150" t="s">
        <v>92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993</v>
      </c>
      <c r="C2356" s="40">
        <v>2146</v>
      </c>
      <c r="D2356" s="38" t="s">
        <v>992</v>
      </c>
      <c r="E2356" s="4" t="s">
        <v>300</v>
      </c>
      <c r="F2356" s="4" t="s">
        <v>5501</v>
      </c>
      <c r="G2356" s="382" t="s">
        <v>5605</v>
      </c>
      <c r="H2356" s="457" t="s">
        <v>5608</v>
      </c>
      <c r="I2356" s="447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30" t="s">
        <v>88</v>
      </c>
      <c r="U2356" s="2" t="s">
        <v>2916</v>
      </c>
      <c r="V2356" s="150" t="s">
        <v>92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1054</v>
      </c>
      <c r="C2357" s="40">
        <v>1245</v>
      </c>
      <c r="D2357" s="38" t="s">
        <v>1053</v>
      </c>
      <c r="E2357" s="4" t="s">
        <v>457</v>
      </c>
      <c r="F2357" s="4" t="s">
        <v>5502</v>
      </c>
      <c r="G2357" s="382" t="s">
        <v>5605</v>
      </c>
      <c r="H2357" s="457" t="s">
        <v>5608</v>
      </c>
      <c r="I2357" s="447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30" t="s">
        <v>88</v>
      </c>
      <c r="U2357" s="2" t="s">
        <v>2916</v>
      </c>
      <c r="V2357" s="150" t="s">
        <v>92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1164</v>
      </c>
      <c r="C2358" s="40">
        <v>2148</v>
      </c>
      <c r="D2358" s="38" t="s">
        <v>1158</v>
      </c>
      <c r="E2358" s="4" t="s">
        <v>300</v>
      </c>
      <c r="F2358" s="4" t="s">
        <v>5503</v>
      </c>
      <c r="G2358" s="382" t="s">
        <v>5605</v>
      </c>
      <c r="H2358" s="457" t="s">
        <v>5608</v>
      </c>
      <c r="I2358" s="447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30" t="s">
        <v>88</v>
      </c>
      <c r="U2358" s="2" t="s">
        <v>2916</v>
      </c>
      <c r="V2358" s="150" t="s">
        <v>92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1174</v>
      </c>
      <c r="C2359" s="40">
        <v>265</v>
      </c>
      <c r="D2359" s="38" t="s">
        <v>1168</v>
      </c>
      <c r="E2359" s="4" t="s">
        <v>1010</v>
      </c>
      <c r="F2359" s="4" t="s">
        <v>5504</v>
      </c>
      <c r="G2359" s="382" t="s">
        <v>5605</v>
      </c>
      <c r="H2359" s="457" t="s">
        <v>5608</v>
      </c>
      <c r="I2359" s="447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30" t="s">
        <v>88</v>
      </c>
      <c r="U2359" s="2" t="s">
        <v>2916</v>
      </c>
      <c r="V2359" s="150" t="s">
        <v>92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1176</v>
      </c>
      <c r="C2360" s="40">
        <v>270</v>
      </c>
      <c r="D2360" s="38" t="s">
        <v>1168</v>
      </c>
      <c r="E2360" s="4" t="s">
        <v>1010</v>
      </c>
      <c r="F2360" s="4" t="s">
        <v>5505</v>
      </c>
      <c r="G2360" s="382" t="s">
        <v>5605</v>
      </c>
      <c r="H2360" s="457" t="s">
        <v>5608</v>
      </c>
      <c r="I2360" s="447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30" t="s">
        <v>88</v>
      </c>
      <c r="U2360" s="2" t="s">
        <v>2916</v>
      </c>
      <c r="V2360" s="150" t="s">
        <v>92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1259</v>
      </c>
      <c r="C2361" s="40">
        <v>1021</v>
      </c>
      <c r="D2361" s="38" t="s">
        <v>1255</v>
      </c>
      <c r="E2361" s="4" t="s">
        <v>300</v>
      </c>
      <c r="F2361" s="4" t="s">
        <v>5506</v>
      </c>
      <c r="G2361" s="382" t="s">
        <v>5605</v>
      </c>
      <c r="H2361" s="457" t="s">
        <v>5608</v>
      </c>
      <c r="I2361" s="447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30" t="s">
        <v>88</v>
      </c>
      <c r="U2361" s="2" t="s">
        <v>2916</v>
      </c>
      <c r="V2361" s="150" t="s">
        <v>92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1318</v>
      </c>
      <c r="C2362" s="40">
        <v>1236</v>
      </c>
      <c r="D2362" s="38" t="s">
        <v>1310</v>
      </c>
      <c r="E2362" s="4" t="s">
        <v>457</v>
      </c>
      <c r="F2362" s="4" t="s">
        <v>5507</v>
      </c>
      <c r="G2362" s="382" t="s">
        <v>5605</v>
      </c>
      <c r="H2362" s="457" t="s">
        <v>5608</v>
      </c>
      <c r="I2362" s="447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30" t="s">
        <v>88</v>
      </c>
      <c r="U2362" s="2" t="s">
        <v>2916</v>
      </c>
      <c r="V2362" s="150" t="s">
        <v>92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1312</v>
      </c>
      <c r="C2363" s="40">
        <v>1219</v>
      </c>
      <c r="D2363" s="38" t="s">
        <v>1310</v>
      </c>
      <c r="E2363" s="4" t="s">
        <v>457</v>
      </c>
      <c r="F2363" s="4" t="s">
        <v>5508</v>
      </c>
      <c r="G2363" s="382" t="s">
        <v>5605</v>
      </c>
      <c r="H2363" s="457" t="s">
        <v>5608</v>
      </c>
      <c r="I2363" s="447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30" t="s">
        <v>88</v>
      </c>
      <c r="U2363" s="2" t="s">
        <v>2916</v>
      </c>
      <c r="V2363" s="150" t="s">
        <v>92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1313</v>
      </c>
      <c r="C2364" s="40">
        <v>1221</v>
      </c>
      <c r="D2364" s="38" t="s">
        <v>1310</v>
      </c>
      <c r="E2364" s="4" t="s">
        <v>457</v>
      </c>
      <c r="F2364" s="4" t="s">
        <v>5509</v>
      </c>
      <c r="G2364" s="382" t="s">
        <v>5605</v>
      </c>
      <c r="H2364" s="457" t="s">
        <v>5608</v>
      </c>
      <c r="I2364" s="447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30" t="s">
        <v>88</v>
      </c>
      <c r="U2364" s="2" t="s">
        <v>2916</v>
      </c>
      <c r="V2364" s="150" t="s">
        <v>92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1326</v>
      </c>
      <c r="C2365" s="40">
        <v>1231</v>
      </c>
      <c r="D2365" s="38" t="s">
        <v>1319</v>
      </c>
      <c r="E2365" s="4" t="s">
        <v>457</v>
      </c>
      <c r="F2365" s="4" t="s">
        <v>5510</v>
      </c>
      <c r="G2365" s="382" t="s">
        <v>5605</v>
      </c>
      <c r="H2365" s="457" t="s">
        <v>5608</v>
      </c>
      <c r="I2365" s="447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30" t="s">
        <v>88</v>
      </c>
      <c r="U2365" s="2" t="s">
        <v>2916</v>
      </c>
      <c r="V2365" s="150" t="s">
        <v>1193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1335</v>
      </c>
      <c r="C2366" s="40">
        <v>644</v>
      </c>
      <c r="D2366" s="38" t="s">
        <v>1334</v>
      </c>
      <c r="E2366" s="4" t="s">
        <v>1010</v>
      </c>
      <c r="F2366" s="4" t="s">
        <v>5511</v>
      </c>
      <c r="G2366" s="382" t="s">
        <v>5605</v>
      </c>
      <c r="H2366" s="457" t="s">
        <v>5608</v>
      </c>
      <c r="I2366" s="447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30" t="s">
        <v>88</v>
      </c>
      <c r="U2366" s="2" t="s">
        <v>2916</v>
      </c>
      <c r="V2366" s="150" t="s">
        <v>92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1338</v>
      </c>
      <c r="C2367" s="40">
        <v>648</v>
      </c>
      <c r="D2367" s="38" t="s">
        <v>1336</v>
      </c>
      <c r="E2367" s="4" t="s">
        <v>1010</v>
      </c>
      <c r="F2367" s="4" t="s">
        <v>5512</v>
      </c>
      <c r="G2367" s="382" t="s">
        <v>5605</v>
      </c>
      <c r="H2367" s="457" t="s">
        <v>5608</v>
      </c>
      <c r="I2367" s="447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30" t="s">
        <v>88</v>
      </c>
      <c r="U2367" s="2" t="s">
        <v>2916</v>
      </c>
      <c r="V2367" s="150" t="s">
        <v>92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1360</v>
      </c>
      <c r="C2368" s="40">
        <v>255</v>
      </c>
      <c r="D2368" s="38" t="s">
        <v>1192</v>
      </c>
      <c r="E2368" s="4" t="s">
        <v>1010</v>
      </c>
      <c r="F2368" s="4" t="s">
        <v>5513</v>
      </c>
      <c r="G2368" s="382" t="s">
        <v>5605</v>
      </c>
      <c r="H2368" s="457" t="s">
        <v>5608</v>
      </c>
      <c r="I2368" s="447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30" t="s">
        <v>88</v>
      </c>
      <c r="U2368" s="2" t="s">
        <v>2916</v>
      </c>
      <c r="V2368" s="150" t="s">
        <v>92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1362</v>
      </c>
      <c r="C2369" s="40">
        <v>257</v>
      </c>
      <c r="D2369" s="38" t="s">
        <v>1359</v>
      </c>
      <c r="E2369" s="4" t="s">
        <v>1010</v>
      </c>
      <c r="F2369" s="4" t="s">
        <v>5514</v>
      </c>
      <c r="G2369" s="382" t="s">
        <v>5605</v>
      </c>
      <c r="H2369" s="457" t="s">
        <v>5608</v>
      </c>
      <c r="I2369" s="447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30" t="s">
        <v>88</v>
      </c>
      <c r="U2369" s="2" t="s">
        <v>2916</v>
      </c>
      <c r="V2369" s="150" t="s">
        <v>92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1378</v>
      </c>
      <c r="C2370" s="40">
        <v>2325</v>
      </c>
      <c r="D2370" s="38" t="s">
        <v>1388</v>
      </c>
      <c r="E2370" s="4" t="s">
        <v>300</v>
      </c>
      <c r="F2370" s="4" t="s">
        <v>5515</v>
      </c>
      <c r="G2370" s="382" t="s">
        <v>5605</v>
      </c>
      <c r="H2370" s="457" t="s">
        <v>5608</v>
      </c>
      <c r="I2370" s="447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30" t="s">
        <v>88</v>
      </c>
      <c r="U2370" s="2" t="s">
        <v>2916</v>
      </c>
      <c r="V2370" s="150" t="s">
        <v>92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1390</v>
      </c>
      <c r="C2371" s="40">
        <v>2300</v>
      </c>
      <c r="D2371" s="38" t="s">
        <v>1388</v>
      </c>
      <c r="E2371" s="4" t="s">
        <v>300</v>
      </c>
      <c r="F2371" s="4" t="s">
        <v>5516</v>
      </c>
      <c r="G2371" s="382" t="s">
        <v>5605</v>
      </c>
      <c r="H2371" s="457" t="s">
        <v>5608</v>
      </c>
      <c r="I2371" s="447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30" t="s">
        <v>88</v>
      </c>
      <c r="U2371" s="2" t="s">
        <v>2916</v>
      </c>
      <c r="V2371" s="150" t="s">
        <v>92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1391</v>
      </c>
      <c r="C2372" s="40">
        <v>2304</v>
      </c>
      <c r="D2372" s="38" t="s">
        <v>1388</v>
      </c>
      <c r="E2372" s="4" t="s">
        <v>300</v>
      </c>
      <c r="F2372" s="4" t="s">
        <v>5517</v>
      </c>
      <c r="G2372" s="382" t="s">
        <v>5605</v>
      </c>
      <c r="H2372" s="457" t="s">
        <v>5608</v>
      </c>
      <c r="I2372" s="447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30" t="s">
        <v>88</v>
      </c>
      <c r="U2372" s="2" t="s">
        <v>2916</v>
      </c>
      <c r="V2372" s="150" t="s">
        <v>92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1398</v>
      </c>
      <c r="C2373" s="40">
        <v>2261</v>
      </c>
      <c r="D2373" s="38" t="s">
        <v>1396</v>
      </c>
      <c r="E2373" s="4" t="s">
        <v>300</v>
      </c>
      <c r="F2373" s="4" t="s">
        <v>5518</v>
      </c>
      <c r="G2373" s="382" t="s">
        <v>5605</v>
      </c>
      <c r="H2373" s="457" t="s">
        <v>5608</v>
      </c>
      <c r="I2373" s="447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30" t="s">
        <v>88</v>
      </c>
      <c r="U2373" s="2" t="s">
        <v>2916</v>
      </c>
      <c r="V2373" s="150" t="s">
        <v>1193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1400</v>
      </c>
      <c r="C2374" s="40">
        <v>2259</v>
      </c>
      <c r="D2374" s="38" t="s">
        <v>1396</v>
      </c>
      <c r="E2374" s="4" t="s">
        <v>300</v>
      </c>
      <c r="F2374" s="4" t="s">
        <v>5519</v>
      </c>
      <c r="G2374" s="382" t="s">
        <v>5605</v>
      </c>
      <c r="H2374" s="457" t="s">
        <v>5608</v>
      </c>
      <c r="I2374" s="447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30" t="s">
        <v>88</v>
      </c>
      <c r="U2374" s="2" t="s">
        <v>2916</v>
      </c>
      <c r="V2374" s="150" t="s">
        <v>1193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1406</v>
      </c>
      <c r="C2375" s="40">
        <v>1019</v>
      </c>
      <c r="D2375" s="38" t="s">
        <v>1404</v>
      </c>
      <c r="E2375" s="4" t="s">
        <v>300</v>
      </c>
      <c r="F2375" s="4" t="s">
        <v>5520</v>
      </c>
      <c r="G2375" s="382" t="s">
        <v>5605</v>
      </c>
      <c r="H2375" s="457" t="s">
        <v>5608</v>
      </c>
      <c r="I2375" s="447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30" t="s">
        <v>88</v>
      </c>
      <c r="U2375" s="2" t="s">
        <v>2916</v>
      </c>
      <c r="V2375" s="150" t="s">
        <v>92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1414</v>
      </c>
      <c r="C2376" s="40">
        <v>2405</v>
      </c>
      <c r="D2376" s="38" t="s">
        <v>1409</v>
      </c>
      <c r="E2376" s="4" t="s">
        <v>300</v>
      </c>
      <c r="F2376" s="4" t="s">
        <v>5521</v>
      </c>
      <c r="G2376" s="382" t="s">
        <v>5605</v>
      </c>
      <c r="H2376" s="457" t="s">
        <v>5608</v>
      </c>
      <c r="I2376" s="447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30" t="s">
        <v>88</v>
      </c>
      <c r="U2376" s="2" t="s">
        <v>2916</v>
      </c>
      <c r="V2376" s="150" t="s">
        <v>92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1414</v>
      </c>
      <c r="C2377" s="40">
        <v>2247</v>
      </c>
      <c r="D2377" s="38" t="s">
        <v>1409</v>
      </c>
      <c r="E2377" s="4" t="s">
        <v>300</v>
      </c>
      <c r="F2377" s="4" t="s">
        <v>5522</v>
      </c>
      <c r="G2377" s="382" t="s">
        <v>5605</v>
      </c>
      <c r="H2377" s="457" t="s">
        <v>5608</v>
      </c>
      <c r="I2377" s="447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30" t="s">
        <v>88</v>
      </c>
      <c r="U2377" s="2" t="s">
        <v>2916</v>
      </c>
      <c r="V2377" s="150" t="s">
        <v>92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1564</v>
      </c>
      <c r="C2378" s="40">
        <v>2260</v>
      </c>
      <c r="D2378" s="38" t="s">
        <v>1563</v>
      </c>
      <c r="E2378" s="4" t="s">
        <v>300</v>
      </c>
      <c r="F2378" s="4" t="s">
        <v>5523</v>
      </c>
      <c r="G2378" s="382" t="s">
        <v>5605</v>
      </c>
      <c r="H2378" s="457" t="s">
        <v>5608</v>
      </c>
      <c r="I2378" s="447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30" t="s">
        <v>88</v>
      </c>
      <c r="U2378" s="2" t="s">
        <v>2916</v>
      </c>
      <c r="V2378" s="150" t="s">
        <v>92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1573</v>
      </c>
      <c r="C2379" s="40">
        <v>2223</v>
      </c>
      <c r="D2379" s="38" t="s">
        <v>1563</v>
      </c>
      <c r="E2379" s="4" t="s">
        <v>300</v>
      </c>
      <c r="F2379" s="4" t="s">
        <v>5524</v>
      </c>
      <c r="G2379" s="382" t="s">
        <v>5605</v>
      </c>
      <c r="H2379" s="457" t="s">
        <v>5608</v>
      </c>
      <c r="I2379" s="447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30" t="s">
        <v>88</v>
      </c>
      <c r="U2379" s="2" t="s">
        <v>2916</v>
      </c>
      <c r="V2379" s="150" t="s">
        <v>92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1423</v>
      </c>
      <c r="C2380" s="40">
        <v>2217</v>
      </c>
      <c r="D2380" s="38" t="s">
        <v>1421</v>
      </c>
      <c r="E2380" s="4" t="s">
        <v>300</v>
      </c>
      <c r="F2380" s="4" t="s">
        <v>5525</v>
      </c>
      <c r="G2380" s="382" t="s">
        <v>5605</v>
      </c>
      <c r="H2380" s="457" t="s">
        <v>5608</v>
      </c>
      <c r="I2380" s="447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30" t="s">
        <v>88</v>
      </c>
      <c r="U2380" s="2" t="s">
        <v>2916</v>
      </c>
      <c r="V2380" s="150" t="s">
        <v>92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1426</v>
      </c>
      <c r="C2381" s="40">
        <v>2245</v>
      </c>
      <c r="D2381" s="38" t="s">
        <v>1421</v>
      </c>
      <c r="E2381" s="4" t="s">
        <v>300</v>
      </c>
      <c r="F2381" s="4" t="s">
        <v>5526</v>
      </c>
      <c r="G2381" s="382" t="s">
        <v>5605</v>
      </c>
      <c r="H2381" s="457" t="s">
        <v>5608</v>
      </c>
      <c r="I2381" s="447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331</v>
      </c>
      <c r="Q2381" s="396">
        <v>28.4</v>
      </c>
      <c r="R2381" s="396">
        <v>339</v>
      </c>
      <c r="S2381" s="396">
        <v>161</v>
      </c>
      <c r="T2381" s="30" t="s">
        <v>88</v>
      </c>
      <c r="U2381" s="2" t="s">
        <v>2916</v>
      </c>
      <c r="V2381" s="150" t="s">
        <v>92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1430</v>
      </c>
      <c r="C2382" s="40">
        <v>1006</v>
      </c>
      <c r="D2382" s="38" t="s">
        <v>1429</v>
      </c>
      <c r="E2382" s="4" t="s">
        <v>300</v>
      </c>
      <c r="F2382" s="4" t="s">
        <v>5527</v>
      </c>
      <c r="G2382" s="382" t="s">
        <v>5605</v>
      </c>
      <c r="H2382" s="457" t="s">
        <v>5608</v>
      </c>
      <c r="I2382" s="447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30" t="s">
        <v>88</v>
      </c>
      <c r="U2382" s="2" t="s">
        <v>2916</v>
      </c>
      <c r="V2382" s="150" t="s">
        <v>92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1431</v>
      </c>
      <c r="C2383" s="40">
        <v>1007</v>
      </c>
      <c r="D2383" s="38" t="s">
        <v>1429</v>
      </c>
      <c r="E2383" s="4" t="s">
        <v>300</v>
      </c>
      <c r="F2383" s="4" t="s">
        <v>5528</v>
      </c>
      <c r="G2383" s="382" t="s">
        <v>5605</v>
      </c>
      <c r="H2383" s="457" t="s">
        <v>5608</v>
      </c>
      <c r="I2383" s="447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30" t="s">
        <v>88</v>
      </c>
      <c r="U2383" s="2" t="s">
        <v>2916</v>
      </c>
      <c r="V2383" s="150" t="s">
        <v>92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1439</v>
      </c>
      <c r="C2384" s="40">
        <v>1031</v>
      </c>
      <c r="D2384" s="38" t="s">
        <v>1429</v>
      </c>
      <c r="E2384" s="4" t="s">
        <v>300</v>
      </c>
      <c r="F2384" s="4" t="s">
        <v>5529</v>
      </c>
      <c r="G2384" s="382" t="s">
        <v>5605</v>
      </c>
      <c r="H2384" s="457" t="s">
        <v>5608</v>
      </c>
      <c r="I2384" s="447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30" t="s">
        <v>88</v>
      </c>
      <c r="U2384" s="2" t="s">
        <v>2916</v>
      </c>
      <c r="V2384" s="150" t="s">
        <v>92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1440</v>
      </c>
      <c r="C2385" s="40">
        <v>1032</v>
      </c>
      <c r="D2385" s="38" t="s">
        <v>1429</v>
      </c>
      <c r="E2385" s="4" t="s">
        <v>300</v>
      </c>
      <c r="F2385" s="4" t="s">
        <v>5530</v>
      </c>
      <c r="G2385" s="382" t="s">
        <v>5605</v>
      </c>
      <c r="H2385" s="457" t="s">
        <v>5608</v>
      </c>
      <c r="I2385" s="447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30" t="s">
        <v>88</v>
      </c>
      <c r="U2385" s="2" t="s">
        <v>2916</v>
      </c>
      <c r="V2385" s="150" t="s">
        <v>92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1441</v>
      </c>
      <c r="C2386" s="40">
        <v>1033</v>
      </c>
      <c r="D2386" s="38" t="s">
        <v>1429</v>
      </c>
      <c r="E2386" s="4" t="s">
        <v>300</v>
      </c>
      <c r="F2386" s="4" t="s">
        <v>5531</v>
      </c>
      <c r="G2386" s="382" t="s">
        <v>5605</v>
      </c>
      <c r="H2386" s="457" t="s">
        <v>5608</v>
      </c>
      <c r="I2386" s="447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30" t="s">
        <v>88</v>
      </c>
      <c r="U2386" s="2" t="s">
        <v>2916</v>
      </c>
      <c r="V2386" s="150" t="s">
        <v>92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1442</v>
      </c>
      <c r="C2387" s="40">
        <v>1034</v>
      </c>
      <c r="D2387" s="38" t="s">
        <v>1429</v>
      </c>
      <c r="E2387" s="4" t="s">
        <v>300</v>
      </c>
      <c r="F2387" s="4" t="s">
        <v>5532</v>
      </c>
      <c r="G2387" s="382" t="s">
        <v>5605</v>
      </c>
      <c r="H2387" s="457" t="s">
        <v>5608</v>
      </c>
      <c r="I2387" s="447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30" t="s">
        <v>88</v>
      </c>
      <c r="U2387" s="2" t="s">
        <v>2916</v>
      </c>
      <c r="V2387" s="150" t="s">
        <v>92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1445</v>
      </c>
      <c r="C2388" s="40">
        <v>1008</v>
      </c>
      <c r="D2388" s="38" t="s">
        <v>1444</v>
      </c>
      <c r="E2388" s="4" t="s">
        <v>300</v>
      </c>
      <c r="F2388" s="4" t="s">
        <v>5533</v>
      </c>
      <c r="G2388" s="382" t="s">
        <v>5605</v>
      </c>
      <c r="H2388" s="457" t="s">
        <v>5608</v>
      </c>
      <c r="I2388" s="447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30" t="s">
        <v>88</v>
      </c>
      <c r="U2388" s="2" t="s">
        <v>2916</v>
      </c>
      <c r="V2388" s="150" t="s">
        <v>92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1446</v>
      </c>
      <c r="C2389" s="40">
        <v>1029</v>
      </c>
      <c r="D2389" s="38" t="s">
        <v>1444</v>
      </c>
      <c r="E2389" s="4" t="s">
        <v>300</v>
      </c>
      <c r="F2389" s="4" t="s">
        <v>5534</v>
      </c>
      <c r="G2389" s="382" t="s">
        <v>5605</v>
      </c>
      <c r="H2389" s="457" t="s">
        <v>5608</v>
      </c>
      <c r="I2389" s="447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30" t="s">
        <v>88</v>
      </c>
      <c r="U2389" s="2" t="s">
        <v>2916</v>
      </c>
      <c r="V2389" s="150" t="s">
        <v>92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1447</v>
      </c>
      <c r="C2390" s="40">
        <v>1030</v>
      </c>
      <c r="D2390" s="38" t="s">
        <v>1444</v>
      </c>
      <c r="E2390" s="4" t="s">
        <v>300</v>
      </c>
      <c r="F2390" s="4" t="s">
        <v>5535</v>
      </c>
      <c r="G2390" s="382" t="s">
        <v>5605</v>
      </c>
      <c r="H2390" s="457" t="s">
        <v>5608</v>
      </c>
      <c r="I2390" s="447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30" t="s">
        <v>88</v>
      </c>
      <c r="U2390" s="2" t="s">
        <v>2916</v>
      </c>
      <c r="V2390" s="150" t="s">
        <v>92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1472</v>
      </c>
      <c r="C2391" s="40">
        <v>1228</v>
      </c>
      <c r="D2391" s="38" t="s">
        <v>1471</v>
      </c>
      <c r="E2391" s="4" t="s">
        <v>457</v>
      </c>
      <c r="F2391" s="4" t="s">
        <v>5536</v>
      </c>
      <c r="G2391" s="382" t="s">
        <v>5605</v>
      </c>
      <c r="H2391" s="457" t="s">
        <v>5608</v>
      </c>
      <c r="I2391" s="447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30" t="s">
        <v>88</v>
      </c>
      <c r="U2391" s="2" t="s">
        <v>2916</v>
      </c>
      <c r="V2391" s="150" t="s">
        <v>92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1473</v>
      </c>
      <c r="C2392" s="40">
        <v>1230</v>
      </c>
      <c r="D2392" s="38" t="s">
        <v>1471</v>
      </c>
      <c r="E2392" s="4" t="s">
        <v>457</v>
      </c>
      <c r="F2392" s="4" t="s">
        <v>5537</v>
      </c>
      <c r="G2392" s="382" t="s">
        <v>5605</v>
      </c>
      <c r="H2392" s="457" t="s">
        <v>5608</v>
      </c>
      <c r="I2392" s="447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30" t="s">
        <v>88</v>
      </c>
      <c r="U2392" s="2" t="s">
        <v>2916</v>
      </c>
      <c r="V2392" s="150" t="s">
        <v>92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1528</v>
      </c>
      <c r="C2393" s="40">
        <v>350</v>
      </c>
      <c r="D2393" s="38" t="s">
        <v>1526</v>
      </c>
      <c r="E2393" s="4" t="s">
        <v>1010</v>
      </c>
      <c r="F2393" s="4" t="s">
        <v>5538</v>
      </c>
      <c r="G2393" s="382" t="s">
        <v>5605</v>
      </c>
      <c r="H2393" s="457" t="s">
        <v>5608</v>
      </c>
      <c r="I2393" s="447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30" t="s">
        <v>88</v>
      </c>
      <c r="U2393" s="2" t="s">
        <v>2916</v>
      </c>
      <c r="V2393" s="150" t="s">
        <v>92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1559</v>
      </c>
      <c r="C2394" s="40">
        <v>344</v>
      </c>
      <c r="D2394" s="38" t="s">
        <v>1556</v>
      </c>
      <c r="E2394" s="4" t="s">
        <v>1010</v>
      </c>
      <c r="F2394" s="4" t="s">
        <v>5539</v>
      </c>
      <c r="G2394" s="382"/>
      <c r="H2394" s="457" t="s">
        <v>5608</v>
      </c>
      <c r="I2394" s="447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30" t="s">
        <v>88</v>
      </c>
      <c r="U2394" s="2" t="s">
        <v>2916</v>
      </c>
      <c r="V2394" s="150" t="s">
        <v>575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1571</v>
      </c>
      <c r="C2395" s="40">
        <v>2220</v>
      </c>
      <c r="D2395" s="38" t="s">
        <v>1568</v>
      </c>
      <c r="E2395" s="4" t="s">
        <v>300</v>
      </c>
      <c r="F2395" s="4" t="s">
        <v>5540</v>
      </c>
      <c r="G2395" s="382" t="s">
        <v>5605</v>
      </c>
      <c r="H2395" s="457" t="s">
        <v>5608</v>
      </c>
      <c r="I2395" s="447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30" t="s">
        <v>88</v>
      </c>
      <c r="U2395" s="2" t="s">
        <v>2916</v>
      </c>
      <c r="V2395" s="150" t="s">
        <v>92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1579</v>
      </c>
      <c r="C2396" s="40">
        <v>2205</v>
      </c>
      <c r="D2396" s="38" t="s">
        <v>1578</v>
      </c>
      <c r="E2396" s="4" t="s">
        <v>300</v>
      </c>
      <c r="F2396" s="4" t="s">
        <v>5541</v>
      </c>
      <c r="G2396" s="382" t="s">
        <v>5605</v>
      </c>
      <c r="H2396" s="457" t="s">
        <v>5608</v>
      </c>
      <c r="I2396" s="447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30" t="s">
        <v>88</v>
      </c>
      <c r="U2396" s="2" t="s">
        <v>2916</v>
      </c>
      <c r="V2396" s="150" t="s">
        <v>92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1704</v>
      </c>
      <c r="C2397" s="40">
        <v>2206</v>
      </c>
      <c r="D2397" s="38" t="s">
        <v>1703</v>
      </c>
      <c r="E2397" s="4" t="s">
        <v>300</v>
      </c>
      <c r="F2397" s="4" t="s">
        <v>5542</v>
      </c>
      <c r="G2397" s="382" t="s">
        <v>5605</v>
      </c>
      <c r="H2397" s="457" t="s">
        <v>5608</v>
      </c>
      <c r="I2397" s="447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30" t="s">
        <v>88</v>
      </c>
      <c r="U2397" s="2" t="s">
        <v>2916</v>
      </c>
      <c r="V2397" s="150" t="s">
        <v>92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1705</v>
      </c>
      <c r="C2398" s="40">
        <v>2229</v>
      </c>
      <c r="D2398" s="38" t="s">
        <v>1703</v>
      </c>
      <c r="E2398" s="4" t="s">
        <v>300</v>
      </c>
      <c r="F2398" s="4" t="s">
        <v>5543</v>
      </c>
      <c r="G2398" s="382" t="s">
        <v>5605</v>
      </c>
      <c r="H2398" s="457" t="s">
        <v>5608</v>
      </c>
      <c r="I2398" s="447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30" t="s">
        <v>88</v>
      </c>
      <c r="U2398" s="2" t="s">
        <v>2916</v>
      </c>
      <c r="V2398" s="150" t="s">
        <v>92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1622</v>
      </c>
      <c r="C2399" s="40">
        <v>1516</v>
      </c>
      <c r="D2399" s="38" t="s">
        <v>1618</v>
      </c>
      <c r="E2399" s="4" t="s">
        <v>457</v>
      </c>
      <c r="F2399" s="4" t="s">
        <v>5544</v>
      </c>
      <c r="G2399" s="382" t="s">
        <v>5605</v>
      </c>
      <c r="H2399" s="457" t="s">
        <v>5608</v>
      </c>
      <c r="I2399" s="447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30" t="s">
        <v>88</v>
      </c>
      <c r="U2399" s="2" t="s">
        <v>2916</v>
      </c>
      <c r="V2399" s="150" t="s">
        <v>92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1636</v>
      </c>
      <c r="C2400" s="40">
        <v>1709</v>
      </c>
      <c r="D2400" s="38" t="s">
        <v>1632</v>
      </c>
      <c r="E2400" s="4" t="s">
        <v>457</v>
      </c>
      <c r="F2400" s="4" t="s">
        <v>5545</v>
      </c>
      <c r="G2400" s="382" t="s">
        <v>5605</v>
      </c>
      <c r="H2400" s="457" t="s">
        <v>5608</v>
      </c>
      <c r="I2400" s="447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30" t="s">
        <v>88</v>
      </c>
      <c r="U2400" s="2" t="s">
        <v>2916</v>
      </c>
      <c r="V2400" s="150" t="s">
        <v>92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1651</v>
      </c>
      <c r="C2401" s="40">
        <v>571</v>
      </c>
      <c r="D2401" s="38" t="s">
        <v>1647</v>
      </c>
      <c r="E2401" s="4" t="s">
        <v>1010</v>
      </c>
      <c r="F2401" s="4" t="s">
        <v>5546</v>
      </c>
      <c r="G2401" s="382" t="s">
        <v>5605</v>
      </c>
      <c r="H2401" s="457" t="s">
        <v>5608</v>
      </c>
      <c r="I2401" s="447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30" t="s">
        <v>88</v>
      </c>
      <c r="U2401" s="2" t="s">
        <v>2916</v>
      </c>
      <c r="V2401" s="97" t="s">
        <v>2397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1712</v>
      </c>
      <c r="C2402" s="40">
        <v>2263</v>
      </c>
      <c r="D2402" s="38" t="s">
        <v>1703</v>
      </c>
      <c r="E2402" s="4" t="s">
        <v>300</v>
      </c>
      <c r="F2402" s="4" t="s">
        <v>5547</v>
      </c>
      <c r="G2402" s="382" t="s">
        <v>5605</v>
      </c>
      <c r="H2402" s="457" t="s">
        <v>5608</v>
      </c>
      <c r="I2402" s="447"/>
      <c r="J2402" s="43" t="s">
        <v>3134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30" t="s">
        <v>88</v>
      </c>
      <c r="U2402" s="2" t="s">
        <v>2916</v>
      </c>
      <c r="V2402" s="150" t="s">
        <v>92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1745</v>
      </c>
      <c r="C2403" s="40">
        <v>1514</v>
      </c>
      <c r="D2403" s="38" t="s">
        <v>1744</v>
      </c>
      <c r="E2403" s="4" t="s">
        <v>457</v>
      </c>
      <c r="F2403" s="4" t="s">
        <v>5548</v>
      </c>
      <c r="G2403" s="382" t="s">
        <v>5605</v>
      </c>
      <c r="H2403" s="457" t="s">
        <v>5608</v>
      </c>
      <c r="I2403" s="447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30" t="s">
        <v>88</v>
      </c>
      <c r="U2403" s="2" t="s">
        <v>2916</v>
      </c>
      <c r="V2403" s="150" t="s">
        <v>92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1747</v>
      </c>
      <c r="C2404" s="40">
        <v>1507</v>
      </c>
      <c r="D2404" s="38" t="s">
        <v>1746</v>
      </c>
      <c r="E2404" s="4" t="s">
        <v>457</v>
      </c>
      <c r="F2404" s="4" t="s">
        <v>5549</v>
      </c>
      <c r="G2404" s="382" t="s">
        <v>5605</v>
      </c>
      <c r="H2404" s="457" t="s">
        <v>5608</v>
      </c>
      <c r="I2404" s="447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30" t="s">
        <v>88</v>
      </c>
      <c r="U2404" s="2" t="s">
        <v>2916</v>
      </c>
      <c r="V2404" s="150" t="s">
        <v>92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1834</v>
      </c>
      <c r="C2405" s="40">
        <v>295</v>
      </c>
      <c r="D2405" s="38" t="s">
        <v>1833</v>
      </c>
      <c r="E2405" s="4" t="s">
        <v>1010</v>
      </c>
      <c r="F2405" s="4" t="s">
        <v>5550</v>
      </c>
      <c r="G2405" s="382" t="s">
        <v>5605</v>
      </c>
      <c r="H2405" s="457" t="s">
        <v>5608</v>
      </c>
      <c r="I2405" s="447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30" t="s">
        <v>88</v>
      </c>
      <c r="U2405" s="2" t="s">
        <v>2916</v>
      </c>
      <c r="V2405" s="150" t="s">
        <v>92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1835</v>
      </c>
      <c r="C2406" s="40">
        <v>309</v>
      </c>
      <c r="D2406" s="38" t="s">
        <v>1833</v>
      </c>
      <c r="E2406" s="4" t="s">
        <v>1010</v>
      </c>
      <c r="F2406" s="4" t="s">
        <v>5551</v>
      </c>
      <c r="G2406" s="382" t="s">
        <v>5605</v>
      </c>
      <c r="H2406" s="457" t="s">
        <v>5608</v>
      </c>
      <c r="I2406" s="447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30" t="s">
        <v>88</v>
      </c>
      <c r="U2406" s="2" t="s">
        <v>2916</v>
      </c>
      <c r="V2406" s="150" t="s">
        <v>92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1852</v>
      </c>
      <c r="C2407" s="40">
        <v>2095</v>
      </c>
      <c r="D2407" s="38" t="s">
        <v>1845</v>
      </c>
      <c r="E2407" s="4" t="s">
        <v>1010</v>
      </c>
      <c r="F2407" s="4" t="s">
        <v>5552</v>
      </c>
      <c r="G2407" s="382" t="s">
        <v>5605</v>
      </c>
      <c r="H2407" s="457" t="s">
        <v>5608</v>
      </c>
      <c r="I2407" s="447"/>
      <c r="J2407" s="43" t="s">
        <v>3135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30" t="s">
        <v>88</v>
      </c>
      <c r="U2407" s="2" t="s">
        <v>2916</v>
      </c>
      <c r="V2407" s="150" t="s">
        <v>92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1901</v>
      </c>
      <c r="C2408" s="40">
        <v>2214</v>
      </c>
      <c r="D2408" s="38" t="s">
        <v>1897</v>
      </c>
      <c r="E2408" s="4" t="s">
        <v>300</v>
      </c>
      <c r="F2408" s="4" t="s">
        <v>5553</v>
      </c>
      <c r="G2408" s="382" t="s">
        <v>5605</v>
      </c>
      <c r="H2408" s="457" t="s">
        <v>5608</v>
      </c>
      <c r="I2408" s="447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30" t="s">
        <v>88</v>
      </c>
      <c r="U2408" s="2" t="s">
        <v>2916</v>
      </c>
      <c r="V2408" s="150" t="s">
        <v>92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1963</v>
      </c>
      <c r="C2409" s="40">
        <v>1480</v>
      </c>
      <c r="D2409" s="38" t="s">
        <v>1962</v>
      </c>
      <c r="E2409" s="4" t="s">
        <v>457</v>
      </c>
      <c r="F2409" s="4" t="s">
        <v>5554</v>
      </c>
      <c r="G2409" s="382" t="s">
        <v>5605</v>
      </c>
      <c r="H2409" s="457" t="s">
        <v>5608</v>
      </c>
      <c r="I2409" s="447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331</v>
      </c>
      <c r="Q2409" s="396">
        <v>33.9</v>
      </c>
      <c r="R2409" s="396">
        <v>288</v>
      </c>
      <c r="S2409" s="396">
        <v>135</v>
      </c>
      <c r="T2409" s="30" t="s">
        <v>88</v>
      </c>
      <c r="U2409" s="2" t="s">
        <v>2916</v>
      </c>
      <c r="V2409" s="150" t="s">
        <v>92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1991</v>
      </c>
      <c r="C2410" s="40">
        <v>243</v>
      </c>
      <c r="D2410" s="38" t="s">
        <v>1989</v>
      </c>
      <c r="E2410" s="4" t="s">
        <v>1010</v>
      </c>
      <c r="F2410" s="4" t="s">
        <v>5555</v>
      </c>
      <c r="G2410" s="382" t="s">
        <v>5605</v>
      </c>
      <c r="H2410" s="457" t="s">
        <v>5608</v>
      </c>
      <c r="I2410" s="447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30" t="s">
        <v>88</v>
      </c>
      <c r="U2410" s="2" t="s">
        <v>2916</v>
      </c>
      <c r="V2410" s="150" t="s">
        <v>92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1994</v>
      </c>
      <c r="C2411" s="40">
        <v>457</v>
      </c>
      <c r="D2411" s="38" t="s">
        <v>5896</v>
      </c>
      <c r="E2411" s="4" t="s">
        <v>1010</v>
      </c>
      <c r="F2411" s="4" t="s">
        <v>5556</v>
      </c>
      <c r="G2411" s="382" t="s">
        <v>5605</v>
      </c>
      <c r="H2411" s="457" t="s">
        <v>5608</v>
      </c>
      <c r="I2411" s="447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30" t="s">
        <v>88</v>
      </c>
      <c r="U2411" s="2" t="s">
        <v>2916</v>
      </c>
      <c r="V2411" s="150" t="s">
        <v>92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2001</v>
      </c>
      <c r="C2412" s="40">
        <v>274</v>
      </c>
      <c r="D2412" s="38" t="s">
        <v>2000</v>
      </c>
      <c r="E2412" s="4" t="s">
        <v>1010</v>
      </c>
      <c r="F2412" s="4" t="s">
        <v>5557</v>
      </c>
      <c r="G2412" s="382" t="s">
        <v>5605</v>
      </c>
      <c r="H2412" s="457" t="s">
        <v>5608</v>
      </c>
      <c r="I2412" s="447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30" t="s">
        <v>88</v>
      </c>
      <c r="U2412" s="2" t="s">
        <v>2916</v>
      </c>
      <c r="V2412" s="150" t="s">
        <v>92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2038</v>
      </c>
      <c r="C2413" s="40">
        <v>2089</v>
      </c>
      <c r="D2413" s="38" t="s">
        <v>1862</v>
      </c>
      <c r="E2413" s="4" t="s">
        <v>1010</v>
      </c>
      <c r="F2413" s="4" t="s">
        <v>5558</v>
      </c>
      <c r="G2413" s="382" t="s">
        <v>5605</v>
      </c>
      <c r="H2413" s="457" t="s">
        <v>5608</v>
      </c>
      <c r="I2413" s="447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30" t="s">
        <v>88</v>
      </c>
      <c r="U2413" s="2" t="s">
        <v>2916</v>
      </c>
      <c r="V2413" s="150" t="s">
        <v>92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2039</v>
      </c>
      <c r="C2414" s="40">
        <v>2090</v>
      </c>
      <c r="D2414" s="38" t="s">
        <v>1876</v>
      </c>
      <c r="E2414" s="4" t="s">
        <v>1010</v>
      </c>
      <c r="F2414" s="4" t="s">
        <v>5559</v>
      </c>
      <c r="G2414" s="382" t="s">
        <v>5605</v>
      </c>
      <c r="H2414" s="457" t="s">
        <v>5608</v>
      </c>
      <c r="I2414" s="447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30" t="s">
        <v>88</v>
      </c>
      <c r="U2414" s="2" t="s">
        <v>2916</v>
      </c>
      <c r="V2414" s="150" t="s">
        <v>92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2053</v>
      </c>
      <c r="C2415" s="40">
        <v>2215</v>
      </c>
      <c r="D2415" s="38" t="s">
        <v>3136</v>
      </c>
      <c r="E2415" s="4" t="s">
        <v>300</v>
      </c>
      <c r="F2415" s="4" t="s">
        <v>5560</v>
      </c>
      <c r="G2415" s="382" t="s">
        <v>5605</v>
      </c>
      <c r="H2415" s="457" t="s">
        <v>5608</v>
      </c>
      <c r="I2415" s="447"/>
      <c r="J2415" s="43" t="s">
        <v>3137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30" t="s">
        <v>88</v>
      </c>
      <c r="U2415" s="2" t="s">
        <v>2916</v>
      </c>
      <c r="V2415" s="150" t="s">
        <v>92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2111</v>
      </c>
      <c r="C2416" s="40">
        <v>1771</v>
      </c>
      <c r="D2416" s="38" t="s">
        <v>2100</v>
      </c>
      <c r="E2416" s="4" t="s">
        <v>457</v>
      </c>
      <c r="F2416" s="4" t="s">
        <v>5561</v>
      </c>
      <c r="G2416" s="382" t="s">
        <v>5605</v>
      </c>
      <c r="H2416" s="457" t="s">
        <v>5608</v>
      </c>
      <c r="I2416" s="447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30" t="s">
        <v>88</v>
      </c>
      <c r="U2416" s="2" t="s">
        <v>2916</v>
      </c>
      <c r="V2416" s="150" t="s">
        <v>92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2163</v>
      </c>
      <c r="C2417" s="40">
        <v>273</v>
      </c>
      <c r="D2417" s="38" t="s">
        <v>3138</v>
      </c>
      <c r="E2417" s="4" t="s">
        <v>1010</v>
      </c>
      <c r="F2417" s="4" t="s">
        <v>5562</v>
      </c>
      <c r="G2417" s="382" t="s">
        <v>5605</v>
      </c>
      <c r="H2417" s="457" t="s">
        <v>5608</v>
      </c>
      <c r="I2417" s="447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30" t="s">
        <v>88</v>
      </c>
      <c r="U2417" s="2" t="s">
        <v>2916</v>
      </c>
      <c r="V2417" s="150" t="s">
        <v>92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2226</v>
      </c>
      <c r="C2418" s="40">
        <v>2423</v>
      </c>
      <c r="D2418" s="38" t="s">
        <v>2225</v>
      </c>
      <c r="E2418" s="4" t="s">
        <v>1010</v>
      </c>
      <c r="F2418" s="4" t="s">
        <v>5563</v>
      </c>
      <c r="G2418" s="382" t="s">
        <v>5605</v>
      </c>
      <c r="H2418" s="457" t="s">
        <v>5608</v>
      </c>
      <c r="I2418" s="447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30" t="s">
        <v>88</v>
      </c>
      <c r="U2418" s="2" t="s">
        <v>2916</v>
      </c>
      <c r="V2418" s="150" t="s">
        <v>92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2228</v>
      </c>
      <c r="C2419" s="40">
        <v>659</v>
      </c>
      <c r="D2419" s="38" t="s">
        <v>2227</v>
      </c>
      <c r="E2419" s="4" t="s">
        <v>300</v>
      </c>
      <c r="F2419" s="4" t="s">
        <v>5564</v>
      </c>
      <c r="G2419" s="382" t="s">
        <v>5605</v>
      </c>
      <c r="H2419" s="457" t="s">
        <v>5608</v>
      </c>
      <c r="I2419" s="447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30" t="s">
        <v>88</v>
      </c>
      <c r="U2419" s="2" t="s">
        <v>2916</v>
      </c>
      <c r="V2419" s="150" t="s">
        <v>92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2235</v>
      </c>
      <c r="C2420" s="40">
        <v>696</v>
      </c>
      <c r="D2420" s="38" t="s">
        <v>2234</v>
      </c>
      <c r="E2420" s="4" t="s">
        <v>300</v>
      </c>
      <c r="F2420" s="4" t="s">
        <v>5565</v>
      </c>
      <c r="G2420" s="382" t="s">
        <v>5605</v>
      </c>
      <c r="H2420" s="457" t="s">
        <v>5608</v>
      </c>
      <c r="I2420" s="447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30" t="s">
        <v>88</v>
      </c>
      <c r="U2420" s="2" t="s">
        <v>2916</v>
      </c>
      <c r="V2420" s="150" t="s">
        <v>92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2323</v>
      </c>
      <c r="C2421" s="40">
        <v>419</v>
      </c>
      <c r="D2421" s="38" t="s">
        <v>2318</v>
      </c>
      <c r="E2421" s="4" t="s">
        <v>1010</v>
      </c>
      <c r="F2421" s="4" t="s">
        <v>5566</v>
      </c>
      <c r="G2421" s="382" t="s">
        <v>5605</v>
      </c>
      <c r="H2421" s="457" t="s">
        <v>5608</v>
      </c>
      <c r="I2421" s="447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30" t="s">
        <v>88</v>
      </c>
      <c r="U2421" s="2" t="s">
        <v>2916</v>
      </c>
      <c r="V2421" s="150" t="s">
        <v>92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2330</v>
      </c>
      <c r="C2422" s="40">
        <v>2052</v>
      </c>
      <c r="D2422" s="38" t="s">
        <v>3118</v>
      </c>
      <c r="E2422" s="4" t="s">
        <v>1010</v>
      </c>
      <c r="F2422" s="4" t="s">
        <v>5567</v>
      </c>
      <c r="G2422" s="382" t="s">
        <v>5605</v>
      </c>
      <c r="H2422" s="457" t="s">
        <v>5608</v>
      </c>
      <c r="I2422" s="447"/>
      <c r="J2422" s="43" t="s">
        <v>3139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30" t="s">
        <v>88</v>
      </c>
      <c r="U2422" s="2" t="s">
        <v>2916</v>
      </c>
      <c r="V2422" s="150" t="s">
        <v>92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2326</v>
      </c>
      <c r="C2423" s="40">
        <v>213</v>
      </c>
      <c r="D2423" s="38" t="s">
        <v>2325</v>
      </c>
      <c r="E2423" s="4" t="s">
        <v>1010</v>
      </c>
      <c r="F2423" s="4" t="s">
        <v>5568</v>
      </c>
      <c r="G2423" s="382" t="s">
        <v>5605</v>
      </c>
      <c r="H2423" s="457" t="s">
        <v>5608</v>
      </c>
      <c r="I2423" s="447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30" t="s">
        <v>88</v>
      </c>
      <c r="U2423" s="2" t="s">
        <v>2916</v>
      </c>
      <c r="V2423" s="150" t="s">
        <v>92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2335</v>
      </c>
      <c r="C2424" s="40">
        <v>212</v>
      </c>
      <c r="D2424" s="38" t="s">
        <v>2334</v>
      </c>
      <c r="E2424" s="4" t="s">
        <v>1010</v>
      </c>
      <c r="F2424" s="4" t="s">
        <v>5569</v>
      </c>
      <c r="G2424" s="382" t="s">
        <v>5605</v>
      </c>
      <c r="H2424" s="457" t="s">
        <v>5608</v>
      </c>
      <c r="I2424" s="447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30" t="s">
        <v>88</v>
      </c>
      <c r="U2424" s="2" t="s">
        <v>2916</v>
      </c>
      <c r="V2424" s="150" t="s">
        <v>92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2350</v>
      </c>
      <c r="C2425" s="40">
        <v>666</v>
      </c>
      <c r="D2425" s="38" t="s">
        <v>2349</v>
      </c>
      <c r="E2425" s="4" t="s">
        <v>300</v>
      </c>
      <c r="F2425" s="4" t="s">
        <v>5570</v>
      </c>
      <c r="G2425" s="382" t="s">
        <v>5605</v>
      </c>
      <c r="H2425" s="457" t="s">
        <v>5608</v>
      </c>
      <c r="I2425" s="447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30" t="s">
        <v>88</v>
      </c>
      <c r="U2425" s="2" t="s">
        <v>2916</v>
      </c>
      <c r="V2425" s="150" t="s">
        <v>92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2353</v>
      </c>
      <c r="C2426" s="40">
        <v>664</v>
      </c>
      <c r="D2426" s="38" t="s">
        <v>2351</v>
      </c>
      <c r="E2426" s="4" t="s">
        <v>300</v>
      </c>
      <c r="F2426" s="4" t="s">
        <v>5571</v>
      </c>
      <c r="G2426" s="382" t="s">
        <v>5605</v>
      </c>
      <c r="H2426" s="457" t="s">
        <v>5608</v>
      </c>
      <c r="I2426" s="447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30" t="s">
        <v>88</v>
      </c>
      <c r="U2426" s="2" t="s">
        <v>2916</v>
      </c>
      <c r="V2426" s="150" t="s">
        <v>92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2420</v>
      </c>
      <c r="C2427" s="40">
        <v>204</v>
      </c>
      <c r="D2427" s="38" t="s">
        <v>1548</v>
      </c>
      <c r="E2427" s="4" t="s">
        <v>1010</v>
      </c>
      <c r="F2427" s="4" t="s">
        <v>5572</v>
      </c>
      <c r="G2427" s="382" t="s">
        <v>5605</v>
      </c>
      <c r="H2427" s="457" t="s">
        <v>5608</v>
      </c>
      <c r="I2427" s="447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30" t="s">
        <v>88</v>
      </c>
      <c r="U2427" s="2" t="s">
        <v>2916</v>
      </c>
      <c r="V2427" s="150" t="s">
        <v>92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2465</v>
      </c>
      <c r="C2428" s="40">
        <v>409</v>
      </c>
      <c r="D2428" s="38" t="s">
        <v>2455</v>
      </c>
      <c r="E2428" s="4" t="s">
        <v>1010</v>
      </c>
      <c r="F2428" s="4" t="s">
        <v>5573</v>
      </c>
      <c r="G2428" s="382" t="s">
        <v>5605</v>
      </c>
      <c r="H2428" s="457" t="s">
        <v>5608</v>
      </c>
      <c r="I2428" s="447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30" t="s">
        <v>88</v>
      </c>
      <c r="U2428" s="2" t="s">
        <v>2916</v>
      </c>
      <c r="V2428" s="150" t="s">
        <v>92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2475</v>
      </c>
      <c r="C2429" s="40">
        <v>188</v>
      </c>
      <c r="D2429" s="38" t="s">
        <v>3128</v>
      </c>
      <c r="E2429" s="4" t="s">
        <v>1010</v>
      </c>
      <c r="F2429" s="4" t="s">
        <v>5574</v>
      </c>
      <c r="G2429" s="382" t="s">
        <v>5605</v>
      </c>
      <c r="H2429" s="457" t="s">
        <v>5608</v>
      </c>
      <c r="I2429" s="447"/>
      <c r="J2429" s="43" t="s">
        <v>3140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30" t="s">
        <v>88</v>
      </c>
      <c r="U2429" s="2" t="s">
        <v>2916</v>
      </c>
      <c r="V2429" s="150" t="s">
        <v>92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2476</v>
      </c>
      <c r="C2430" s="40">
        <v>189</v>
      </c>
      <c r="D2430" s="38" t="s">
        <v>2325</v>
      </c>
      <c r="E2430" s="4" t="s">
        <v>1010</v>
      </c>
      <c r="F2430" s="4" t="s">
        <v>5575</v>
      </c>
      <c r="G2430" s="382" t="s">
        <v>5605</v>
      </c>
      <c r="H2430" s="457" t="s">
        <v>5608</v>
      </c>
      <c r="I2430" s="447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30" t="s">
        <v>88</v>
      </c>
      <c r="U2430" s="2" t="s">
        <v>2916</v>
      </c>
      <c r="V2430" s="150" t="s">
        <v>92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2538</v>
      </c>
      <c r="C2431" s="40">
        <v>1588</v>
      </c>
      <c r="D2431" s="38" t="s">
        <v>2537</v>
      </c>
      <c r="E2431" s="4" t="s">
        <v>457</v>
      </c>
      <c r="F2431" s="4" t="s">
        <v>5576</v>
      </c>
      <c r="G2431" s="382" t="s">
        <v>5605</v>
      </c>
      <c r="H2431" s="457" t="s">
        <v>5608</v>
      </c>
      <c r="I2431" s="447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30" t="s">
        <v>88</v>
      </c>
      <c r="U2431" s="2" t="s">
        <v>2916</v>
      </c>
      <c r="V2431" s="150" t="s">
        <v>92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2592</v>
      </c>
      <c r="C2432" s="40">
        <v>2022</v>
      </c>
      <c r="D2432" s="38" t="s">
        <v>2590</v>
      </c>
      <c r="E2432" s="4" t="s">
        <v>1010</v>
      </c>
      <c r="F2432" s="4" t="s">
        <v>5577</v>
      </c>
      <c r="G2432" s="382" t="s">
        <v>5605</v>
      </c>
      <c r="H2432" s="457" t="s">
        <v>5608</v>
      </c>
      <c r="I2432" s="447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30" t="s">
        <v>88</v>
      </c>
      <c r="U2432" s="2" t="s">
        <v>2916</v>
      </c>
      <c r="V2432" s="150" t="s">
        <v>92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2616</v>
      </c>
      <c r="C2433" s="40">
        <v>1554</v>
      </c>
      <c r="D2433" s="38" t="s">
        <v>3141</v>
      </c>
      <c r="E2433" s="4" t="s">
        <v>457</v>
      </c>
      <c r="F2433" s="4" t="s">
        <v>5578</v>
      </c>
      <c r="G2433" s="382" t="s">
        <v>5605</v>
      </c>
      <c r="H2433" s="457" t="s">
        <v>5608</v>
      </c>
      <c r="I2433" s="447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30" t="s">
        <v>88</v>
      </c>
      <c r="U2433" s="2" t="s">
        <v>2916</v>
      </c>
      <c r="V2433" s="150" t="s">
        <v>92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2719</v>
      </c>
      <c r="C2434" s="40">
        <v>2004</v>
      </c>
      <c r="D2434" s="38" t="s">
        <v>2717</v>
      </c>
      <c r="E2434" s="4" t="s">
        <v>1010</v>
      </c>
      <c r="F2434" s="4" t="s">
        <v>5579</v>
      </c>
      <c r="G2434" s="382" t="s">
        <v>5605</v>
      </c>
      <c r="H2434" s="457" t="s">
        <v>5608</v>
      </c>
      <c r="I2434" s="447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172</v>
      </c>
      <c r="Q2434" s="396">
        <v>24.5</v>
      </c>
      <c r="R2434" s="396">
        <v>305</v>
      </c>
      <c r="S2434" s="396">
        <v>50.3</v>
      </c>
      <c r="T2434" s="30" t="s">
        <v>88</v>
      </c>
      <c r="U2434" s="2" t="s">
        <v>2916</v>
      </c>
      <c r="V2434" s="150" t="s">
        <v>92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2741</v>
      </c>
      <c r="C2435" s="40">
        <v>152</v>
      </c>
      <c r="D2435" s="38" t="s">
        <v>2740</v>
      </c>
      <c r="E2435" s="4" t="s">
        <v>1010</v>
      </c>
      <c r="F2435" s="4" t="s">
        <v>5580</v>
      </c>
      <c r="G2435" s="382" t="s">
        <v>5605</v>
      </c>
      <c r="H2435" s="457" t="s">
        <v>5608</v>
      </c>
      <c r="I2435" s="447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566</v>
      </c>
      <c r="Q2435" s="396">
        <v>29.7</v>
      </c>
      <c r="R2435" s="396">
        <v>351</v>
      </c>
      <c r="S2435" s="396">
        <v>159</v>
      </c>
      <c r="T2435" s="30" t="s">
        <v>88</v>
      </c>
      <c r="U2435" s="2" t="s">
        <v>382</v>
      </c>
      <c r="V2435" s="150" t="s">
        <v>92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2786</v>
      </c>
      <c r="C2436" s="40">
        <v>1950</v>
      </c>
      <c r="D2436" s="38" t="s">
        <v>2785</v>
      </c>
      <c r="E2436" s="4" t="s">
        <v>1010</v>
      </c>
      <c r="F2436" s="4" t="s">
        <v>5581</v>
      </c>
      <c r="G2436" s="382" t="s">
        <v>5605</v>
      </c>
      <c r="H2436" s="457" t="s">
        <v>5608</v>
      </c>
      <c r="I2436" s="447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30" t="s">
        <v>88</v>
      </c>
      <c r="U2436" s="2" t="s">
        <v>2916</v>
      </c>
      <c r="V2436" s="150" t="s">
        <v>92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2822</v>
      </c>
      <c r="C2437" s="40">
        <v>656</v>
      </c>
      <c r="D2437" s="38" t="s">
        <v>3142</v>
      </c>
      <c r="E2437" s="4" t="s">
        <v>1010</v>
      </c>
      <c r="F2437" s="4" t="s">
        <v>5582</v>
      </c>
      <c r="G2437" s="382" t="s">
        <v>5605</v>
      </c>
      <c r="H2437" s="457" t="s">
        <v>5608</v>
      </c>
      <c r="I2437" s="447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30" t="s">
        <v>88</v>
      </c>
      <c r="U2437" s="2" t="s">
        <v>2916</v>
      </c>
      <c r="V2437" s="150" t="s">
        <v>92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2824</v>
      </c>
      <c r="C2438" s="40">
        <v>1058</v>
      </c>
      <c r="D2438" s="38" t="s">
        <v>3133</v>
      </c>
      <c r="E2438" s="4" t="s">
        <v>1010</v>
      </c>
      <c r="F2438" s="4" t="s">
        <v>5583</v>
      </c>
      <c r="G2438" s="382" t="s">
        <v>5605</v>
      </c>
      <c r="H2438" s="457" t="s">
        <v>5608</v>
      </c>
      <c r="I2438" s="447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30" t="s">
        <v>88</v>
      </c>
      <c r="U2438" s="2" t="s">
        <v>2916</v>
      </c>
      <c r="V2438" s="150" t="s">
        <v>92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2826</v>
      </c>
      <c r="C2439" s="40">
        <v>1057</v>
      </c>
      <c r="D2439" s="38" t="s">
        <v>2825</v>
      </c>
      <c r="E2439" s="4" t="s">
        <v>1010</v>
      </c>
      <c r="F2439" s="4" t="s">
        <v>5584</v>
      </c>
      <c r="G2439" s="382" t="s">
        <v>5605</v>
      </c>
      <c r="H2439" s="150" t="s">
        <v>5608</v>
      </c>
      <c r="I2439" s="447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30" t="s">
        <v>88</v>
      </c>
      <c r="U2439" s="2" t="s">
        <v>2916</v>
      </c>
      <c r="V2439" s="150" t="s">
        <v>92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2828</v>
      </c>
      <c r="C2440" s="40">
        <v>1208</v>
      </c>
      <c r="D2440" s="38" t="s">
        <v>2827</v>
      </c>
      <c r="E2440" s="4" t="s">
        <v>1010</v>
      </c>
      <c r="F2440" s="4" t="s">
        <v>5585</v>
      </c>
      <c r="G2440" s="382" t="s">
        <v>5605</v>
      </c>
      <c r="H2440" s="150" t="s">
        <v>5608</v>
      </c>
      <c r="I2440" s="447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219</v>
      </c>
      <c r="Q2440" s="396">
        <v>32.5</v>
      </c>
      <c r="R2440" s="396">
        <v>267</v>
      </c>
      <c r="S2440" s="396">
        <v>170</v>
      </c>
      <c r="T2440" s="30" t="s">
        <v>88</v>
      </c>
      <c r="U2440" s="59" t="s">
        <v>2916</v>
      </c>
      <c r="V2440" s="150" t="s">
        <v>92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477</v>
      </c>
      <c r="C2441" s="38">
        <v>976</v>
      </c>
      <c r="D2441" s="38" t="s">
        <v>473</v>
      </c>
      <c r="E2441" s="4" t="s">
        <v>300</v>
      </c>
      <c r="F2441" s="4" t="s">
        <v>5586</v>
      </c>
      <c r="G2441" s="382" t="s">
        <v>5605</v>
      </c>
      <c r="H2441" s="150" t="s">
        <v>5608</v>
      </c>
      <c r="I2441" s="447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30" t="s">
        <v>88</v>
      </c>
      <c r="U2441" s="59" t="s">
        <v>2916</v>
      </c>
      <c r="V2441" s="150" t="s">
        <v>92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2916</v>
      </c>
      <c r="AK2441" s="194"/>
    </row>
    <row r="2442" spans="1:37" ht="14.4" thickBot="1" x14ac:dyDescent="0.35">
      <c r="A2442" s="15">
        <v>2441</v>
      </c>
      <c r="B2442" s="40" t="s">
        <v>578</v>
      </c>
      <c r="C2442" s="40">
        <v>1868</v>
      </c>
      <c r="D2442" s="38" t="s">
        <v>574</v>
      </c>
      <c r="E2442" s="4" t="s">
        <v>300</v>
      </c>
      <c r="F2442" s="4" t="s">
        <v>5587</v>
      </c>
      <c r="G2442" s="382" t="s">
        <v>5605</v>
      </c>
      <c r="H2442" s="150" t="s">
        <v>5608</v>
      </c>
      <c r="I2442" s="447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30" t="s">
        <v>88</v>
      </c>
      <c r="U2442" s="59" t="s">
        <v>88</v>
      </c>
      <c r="V2442" s="2" t="s">
        <v>575</v>
      </c>
      <c r="W2442" s="41">
        <v>113</v>
      </c>
      <c r="X2442" s="4"/>
      <c r="Y2442" s="392"/>
      <c r="Z2442" s="4"/>
      <c r="AA2442" s="4"/>
      <c r="AB2442" s="4"/>
      <c r="AC2442" s="40" t="s">
        <v>2898</v>
      </c>
      <c r="AD2442" s="4"/>
      <c r="AE2442" s="4"/>
      <c r="AF2442" s="4"/>
      <c r="AG2442" s="4"/>
      <c r="AH2442" s="4"/>
      <c r="AI2442" s="4"/>
      <c r="AJ2442" s="194" t="s">
        <v>2916</v>
      </c>
      <c r="AK2442" s="194"/>
    </row>
    <row r="2443" spans="1:37" ht="14.4" thickBot="1" x14ac:dyDescent="0.35">
      <c r="A2443" s="15">
        <v>2442</v>
      </c>
      <c r="B2443" s="40" t="s">
        <v>849</v>
      </c>
      <c r="C2443" s="40">
        <v>2138</v>
      </c>
      <c r="D2443" s="38" t="s">
        <v>846</v>
      </c>
      <c r="E2443" s="40" t="s">
        <v>2915</v>
      </c>
      <c r="F2443" s="40" t="s">
        <v>5588</v>
      </c>
      <c r="G2443" s="382" t="s">
        <v>5605</v>
      </c>
      <c r="H2443" s="150" t="s">
        <v>5608</v>
      </c>
      <c r="I2443" s="447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30" t="s">
        <v>88</v>
      </c>
      <c r="U2443" s="2" t="s">
        <v>88</v>
      </c>
      <c r="V2443" s="451" t="s">
        <v>575</v>
      </c>
      <c r="W2443" s="39">
        <v>113</v>
      </c>
      <c r="X2443" s="40" t="s">
        <v>2939</v>
      </c>
      <c r="Y2443" s="40" t="s">
        <v>2939</v>
      </c>
      <c r="Z2443" s="40"/>
      <c r="AA2443" s="40"/>
      <c r="AB2443" s="40"/>
      <c r="AC2443" s="40"/>
      <c r="AD2443" s="40"/>
      <c r="AE2443" s="40" t="s">
        <v>2939</v>
      </c>
      <c r="AF2443" s="40"/>
      <c r="AG2443" s="40"/>
      <c r="AH2443" s="40"/>
      <c r="AI2443" s="40"/>
      <c r="AJ2443" s="194" t="s">
        <v>2916</v>
      </c>
      <c r="AK2443" s="194"/>
    </row>
    <row r="2444" spans="1:37" ht="14.4" thickBot="1" x14ac:dyDescent="0.35">
      <c r="A2444" s="15">
        <v>2443</v>
      </c>
      <c r="B2444" s="75" t="s">
        <v>1146</v>
      </c>
      <c r="C2444" s="75">
        <v>612</v>
      </c>
      <c r="D2444" s="67" t="s">
        <v>2973</v>
      </c>
      <c r="E2444" s="75" t="s">
        <v>2963</v>
      </c>
      <c r="F2444" s="75" t="s">
        <v>5589</v>
      </c>
      <c r="G2444" s="382" t="s">
        <v>5605</v>
      </c>
      <c r="H2444" s="150" t="s">
        <v>5608</v>
      </c>
      <c r="I2444" s="447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163</v>
      </c>
      <c r="Q2444" s="43">
        <v>32.5</v>
      </c>
      <c r="R2444" s="43">
        <v>533</v>
      </c>
      <c r="S2444" s="43">
        <v>103</v>
      </c>
      <c r="T2444" s="30" t="s">
        <v>88</v>
      </c>
      <c r="U2444" s="2" t="s">
        <v>88</v>
      </c>
      <c r="V2444" s="150" t="s">
        <v>92</v>
      </c>
      <c r="W2444" s="39">
        <v>113</v>
      </c>
      <c r="X2444" s="40"/>
      <c r="Y2444" s="40"/>
      <c r="Z2444" s="40"/>
      <c r="AA2444" s="40" t="s">
        <v>2939</v>
      </c>
      <c r="AB2444" s="40"/>
      <c r="AC2444" s="40"/>
      <c r="AD2444" s="40"/>
      <c r="AE2444" s="40" t="s">
        <v>2939</v>
      </c>
      <c r="AF2444" s="40"/>
      <c r="AG2444" s="40"/>
      <c r="AH2444" s="40"/>
      <c r="AI2444" s="40"/>
      <c r="AJ2444" s="194" t="s">
        <v>2916</v>
      </c>
      <c r="AK2444" s="443"/>
    </row>
    <row r="2445" spans="1:37" ht="14.4" thickBot="1" x14ac:dyDescent="0.35">
      <c r="A2445" s="15">
        <v>2444</v>
      </c>
      <c r="B2445" s="40" t="s">
        <v>1149</v>
      </c>
      <c r="C2445" s="40">
        <v>618</v>
      </c>
      <c r="D2445" s="38" t="s">
        <v>1143</v>
      </c>
      <c r="E2445" s="40" t="s">
        <v>2963</v>
      </c>
      <c r="F2445" s="40" t="s">
        <v>5590</v>
      </c>
      <c r="G2445" s="382" t="s">
        <v>5605</v>
      </c>
      <c r="H2445" s="150" t="s">
        <v>5608</v>
      </c>
      <c r="I2445" s="447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209</v>
      </c>
      <c r="Q2445" s="43">
        <v>36.799999999999997</v>
      </c>
      <c r="R2445" s="43">
        <v>367</v>
      </c>
      <c r="S2445" s="43">
        <v>59</v>
      </c>
      <c r="T2445" s="30" t="s">
        <v>88</v>
      </c>
      <c r="U2445" s="2" t="s">
        <v>88</v>
      </c>
      <c r="V2445" s="150" t="s">
        <v>92</v>
      </c>
      <c r="W2445" s="39">
        <v>113</v>
      </c>
      <c r="X2445" s="40"/>
      <c r="Y2445" s="40"/>
      <c r="Z2445" s="40"/>
      <c r="AA2445" s="40" t="s">
        <v>2939</v>
      </c>
      <c r="AB2445" s="40"/>
      <c r="AC2445" s="40"/>
      <c r="AD2445" s="40"/>
      <c r="AE2445" s="40"/>
      <c r="AF2445" s="40" t="s">
        <v>2939</v>
      </c>
      <c r="AG2445" s="40"/>
      <c r="AH2445" s="40"/>
      <c r="AI2445" s="40"/>
      <c r="AJ2445" s="194" t="s">
        <v>2916</v>
      </c>
      <c r="AK2445" s="443"/>
    </row>
    <row r="2446" spans="1:37" ht="14.4" thickBot="1" x14ac:dyDescent="0.35">
      <c r="A2446" s="15">
        <v>2445</v>
      </c>
      <c r="B2446" s="40" t="s">
        <v>1329</v>
      </c>
      <c r="C2446" s="40">
        <v>1229</v>
      </c>
      <c r="D2446" s="38" t="s">
        <v>1327</v>
      </c>
      <c r="E2446" s="4" t="s">
        <v>457</v>
      </c>
      <c r="F2446" s="4" t="s">
        <v>5591</v>
      </c>
      <c r="G2446" s="382" t="s">
        <v>5605</v>
      </c>
      <c r="H2446" s="150" t="s">
        <v>5608</v>
      </c>
      <c r="I2446" s="447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30" t="s">
        <v>88</v>
      </c>
      <c r="U2446" s="2" t="s">
        <v>88</v>
      </c>
      <c r="V2446" s="150" t="s">
        <v>92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88</v>
      </c>
      <c r="AK2446" s="393"/>
    </row>
    <row r="2447" spans="1:37" ht="28.2" thickBot="1" x14ac:dyDescent="0.35">
      <c r="A2447" s="15">
        <v>2446</v>
      </c>
      <c r="B2447" s="40" t="s">
        <v>1451</v>
      </c>
      <c r="C2447" s="40">
        <v>1042</v>
      </c>
      <c r="D2447" s="38" t="s">
        <v>1444</v>
      </c>
      <c r="E2447" s="4" t="s">
        <v>300</v>
      </c>
      <c r="F2447" s="4" t="s">
        <v>5592</v>
      </c>
      <c r="G2447" s="382" t="s">
        <v>5605</v>
      </c>
      <c r="H2447" s="150" t="s">
        <v>5608</v>
      </c>
      <c r="I2447" s="447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30" t="s">
        <v>88</v>
      </c>
      <c r="U2447" s="2" t="s">
        <v>88</v>
      </c>
      <c r="V2447" s="150" t="s">
        <v>92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88</v>
      </c>
      <c r="AK2447" s="393"/>
    </row>
    <row r="2448" spans="1:37" ht="28.2" thickBot="1" x14ac:dyDescent="0.35">
      <c r="A2448" s="15">
        <v>2447</v>
      </c>
      <c r="B2448" s="40" t="s">
        <v>1449</v>
      </c>
      <c r="C2448" s="40">
        <v>1036</v>
      </c>
      <c r="D2448" s="38" t="s">
        <v>1448</v>
      </c>
      <c r="E2448" s="4" t="s">
        <v>300</v>
      </c>
      <c r="F2448" s="4" t="s">
        <v>5593</v>
      </c>
      <c r="G2448" s="382" t="s">
        <v>5605</v>
      </c>
      <c r="H2448" s="150" t="s">
        <v>5608</v>
      </c>
      <c r="I2448" s="447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30" t="s">
        <v>88</v>
      </c>
      <c r="U2448" s="2" t="s">
        <v>88</v>
      </c>
      <c r="V2448" s="150" t="s">
        <v>92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88</v>
      </c>
      <c r="AK2448" s="393"/>
    </row>
    <row r="2449" spans="1:37" ht="14.4" thickBot="1" x14ac:dyDescent="0.35">
      <c r="A2449" s="15">
        <v>2448</v>
      </c>
      <c r="B2449" s="40" t="s">
        <v>1534</v>
      </c>
      <c r="C2449" s="40">
        <v>348</v>
      </c>
      <c r="D2449" s="38" t="s">
        <v>3143</v>
      </c>
      <c r="E2449" s="40" t="s">
        <v>2963</v>
      </c>
      <c r="F2449" s="40" t="s">
        <v>5594</v>
      </c>
      <c r="G2449" s="382" t="s">
        <v>5605</v>
      </c>
      <c r="H2449" s="150" t="s">
        <v>5608</v>
      </c>
      <c r="I2449" s="447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30" t="s">
        <v>88</v>
      </c>
      <c r="U2449" s="2" t="s">
        <v>88</v>
      </c>
      <c r="V2449" s="150" t="s">
        <v>92</v>
      </c>
      <c r="W2449" s="39">
        <v>113</v>
      </c>
      <c r="X2449" s="40"/>
      <c r="Y2449" s="40"/>
      <c r="Z2449" s="40" t="s">
        <v>2939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88</v>
      </c>
      <c r="AK2449" s="393"/>
    </row>
    <row r="2450" spans="1:37" ht="14.4" thickBot="1" x14ac:dyDescent="0.35">
      <c r="A2450" s="15">
        <v>2449</v>
      </c>
      <c r="B2450" s="29" t="s">
        <v>1542</v>
      </c>
      <c r="C2450" s="29">
        <v>297</v>
      </c>
      <c r="D2450" s="27" t="s">
        <v>1541</v>
      </c>
      <c r="E2450" s="29" t="s">
        <v>2963</v>
      </c>
      <c r="F2450" s="29" t="s">
        <v>5595</v>
      </c>
      <c r="G2450" s="382" t="s">
        <v>5605</v>
      </c>
      <c r="H2450" s="150" t="s">
        <v>5608</v>
      </c>
      <c r="I2450" s="447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30" t="s">
        <v>88</v>
      </c>
      <c r="U2450" s="30" t="s">
        <v>88</v>
      </c>
      <c r="V2450" s="150" t="s">
        <v>92</v>
      </c>
      <c r="W2450" s="28">
        <v>113</v>
      </c>
      <c r="X2450" s="29"/>
      <c r="Y2450" s="102"/>
      <c r="Z2450" s="29"/>
      <c r="AA2450" s="29" t="s">
        <v>2898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88</v>
      </c>
      <c r="AK2450" s="436"/>
    </row>
    <row r="2451" spans="1:37" ht="14.4" thickBot="1" x14ac:dyDescent="0.35">
      <c r="A2451" s="15">
        <v>2450</v>
      </c>
      <c r="B2451" s="40" t="s">
        <v>1870</v>
      </c>
      <c r="C2451" s="40">
        <v>2080</v>
      </c>
      <c r="D2451" s="38" t="s">
        <v>1866</v>
      </c>
      <c r="E2451" s="40" t="s">
        <v>2963</v>
      </c>
      <c r="F2451" s="40" t="s">
        <v>5596</v>
      </c>
      <c r="G2451" s="382" t="s">
        <v>5605</v>
      </c>
      <c r="H2451" s="150" t="s">
        <v>5608</v>
      </c>
      <c r="I2451" s="447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30" t="s">
        <v>88</v>
      </c>
      <c r="U2451" s="2" t="s">
        <v>88</v>
      </c>
      <c r="V2451" s="150" t="s">
        <v>92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88</v>
      </c>
      <c r="AK2451" s="196"/>
    </row>
    <row r="2452" spans="1:37" ht="14.4" thickBot="1" x14ac:dyDescent="0.35">
      <c r="A2452" s="15">
        <v>2451</v>
      </c>
      <c r="B2452" s="40" t="s">
        <v>2051</v>
      </c>
      <c r="C2452" s="40">
        <v>2102</v>
      </c>
      <c r="D2452" s="38" t="s">
        <v>3144</v>
      </c>
      <c r="E2452" s="40" t="s">
        <v>2963</v>
      </c>
      <c r="F2452" s="40" t="s">
        <v>5597</v>
      </c>
      <c r="G2452" s="382" t="s">
        <v>5605</v>
      </c>
      <c r="H2452" s="150" t="s">
        <v>5608</v>
      </c>
      <c r="I2452" s="447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30" t="s">
        <v>88</v>
      </c>
      <c r="U2452" s="2" t="s">
        <v>88</v>
      </c>
      <c r="V2452" s="150" t="s">
        <v>92</v>
      </c>
      <c r="W2452" s="39">
        <v>113</v>
      </c>
      <c r="X2452" s="40"/>
      <c r="Y2452" s="40"/>
      <c r="Z2452" s="40"/>
      <c r="AA2452" s="40" t="s">
        <v>2939</v>
      </c>
      <c r="AB2452" s="40"/>
      <c r="AC2452" s="40"/>
      <c r="AD2452" s="40"/>
      <c r="AE2452" s="40"/>
      <c r="AF2452" s="40" t="s">
        <v>2939</v>
      </c>
      <c r="AG2452" s="40"/>
      <c r="AH2452" s="40"/>
      <c r="AI2452" s="40"/>
      <c r="AJ2452" s="79" t="s">
        <v>88</v>
      </c>
      <c r="AK2452" s="196"/>
    </row>
    <row r="2453" spans="1:37" ht="14.4" thickBot="1" x14ac:dyDescent="0.35">
      <c r="A2453" s="15">
        <v>2452</v>
      </c>
      <c r="B2453" s="83" t="s">
        <v>2052</v>
      </c>
      <c r="C2453" s="83">
        <v>2104</v>
      </c>
      <c r="D2453" s="113" t="s">
        <v>2049</v>
      </c>
      <c r="E2453" s="83" t="s">
        <v>2963</v>
      </c>
      <c r="F2453" s="83" t="s">
        <v>5598</v>
      </c>
      <c r="G2453" s="382" t="s">
        <v>5605</v>
      </c>
      <c r="H2453" s="150" t="s">
        <v>5608</v>
      </c>
      <c r="I2453" s="447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30" t="s">
        <v>88</v>
      </c>
      <c r="U2453" s="85" t="s">
        <v>2916</v>
      </c>
      <c r="V2453" s="150" t="s">
        <v>92</v>
      </c>
      <c r="W2453" s="86">
        <v>104</v>
      </c>
      <c r="X2453" s="83"/>
      <c r="Y2453" s="83"/>
      <c r="Z2453" s="83"/>
      <c r="AA2453" s="83" t="s">
        <v>2939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2342</v>
      </c>
      <c r="C2454" s="40">
        <v>2047</v>
      </c>
      <c r="D2454" s="38" t="s">
        <v>2339</v>
      </c>
      <c r="E2454" s="4" t="s">
        <v>1010</v>
      </c>
      <c r="F2454" s="4" t="s">
        <v>5599</v>
      </c>
      <c r="G2454" s="382" t="s">
        <v>5605</v>
      </c>
      <c r="H2454" s="150" t="s">
        <v>5608</v>
      </c>
      <c r="I2454" s="447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30" t="s">
        <v>88</v>
      </c>
      <c r="U2454" s="2" t="s">
        <v>88</v>
      </c>
      <c r="V2454" s="150" t="s">
        <v>92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88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9480" priority="15259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9479" priority="15238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9478" priority="15239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77" priority="15240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9476" priority="15241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75" priority="15242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9474" priority="15243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73" priority="15244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9472" priority="15245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9471" priority="15246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9470" priority="15247" operator="greaterThanOrEqual">
      <formula>130</formula>
    </cfRule>
  </conditionalFormatting>
  <conditionalFormatting sqref="N540:N541">
    <cfRule type="cellIs" dxfId="9469" priority="15248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9468" priority="15249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9467" priority="15250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66" priority="15251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9465" priority="15252" operator="greaterThanOrEqual">
      <formula>175</formula>
    </cfRule>
  </conditionalFormatting>
  <conditionalFormatting sqref="P540:P541">
    <cfRule type="containsText" dxfId="9464" priority="15253" operator="containsText" text="ND">
      <formula>NOT(ISERROR(SEARCH(("ND"),(P540))))</formula>
    </cfRule>
  </conditionalFormatting>
  <conditionalFormatting sqref="P540:P541">
    <cfRule type="cellIs" dxfId="9463" priority="15254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9462" priority="15255" operator="greaterThanOrEqual">
      <formula>2.5</formula>
    </cfRule>
  </conditionalFormatting>
  <conditionalFormatting sqref="Q540:Q541">
    <cfRule type="containsText" dxfId="9461" priority="15256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60" priority="15257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9459" priority="15258" operator="greaterThanOrEqual">
      <formula>300</formula>
    </cfRule>
  </conditionalFormatting>
  <conditionalFormatting sqref="L542:L544">
    <cfRule type="cellIs" dxfId="9458" priority="15217" operator="greaterThanOrEqual">
      <formula>5</formula>
    </cfRule>
  </conditionalFormatting>
  <conditionalFormatting sqref="L542:L544">
    <cfRule type="cellIs" dxfId="9457" priority="15218" operator="greaterThanOrEqual">
      <formula>2</formula>
    </cfRule>
  </conditionalFormatting>
  <conditionalFormatting sqref="M542:M544">
    <cfRule type="cellIs" dxfId="9456" priority="15219" operator="greaterThanOrEqual">
      <formula>60</formula>
    </cfRule>
  </conditionalFormatting>
  <conditionalFormatting sqref="M542:M544">
    <cfRule type="cellIs" dxfId="9455" priority="15220" operator="greaterThanOrEqual">
      <formula>30</formula>
    </cfRule>
  </conditionalFormatting>
  <conditionalFormatting sqref="R542:R544">
    <cfRule type="cellIs" dxfId="9454" priority="15221" operator="greaterThanOrEqual">
      <formula>600</formula>
    </cfRule>
  </conditionalFormatting>
  <conditionalFormatting sqref="R542:R544">
    <cfRule type="cellIs" dxfId="9453" priority="15222" operator="greaterThanOrEqual">
      <formula>260</formula>
    </cfRule>
  </conditionalFormatting>
  <conditionalFormatting sqref="S542:S544">
    <cfRule type="containsText" dxfId="9452" priority="15223" operator="containsText" text="&lt;">
      <formula>NOT(ISERROR(SEARCH(("&lt;"),(S542))))</formula>
    </cfRule>
  </conditionalFormatting>
  <conditionalFormatting sqref="S542:S544">
    <cfRule type="containsText" dxfId="9451" priority="15224" operator="containsText" text="ND">
      <formula>NOT(ISERROR(SEARCH(("ND"),(S542))))</formula>
    </cfRule>
  </conditionalFormatting>
  <conditionalFormatting sqref="S542:S544">
    <cfRule type="cellIs" dxfId="9450" priority="15225" operator="greaterThanOrEqual">
      <formula>200</formula>
    </cfRule>
  </conditionalFormatting>
  <conditionalFormatting sqref="S542:S544">
    <cfRule type="cellIs" dxfId="9449" priority="15226" operator="greaterThanOrEqual">
      <formula>130</formula>
    </cfRule>
  </conditionalFormatting>
  <conditionalFormatting sqref="N542:N544">
    <cfRule type="cellIs" dxfId="9448" priority="15227" operator="greaterThanOrEqual">
      <formula>200</formula>
    </cfRule>
  </conditionalFormatting>
  <conditionalFormatting sqref="N542:N544">
    <cfRule type="cellIs" dxfId="9447" priority="15228" operator="greaterThanOrEqual">
      <formula>120</formula>
    </cfRule>
  </conditionalFormatting>
  <conditionalFormatting sqref="O542:O544">
    <cfRule type="containsText" dxfId="9446" priority="15229" operator="containsText" text="ND">
      <formula>NOT(ISERROR(SEARCH(("ND"),(O542))))</formula>
    </cfRule>
  </conditionalFormatting>
  <conditionalFormatting sqref="O542:O544">
    <cfRule type="cellIs" dxfId="9445" priority="15230" operator="greaterThanOrEqual">
      <formula>250</formula>
    </cfRule>
  </conditionalFormatting>
  <conditionalFormatting sqref="O542:O544">
    <cfRule type="cellIs" dxfId="9444" priority="15231" operator="greaterThanOrEqual">
      <formula>175</formula>
    </cfRule>
  </conditionalFormatting>
  <conditionalFormatting sqref="P542:P544">
    <cfRule type="containsText" dxfId="9443" priority="15232" operator="containsText" text="ND">
      <formula>NOT(ISERROR(SEARCH(("ND"),(P542))))</formula>
    </cfRule>
  </conditionalFormatting>
  <conditionalFormatting sqref="P542:P544">
    <cfRule type="cellIs" dxfId="9442" priority="15233" operator="greaterThanOrEqual">
      <formula>5</formula>
    </cfRule>
  </conditionalFormatting>
  <conditionalFormatting sqref="P542:P544">
    <cfRule type="cellIs" dxfId="9441" priority="15234" operator="greaterThanOrEqual">
      <formula>2.5</formula>
    </cfRule>
  </conditionalFormatting>
  <conditionalFormatting sqref="Q542:Q544">
    <cfRule type="containsText" dxfId="9440" priority="15235" operator="containsText" text="ND">
      <formula>NOT(ISERROR(SEARCH(("ND"),(Q542))))</formula>
    </cfRule>
  </conditionalFormatting>
  <conditionalFormatting sqref="Q542:Q544">
    <cfRule type="cellIs" dxfId="9439" priority="15236" operator="greaterThanOrEqual">
      <formula>500</formula>
    </cfRule>
  </conditionalFormatting>
  <conditionalFormatting sqref="Q542:Q544">
    <cfRule type="cellIs" dxfId="9438" priority="15237" operator="greaterThanOrEqual">
      <formula>300</formula>
    </cfRule>
  </conditionalFormatting>
  <conditionalFormatting sqref="L1381:L1382">
    <cfRule type="cellIs" dxfId="9437" priority="15196" operator="greaterThanOrEqual">
      <formula>5</formula>
    </cfRule>
  </conditionalFormatting>
  <conditionalFormatting sqref="L1381:L1382">
    <cfRule type="cellIs" dxfId="9436" priority="15197" operator="greaterThanOrEqual">
      <formula>2</formula>
    </cfRule>
  </conditionalFormatting>
  <conditionalFormatting sqref="M1381:M1382">
    <cfRule type="cellIs" dxfId="9435" priority="15198" operator="greaterThanOrEqual">
      <formula>60</formula>
    </cfRule>
  </conditionalFormatting>
  <conditionalFormatting sqref="M1381:M1382">
    <cfRule type="cellIs" dxfId="9434" priority="15199" operator="greaterThanOrEqual">
      <formula>30</formula>
    </cfRule>
  </conditionalFormatting>
  <conditionalFormatting sqref="R1381:R1382">
    <cfRule type="cellIs" dxfId="9433" priority="15200" operator="greaterThanOrEqual">
      <formula>600</formula>
    </cfRule>
  </conditionalFormatting>
  <conditionalFormatting sqref="R1381:R1382">
    <cfRule type="cellIs" dxfId="9432" priority="15201" operator="greaterThanOrEqual">
      <formula>260</formula>
    </cfRule>
  </conditionalFormatting>
  <conditionalFormatting sqref="S1381:S1382">
    <cfRule type="containsText" dxfId="9431" priority="15202" operator="containsText" text="&lt;">
      <formula>NOT(ISERROR(SEARCH(("&lt;"),(S1381))))</formula>
    </cfRule>
  </conditionalFormatting>
  <conditionalFormatting sqref="S1381:S1382">
    <cfRule type="containsText" dxfId="9430" priority="15203" operator="containsText" text="ND">
      <formula>NOT(ISERROR(SEARCH(("ND"),(S1381))))</formula>
    </cfRule>
  </conditionalFormatting>
  <conditionalFormatting sqref="S1381:S1382">
    <cfRule type="cellIs" dxfId="9429" priority="15204" operator="greaterThanOrEqual">
      <formula>200</formula>
    </cfRule>
  </conditionalFormatting>
  <conditionalFormatting sqref="S1381:S1382">
    <cfRule type="cellIs" dxfId="9428" priority="15205" operator="greaterThanOrEqual">
      <formula>130</formula>
    </cfRule>
  </conditionalFormatting>
  <conditionalFormatting sqref="N1381:N1382">
    <cfRule type="cellIs" dxfId="9427" priority="15206" operator="greaterThanOrEqual">
      <formula>200</formula>
    </cfRule>
  </conditionalFormatting>
  <conditionalFormatting sqref="N1381:N1382">
    <cfRule type="cellIs" dxfId="9426" priority="15207" operator="greaterThanOrEqual">
      <formula>120</formula>
    </cfRule>
  </conditionalFormatting>
  <conditionalFormatting sqref="O1381:O1382">
    <cfRule type="containsText" dxfId="9425" priority="15208" operator="containsText" text="ND">
      <formula>NOT(ISERROR(SEARCH(("ND"),(O1381))))</formula>
    </cfRule>
  </conditionalFormatting>
  <conditionalFormatting sqref="O1381:O1382">
    <cfRule type="cellIs" dxfId="9424" priority="15209" operator="greaterThanOrEqual">
      <formula>250</formula>
    </cfRule>
  </conditionalFormatting>
  <conditionalFormatting sqref="O1381:O1382">
    <cfRule type="cellIs" dxfId="9423" priority="15210" operator="greaterThanOrEqual">
      <formula>175</formula>
    </cfRule>
  </conditionalFormatting>
  <conditionalFormatting sqref="P1381:P1382">
    <cfRule type="containsText" dxfId="9422" priority="15211" operator="containsText" text="ND">
      <formula>NOT(ISERROR(SEARCH(("ND"),(P1381))))</formula>
    </cfRule>
  </conditionalFormatting>
  <conditionalFormatting sqref="P1381:P1382">
    <cfRule type="cellIs" dxfId="9421" priority="15212" operator="greaterThanOrEqual">
      <formula>5</formula>
    </cfRule>
  </conditionalFormatting>
  <conditionalFormatting sqref="P1381:P1382">
    <cfRule type="cellIs" dxfId="9420" priority="15213" operator="greaterThanOrEqual">
      <formula>2.5</formula>
    </cfRule>
  </conditionalFormatting>
  <conditionalFormatting sqref="Q1381:Q1382">
    <cfRule type="containsText" dxfId="9419" priority="15214" operator="containsText" text="ND">
      <formula>NOT(ISERROR(SEARCH(("ND"),(Q1381))))</formula>
    </cfRule>
  </conditionalFormatting>
  <conditionalFormatting sqref="Q1381:Q1382">
    <cfRule type="cellIs" dxfId="9418" priority="15215" operator="greaterThanOrEqual">
      <formula>500</formula>
    </cfRule>
  </conditionalFormatting>
  <conditionalFormatting sqref="Q1381:Q1382">
    <cfRule type="cellIs" dxfId="9417" priority="15216" operator="greaterThanOrEqual">
      <formula>300</formula>
    </cfRule>
  </conditionalFormatting>
  <conditionalFormatting sqref="L1476">
    <cfRule type="cellIs" dxfId="9416" priority="15175" operator="greaterThanOrEqual">
      <formula>5</formula>
    </cfRule>
  </conditionalFormatting>
  <conditionalFormatting sqref="L1476">
    <cfRule type="cellIs" dxfId="9415" priority="15176" operator="greaterThanOrEqual">
      <formula>2</formula>
    </cfRule>
  </conditionalFormatting>
  <conditionalFormatting sqref="M1476">
    <cfRule type="cellIs" dxfId="9414" priority="15177" operator="greaterThanOrEqual">
      <formula>60</formula>
    </cfRule>
  </conditionalFormatting>
  <conditionalFormatting sqref="M1476">
    <cfRule type="cellIs" dxfId="9413" priority="15178" operator="greaterThanOrEqual">
      <formula>30</formula>
    </cfRule>
  </conditionalFormatting>
  <conditionalFormatting sqref="R1476">
    <cfRule type="cellIs" dxfId="9412" priority="15179" operator="greaterThanOrEqual">
      <formula>600</formula>
    </cfRule>
  </conditionalFormatting>
  <conditionalFormatting sqref="R1476">
    <cfRule type="cellIs" dxfId="9411" priority="15180" operator="greaterThanOrEqual">
      <formula>260</formula>
    </cfRule>
  </conditionalFormatting>
  <conditionalFormatting sqref="S1476">
    <cfRule type="containsText" dxfId="9410" priority="15181" operator="containsText" text="&lt;">
      <formula>NOT(ISERROR(SEARCH(("&lt;"),(S1476))))</formula>
    </cfRule>
  </conditionalFormatting>
  <conditionalFormatting sqref="S1476">
    <cfRule type="containsText" dxfId="9409" priority="15182" operator="containsText" text="ND">
      <formula>NOT(ISERROR(SEARCH(("ND"),(S1476))))</formula>
    </cfRule>
  </conditionalFormatting>
  <conditionalFormatting sqref="S1476">
    <cfRule type="cellIs" dxfId="9408" priority="15183" operator="greaterThanOrEqual">
      <formula>200</formula>
    </cfRule>
  </conditionalFormatting>
  <conditionalFormatting sqref="S1476">
    <cfRule type="cellIs" dxfId="9407" priority="15184" operator="greaterThanOrEqual">
      <formula>130</formula>
    </cfRule>
  </conditionalFormatting>
  <conditionalFormatting sqref="N1476">
    <cfRule type="cellIs" dxfId="9406" priority="15185" operator="greaterThanOrEqual">
      <formula>200</formula>
    </cfRule>
  </conditionalFormatting>
  <conditionalFormatting sqref="N1476">
    <cfRule type="cellIs" dxfId="9405" priority="15186" operator="greaterThanOrEqual">
      <formula>120</formula>
    </cfRule>
  </conditionalFormatting>
  <conditionalFormatting sqref="O1476">
    <cfRule type="containsText" dxfId="9404" priority="15187" operator="containsText" text="ND">
      <formula>NOT(ISERROR(SEARCH(("ND"),(O1476))))</formula>
    </cfRule>
  </conditionalFormatting>
  <conditionalFormatting sqref="O1476">
    <cfRule type="cellIs" dxfId="9403" priority="15188" operator="greaterThanOrEqual">
      <formula>250</formula>
    </cfRule>
  </conditionalFormatting>
  <conditionalFormatting sqref="O1476">
    <cfRule type="cellIs" dxfId="9402" priority="15189" operator="greaterThanOrEqual">
      <formula>175</formula>
    </cfRule>
  </conditionalFormatting>
  <conditionalFormatting sqref="P1476">
    <cfRule type="containsText" dxfId="9401" priority="15190" operator="containsText" text="ND">
      <formula>NOT(ISERROR(SEARCH(("ND"),(P1476))))</formula>
    </cfRule>
  </conditionalFormatting>
  <conditionalFormatting sqref="P1476">
    <cfRule type="cellIs" dxfId="9400" priority="15191" operator="greaterThanOrEqual">
      <formula>5</formula>
    </cfRule>
  </conditionalFormatting>
  <conditionalFormatting sqref="P1476">
    <cfRule type="cellIs" dxfId="9399" priority="15192" operator="greaterThanOrEqual">
      <formula>2.5</formula>
    </cfRule>
  </conditionalFormatting>
  <conditionalFormatting sqref="Q1476">
    <cfRule type="containsText" dxfId="9398" priority="15193" operator="containsText" text="ND">
      <formula>NOT(ISERROR(SEARCH(("ND"),(Q1476))))</formula>
    </cfRule>
  </conditionalFormatting>
  <conditionalFormatting sqref="Q1476">
    <cfRule type="cellIs" dxfId="9397" priority="15194" operator="greaterThanOrEqual">
      <formula>500</formula>
    </cfRule>
  </conditionalFormatting>
  <conditionalFormatting sqref="Q1476">
    <cfRule type="cellIs" dxfId="9396" priority="15195" operator="greaterThanOrEqual">
      <formula>300</formula>
    </cfRule>
  </conditionalFormatting>
  <conditionalFormatting sqref="L545">
    <cfRule type="cellIs" dxfId="9395" priority="15154" operator="greaterThanOrEqual">
      <formula>5</formula>
    </cfRule>
  </conditionalFormatting>
  <conditionalFormatting sqref="L545">
    <cfRule type="cellIs" dxfId="9394" priority="15155" operator="greaterThanOrEqual">
      <formula>2</formula>
    </cfRule>
  </conditionalFormatting>
  <conditionalFormatting sqref="M545">
    <cfRule type="cellIs" dxfId="9393" priority="15156" operator="greaterThanOrEqual">
      <formula>60</formula>
    </cfRule>
  </conditionalFormatting>
  <conditionalFormatting sqref="M545">
    <cfRule type="cellIs" dxfId="9392" priority="15157" operator="greaterThanOrEqual">
      <formula>30</formula>
    </cfRule>
  </conditionalFormatting>
  <conditionalFormatting sqref="R545">
    <cfRule type="cellIs" dxfId="9391" priority="15158" operator="greaterThanOrEqual">
      <formula>600</formula>
    </cfRule>
  </conditionalFormatting>
  <conditionalFormatting sqref="R545">
    <cfRule type="cellIs" dxfId="9390" priority="15159" operator="greaterThanOrEqual">
      <formula>260</formula>
    </cfRule>
  </conditionalFormatting>
  <conditionalFormatting sqref="S545">
    <cfRule type="containsText" dxfId="9389" priority="15160" operator="containsText" text="&lt;">
      <formula>NOT(ISERROR(SEARCH(("&lt;"),(S545))))</formula>
    </cfRule>
  </conditionalFormatting>
  <conditionalFormatting sqref="S545">
    <cfRule type="containsText" dxfId="9388" priority="15161" operator="containsText" text="ND">
      <formula>NOT(ISERROR(SEARCH(("ND"),(S545))))</formula>
    </cfRule>
  </conditionalFormatting>
  <conditionalFormatting sqref="S545">
    <cfRule type="cellIs" dxfId="9387" priority="15162" operator="greaterThanOrEqual">
      <formula>200</formula>
    </cfRule>
  </conditionalFormatting>
  <conditionalFormatting sqref="S545">
    <cfRule type="cellIs" dxfId="9386" priority="15163" operator="greaterThanOrEqual">
      <formula>130</formula>
    </cfRule>
  </conditionalFormatting>
  <conditionalFormatting sqref="N545">
    <cfRule type="cellIs" dxfId="9385" priority="15164" operator="greaterThanOrEqual">
      <formula>200</formula>
    </cfRule>
  </conditionalFormatting>
  <conditionalFormatting sqref="N545">
    <cfRule type="cellIs" dxfId="9384" priority="15165" operator="greaterThanOrEqual">
      <formula>120</formula>
    </cfRule>
  </conditionalFormatting>
  <conditionalFormatting sqref="O545">
    <cfRule type="containsText" dxfId="9383" priority="15166" operator="containsText" text="ND">
      <formula>NOT(ISERROR(SEARCH(("ND"),(O545))))</formula>
    </cfRule>
  </conditionalFormatting>
  <conditionalFormatting sqref="O545">
    <cfRule type="cellIs" dxfId="9382" priority="15167" operator="greaterThanOrEqual">
      <formula>250</formula>
    </cfRule>
  </conditionalFormatting>
  <conditionalFormatting sqref="O545">
    <cfRule type="cellIs" dxfId="9381" priority="15168" operator="greaterThanOrEqual">
      <formula>175</formula>
    </cfRule>
  </conditionalFormatting>
  <conditionalFormatting sqref="P545">
    <cfRule type="containsText" dxfId="9380" priority="15169" operator="containsText" text="ND">
      <formula>NOT(ISERROR(SEARCH(("ND"),(P545))))</formula>
    </cfRule>
  </conditionalFormatting>
  <conditionalFormatting sqref="P545">
    <cfRule type="cellIs" dxfId="9379" priority="15170" operator="greaterThanOrEqual">
      <formula>5</formula>
    </cfRule>
  </conditionalFormatting>
  <conditionalFormatting sqref="P545">
    <cfRule type="cellIs" dxfId="9378" priority="15171" operator="greaterThanOrEqual">
      <formula>2.5</formula>
    </cfRule>
  </conditionalFormatting>
  <conditionalFormatting sqref="Q545">
    <cfRule type="containsText" dxfId="9377" priority="15172" operator="containsText" text="ND">
      <formula>NOT(ISERROR(SEARCH(("ND"),(Q545))))</formula>
    </cfRule>
  </conditionalFormatting>
  <conditionalFormatting sqref="Q545">
    <cfRule type="cellIs" dxfId="9376" priority="15173" operator="greaterThanOrEqual">
      <formula>500</formula>
    </cfRule>
  </conditionalFormatting>
  <conditionalFormatting sqref="Q545">
    <cfRule type="cellIs" dxfId="9375" priority="15174" operator="greaterThanOrEqual">
      <formula>300</formula>
    </cfRule>
  </conditionalFormatting>
  <conditionalFormatting sqref="L1477:L1478">
    <cfRule type="cellIs" dxfId="9374" priority="15133" operator="greaterThanOrEqual">
      <formula>5</formula>
    </cfRule>
  </conditionalFormatting>
  <conditionalFormatting sqref="L1477:L1478">
    <cfRule type="cellIs" dxfId="9373" priority="15134" operator="greaterThanOrEqual">
      <formula>2</formula>
    </cfRule>
  </conditionalFormatting>
  <conditionalFormatting sqref="M1477:M1478">
    <cfRule type="cellIs" dxfId="9372" priority="15135" operator="greaterThanOrEqual">
      <formula>60</formula>
    </cfRule>
  </conditionalFormatting>
  <conditionalFormatting sqref="M1477:M1478">
    <cfRule type="cellIs" dxfId="9371" priority="15136" operator="greaterThanOrEqual">
      <formula>30</formula>
    </cfRule>
  </conditionalFormatting>
  <conditionalFormatting sqref="R1477:R1478">
    <cfRule type="cellIs" dxfId="9370" priority="15137" operator="greaterThanOrEqual">
      <formula>600</formula>
    </cfRule>
  </conditionalFormatting>
  <conditionalFormatting sqref="R1477:R1478">
    <cfRule type="cellIs" dxfId="9369" priority="15138" operator="greaterThanOrEqual">
      <formula>260</formula>
    </cfRule>
  </conditionalFormatting>
  <conditionalFormatting sqref="S1477:S1478">
    <cfRule type="containsText" dxfId="9368" priority="15139" operator="containsText" text="&lt;">
      <formula>NOT(ISERROR(SEARCH(("&lt;"),(S1477))))</formula>
    </cfRule>
  </conditionalFormatting>
  <conditionalFormatting sqref="S1477:S1478">
    <cfRule type="containsText" dxfId="9367" priority="15140" operator="containsText" text="ND">
      <formula>NOT(ISERROR(SEARCH(("ND"),(S1477))))</formula>
    </cfRule>
  </conditionalFormatting>
  <conditionalFormatting sqref="S1477:S1478">
    <cfRule type="cellIs" dxfId="9366" priority="15141" operator="greaterThanOrEqual">
      <formula>200</formula>
    </cfRule>
  </conditionalFormatting>
  <conditionalFormatting sqref="S1477:S1478">
    <cfRule type="cellIs" dxfId="9365" priority="15142" operator="greaterThanOrEqual">
      <formula>130</formula>
    </cfRule>
  </conditionalFormatting>
  <conditionalFormatting sqref="N1477:N1478">
    <cfRule type="cellIs" dxfId="9364" priority="15143" operator="greaterThanOrEqual">
      <formula>200</formula>
    </cfRule>
  </conditionalFormatting>
  <conditionalFormatting sqref="N1477:N1478">
    <cfRule type="cellIs" dxfId="9363" priority="15144" operator="greaterThanOrEqual">
      <formula>120</formula>
    </cfRule>
  </conditionalFormatting>
  <conditionalFormatting sqref="O1477:O1478">
    <cfRule type="containsText" dxfId="9362" priority="15145" operator="containsText" text="ND">
      <formula>NOT(ISERROR(SEARCH(("ND"),(O1477))))</formula>
    </cfRule>
  </conditionalFormatting>
  <conditionalFormatting sqref="O1477:O1478">
    <cfRule type="cellIs" dxfId="9361" priority="15146" operator="greaterThanOrEqual">
      <formula>250</formula>
    </cfRule>
  </conditionalFormatting>
  <conditionalFormatting sqref="O1477:O1478">
    <cfRule type="cellIs" dxfId="9360" priority="15147" operator="greaterThanOrEqual">
      <formula>175</formula>
    </cfRule>
  </conditionalFormatting>
  <conditionalFormatting sqref="P1477:P1478">
    <cfRule type="containsText" dxfId="9359" priority="15148" operator="containsText" text="ND">
      <formula>NOT(ISERROR(SEARCH(("ND"),(P1477))))</formula>
    </cfRule>
  </conditionalFormatting>
  <conditionalFormatting sqref="P1477:P1478">
    <cfRule type="cellIs" dxfId="9358" priority="15149" operator="greaterThanOrEqual">
      <formula>5</formula>
    </cfRule>
  </conditionalFormatting>
  <conditionalFormatting sqref="P1477:P1478">
    <cfRule type="cellIs" dxfId="9357" priority="15150" operator="greaterThanOrEqual">
      <formula>2.5</formula>
    </cfRule>
  </conditionalFormatting>
  <conditionalFormatting sqref="Q1477:Q1478">
    <cfRule type="containsText" dxfId="9356" priority="15151" operator="containsText" text="ND">
      <formula>NOT(ISERROR(SEARCH(("ND"),(Q1477))))</formula>
    </cfRule>
  </conditionalFormatting>
  <conditionalFormatting sqref="Q1477:Q1478">
    <cfRule type="cellIs" dxfId="9355" priority="15152" operator="greaterThanOrEqual">
      <formula>500</formula>
    </cfRule>
  </conditionalFormatting>
  <conditionalFormatting sqref="Q1477:Q1478">
    <cfRule type="cellIs" dxfId="9354" priority="15153" operator="greaterThanOrEqual">
      <formula>300</formula>
    </cfRule>
  </conditionalFormatting>
  <conditionalFormatting sqref="L546:L547">
    <cfRule type="cellIs" dxfId="9353" priority="15112" operator="greaterThanOrEqual">
      <formula>5</formula>
    </cfRule>
  </conditionalFormatting>
  <conditionalFormatting sqref="L546:L547">
    <cfRule type="cellIs" dxfId="9352" priority="15113" operator="greaterThanOrEqual">
      <formula>2</formula>
    </cfRule>
  </conditionalFormatting>
  <conditionalFormatting sqref="M546:M547">
    <cfRule type="cellIs" dxfId="9351" priority="15114" operator="greaterThanOrEqual">
      <formula>60</formula>
    </cfRule>
  </conditionalFormatting>
  <conditionalFormatting sqref="M546:M547">
    <cfRule type="cellIs" dxfId="9350" priority="15115" operator="greaterThanOrEqual">
      <formula>30</formula>
    </cfRule>
  </conditionalFormatting>
  <conditionalFormatting sqref="R546:R547">
    <cfRule type="cellIs" dxfId="9349" priority="15116" operator="greaterThanOrEqual">
      <formula>600</formula>
    </cfRule>
  </conditionalFormatting>
  <conditionalFormatting sqref="R546:R547">
    <cfRule type="cellIs" dxfId="9348" priority="15117" operator="greaterThanOrEqual">
      <formula>260</formula>
    </cfRule>
  </conditionalFormatting>
  <conditionalFormatting sqref="S546:S547">
    <cfRule type="containsText" dxfId="9347" priority="15118" operator="containsText" text="&lt;">
      <formula>NOT(ISERROR(SEARCH(("&lt;"),(S546))))</formula>
    </cfRule>
  </conditionalFormatting>
  <conditionalFormatting sqref="S546:S547">
    <cfRule type="containsText" dxfId="9346" priority="15119" operator="containsText" text="ND">
      <formula>NOT(ISERROR(SEARCH(("ND"),(S546))))</formula>
    </cfRule>
  </conditionalFormatting>
  <conditionalFormatting sqref="S546:S547">
    <cfRule type="cellIs" dxfId="9345" priority="15120" operator="greaterThanOrEqual">
      <formula>200</formula>
    </cfRule>
  </conditionalFormatting>
  <conditionalFormatting sqref="S546:S547">
    <cfRule type="cellIs" dxfId="9344" priority="15121" operator="greaterThanOrEqual">
      <formula>130</formula>
    </cfRule>
  </conditionalFormatting>
  <conditionalFormatting sqref="N546:N547">
    <cfRule type="cellIs" dxfId="9343" priority="15122" operator="greaterThanOrEqual">
      <formula>200</formula>
    </cfRule>
  </conditionalFormatting>
  <conditionalFormatting sqref="N546:N547">
    <cfRule type="cellIs" dxfId="9342" priority="15123" operator="greaterThanOrEqual">
      <formula>120</formula>
    </cfRule>
  </conditionalFormatting>
  <conditionalFormatting sqref="O546:O547">
    <cfRule type="containsText" dxfId="9341" priority="15124" operator="containsText" text="ND">
      <formula>NOT(ISERROR(SEARCH(("ND"),(O546))))</formula>
    </cfRule>
  </conditionalFormatting>
  <conditionalFormatting sqref="O546:O547">
    <cfRule type="cellIs" dxfId="9340" priority="15125" operator="greaterThanOrEqual">
      <formula>250</formula>
    </cfRule>
  </conditionalFormatting>
  <conditionalFormatting sqref="O546:O547">
    <cfRule type="cellIs" dxfId="9339" priority="15126" operator="greaterThanOrEqual">
      <formula>175</formula>
    </cfRule>
  </conditionalFormatting>
  <conditionalFormatting sqref="P546:P547">
    <cfRule type="containsText" dxfId="9338" priority="15127" operator="containsText" text="ND">
      <formula>NOT(ISERROR(SEARCH(("ND"),(P546))))</formula>
    </cfRule>
  </conditionalFormatting>
  <conditionalFormatting sqref="P546:P547">
    <cfRule type="cellIs" dxfId="9337" priority="15128" operator="greaterThanOrEqual">
      <formula>5</formula>
    </cfRule>
  </conditionalFormatting>
  <conditionalFormatting sqref="P546:P547">
    <cfRule type="cellIs" dxfId="9336" priority="15129" operator="greaterThanOrEqual">
      <formula>2.5</formula>
    </cfRule>
  </conditionalFormatting>
  <conditionalFormatting sqref="Q546:Q547">
    <cfRule type="containsText" dxfId="9335" priority="15130" operator="containsText" text="ND">
      <formula>NOT(ISERROR(SEARCH(("ND"),(Q546))))</formula>
    </cfRule>
  </conditionalFormatting>
  <conditionalFormatting sqref="Q546:Q547">
    <cfRule type="cellIs" dxfId="9334" priority="15131" operator="greaterThanOrEqual">
      <formula>500</formula>
    </cfRule>
  </conditionalFormatting>
  <conditionalFormatting sqref="Q546:Q547">
    <cfRule type="cellIs" dxfId="9333" priority="15132" operator="greaterThanOrEqual">
      <formula>300</formula>
    </cfRule>
  </conditionalFormatting>
  <conditionalFormatting sqref="M14">
    <cfRule type="cellIs" dxfId="9332" priority="15043" operator="greaterThanOrEqual">
      <formula>5</formula>
    </cfRule>
  </conditionalFormatting>
  <conditionalFormatting sqref="M14">
    <cfRule type="cellIs" dxfId="9331" priority="15044" operator="greaterThanOrEqual">
      <formula>2</formula>
    </cfRule>
  </conditionalFormatting>
  <conditionalFormatting sqref="Q6:Q14">
    <cfRule type="containsText" dxfId="9330" priority="15067" operator="containsText" text="ND">
      <formula>NOT(ISERROR(SEARCH(("ND"),(Q6))))</formula>
    </cfRule>
  </conditionalFormatting>
  <conditionalFormatting sqref="O6:O14">
    <cfRule type="containsText" dxfId="9329" priority="15061" operator="containsText" text="ND">
      <formula>NOT(ISERROR(SEARCH(("ND"),(O6))))</formula>
    </cfRule>
  </conditionalFormatting>
  <conditionalFormatting sqref="L2">
    <cfRule type="cellIs" dxfId="9328" priority="15091" operator="greaterThanOrEqual">
      <formula>5</formula>
    </cfRule>
  </conditionalFormatting>
  <conditionalFormatting sqref="L2">
    <cfRule type="cellIs" dxfId="9327" priority="15092" operator="greaterThanOrEqual">
      <formula>2</formula>
    </cfRule>
  </conditionalFormatting>
  <conditionalFormatting sqref="M2">
    <cfRule type="cellIs" dxfId="9326" priority="15093" operator="greaterThanOrEqual">
      <formula>60</formula>
    </cfRule>
  </conditionalFormatting>
  <conditionalFormatting sqref="M2">
    <cfRule type="cellIs" dxfId="9325" priority="15094" operator="greaterThanOrEqual">
      <formula>30</formula>
    </cfRule>
  </conditionalFormatting>
  <conditionalFormatting sqref="R2">
    <cfRule type="cellIs" dxfId="9324" priority="15095" operator="greaterThanOrEqual">
      <formula>600</formula>
    </cfRule>
  </conditionalFormatting>
  <conditionalFormatting sqref="R2">
    <cfRule type="cellIs" dxfId="9323" priority="15096" operator="greaterThanOrEqual">
      <formula>260</formula>
    </cfRule>
  </conditionalFormatting>
  <conditionalFormatting sqref="S2">
    <cfRule type="containsText" dxfId="9322" priority="15097" operator="containsText" text="&lt;">
      <formula>NOT(ISERROR(SEARCH(("&lt;"),(S2))))</formula>
    </cfRule>
  </conditionalFormatting>
  <conditionalFormatting sqref="S2">
    <cfRule type="containsText" dxfId="9321" priority="15098" operator="containsText" text="ND">
      <formula>NOT(ISERROR(SEARCH(("ND"),(S2))))</formula>
    </cfRule>
  </conditionalFormatting>
  <conditionalFormatting sqref="S2">
    <cfRule type="cellIs" dxfId="9320" priority="15099" operator="greaterThanOrEqual">
      <formula>200</formula>
    </cfRule>
  </conditionalFormatting>
  <conditionalFormatting sqref="S2">
    <cfRule type="cellIs" dxfId="9319" priority="15100" operator="greaterThanOrEqual">
      <formula>130</formula>
    </cfRule>
  </conditionalFormatting>
  <conditionalFormatting sqref="N2">
    <cfRule type="cellIs" dxfId="9318" priority="15101" operator="greaterThanOrEqual">
      <formula>200</formula>
    </cfRule>
  </conditionalFormatting>
  <conditionalFormatting sqref="N2">
    <cfRule type="cellIs" dxfId="9317" priority="15102" operator="greaterThanOrEqual">
      <formula>120</formula>
    </cfRule>
  </conditionalFormatting>
  <conditionalFormatting sqref="O2">
    <cfRule type="containsText" dxfId="9316" priority="15103" operator="containsText" text="ND">
      <formula>NOT(ISERROR(SEARCH(("ND"),(O2))))</formula>
    </cfRule>
  </conditionalFormatting>
  <conditionalFormatting sqref="O2">
    <cfRule type="cellIs" dxfId="9315" priority="15104" operator="greaterThanOrEqual">
      <formula>250</formula>
    </cfRule>
  </conditionalFormatting>
  <conditionalFormatting sqref="O2">
    <cfRule type="cellIs" dxfId="9314" priority="15105" operator="greaterThanOrEqual">
      <formula>175</formula>
    </cfRule>
  </conditionalFormatting>
  <conditionalFormatting sqref="P2">
    <cfRule type="containsText" dxfId="9313" priority="15106" operator="containsText" text="ND">
      <formula>NOT(ISERROR(SEARCH(("ND"),(P2))))</formula>
    </cfRule>
  </conditionalFormatting>
  <conditionalFormatting sqref="P2">
    <cfRule type="cellIs" dxfId="9312" priority="15107" operator="greaterThanOrEqual">
      <formula>5</formula>
    </cfRule>
  </conditionalFormatting>
  <conditionalFormatting sqref="P2">
    <cfRule type="cellIs" dxfId="9311" priority="15108" operator="greaterThanOrEqual">
      <formula>2.5</formula>
    </cfRule>
  </conditionalFormatting>
  <conditionalFormatting sqref="Q2">
    <cfRule type="containsText" dxfId="9310" priority="15109" operator="containsText" text="ND">
      <formula>NOT(ISERROR(SEARCH(("ND"),(Q2))))</formula>
    </cfRule>
  </conditionalFormatting>
  <conditionalFormatting sqref="Q2">
    <cfRule type="cellIs" dxfId="9309" priority="15110" operator="greaterThanOrEqual">
      <formula>500</formula>
    </cfRule>
  </conditionalFormatting>
  <conditionalFormatting sqref="Q2">
    <cfRule type="cellIs" dxfId="9308" priority="15111" operator="greaterThanOrEqual">
      <formula>300</formula>
    </cfRule>
  </conditionalFormatting>
  <conditionalFormatting sqref="L3:L5">
    <cfRule type="cellIs" dxfId="9307" priority="15070" operator="greaterThanOrEqual">
      <formula>5</formula>
    </cfRule>
  </conditionalFormatting>
  <conditionalFormatting sqref="L3:L5">
    <cfRule type="cellIs" dxfId="9306" priority="15071" operator="greaterThanOrEqual">
      <formula>2</formula>
    </cfRule>
  </conditionalFormatting>
  <conditionalFormatting sqref="M3:M5">
    <cfRule type="cellIs" dxfId="9305" priority="15072" operator="greaterThanOrEqual">
      <formula>60</formula>
    </cfRule>
  </conditionalFormatting>
  <conditionalFormatting sqref="M3:M5">
    <cfRule type="cellIs" dxfId="9304" priority="15073" operator="greaterThanOrEqual">
      <formula>30</formula>
    </cfRule>
  </conditionalFormatting>
  <conditionalFormatting sqref="R3:R5">
    <cfRule type="cellIs" dxfId="9303" priority="15074" operator="greaterThanOrEqual">
      <formula>600</formula>
    </cfRule>
  </conditionalFormatting>
  <conditionalFormatting sqref="R3:R5">
    <cfRule type="cellIs" dxfId="9302" priority="15075" operator="greaterThanOrEqual">
      <formula>260</formula>
    </cfRule>
  </conditionalFormatting>
  <conditionalFormatting sqref="S3:S5">
    <cfRule type="containsText" dxfId="9301" priority="15076" operator="containsText" text="&lt;">
      <formula>NOT(ISERROR(SEARCH(("&lt;"),(S3))))</formula>
    </cfRule>
  </conditionalFormatting>
  <conditionalFormatting sqref="S3:S5">
    <cfRule type="containsText" dxfId="9300" priority="15077" operator="containsText" text="ND">
      <formula>NOT(ISERROR(SEARCH(("ND"),(S3))))</formula>
    </cfRule>
  </conditionalFormatting>
  <conditionalFormatting sqref="S3:S5">
    <cfRule type="cellIs" dxfId="9299" priority="15078" operator="greaterThanOrEqual">
      <formula>200</formula>
    </cfRule>
  </conditionalFormatting>
  <conditionalFormatting sqref="S3:S5">
    <cfRule type="cellIs" dxfId="9298" priority="15079" operator="greaterThanOrEqual">
      <formula>130</formula>
    </cfRule>
  </conditionalFormatting>
  <conditionalFormatting sqref="N3:N5">
    <cfRule type="cellIs" dxfId="9297" priority="15080" operator="greaterThanOrEqual">
      <formula>200</formula>
    </cfRule>
  </conditionalFormatting>
  <conditionalFormatting sqref="N3:N5">
    <cfRule type="cellIs" dxfId="9296" priority="15081" operator="greaterThanOrEqual">
      <formula>120</formula>
    </cfRule>
  </conditionalFormatting>
  <conditionalFormatting sqref="O3:O5">
    <cfRule type="containsText" dxfId="9295" priority="15082" operator="containsText" text="ND">
      <formula>NOT(ISERROR(SEARCH(("ND"),(O3))))</formula>
    </cfRule>
  </conditionalFormatting>
  <conditionalFormatting sqref="O3:O5">
    <cfRule type="cellIs" dxfId="9294" priority="15083" operator="greaterThanOrEqual">
      <formula>250</formula>
    </cfRule>
  </conditionalFormatting>
  <conditionalFormatting sqref="O3:O5">
    <cfRule type="cellIs" dxfId="9293" priority="15084" operator="greaterThanOrEqual">
      <formula>175</formula>
    </cfRule>
  </conditionalFormatting>
  <conditionalFormatting sqref="P3:P5">
    <cfRule type="containsText" dxfId="9292" priority="15085" operator="containsText" text="ND">
      <formula>NOT(ISERROR(SEARCH(("ND"),(P3))))</formula>
    </cfRule>
  </conditionalFormatting>
  <conditionalFormatting sqref="P3:P5">
    <cfRule type="cellIs" dxfId="9291" priority="15086" operator="greaterThanOrEqual">
      <formula>5</formula>
    </cfRule>
  </conditionalFormatting>
  <conditionalFormatting sqref="P3:P5">
    <cfRule type="cellIs" dxfId="9290" priority="15087" operator="greaterThanOrEqual">
      <formula>2.5</formula>
    </cfRule>
  </conditionalFormatting>
  <conditionalFormatting sqref="Q3:Q5">
    <cfRule type="containsText" dxfId="9289" priority="15088" operator="containsText" text="ND">
      <formula>NOT(ISERROR(SEARCH(("ND"),(Q3))))</formula>
    </cfRule>
  </conditionalFormatting>
  <conditionalFormatting sqref="Q3:Q5">
    <cfRule type="cellIs" dxfId="9288" priority="15089" operator="greaterThanOrEqual">
      <formula>500</formula>
    </cfRule>
  </conditionalFormatting>
  <conditionalFormatting sqref="Q3:Q5">
    <cfRule type="cellIs" dxfId="9287" priority="15090" operator="greaterThanOrEqual">
      <formula>300</formula>
    </cfRule>
  </conditionalFormatting>
  <conditionalFormatting sqref="L6:L9 L11:L14">
    <cfRule type="cellIs" dxfId="9286" priority="15045" operator="greaterThanOrEqual">
      <formula>5</formula>
    </cfRule>
  </conditionalFormatting>
  <conditionalFormatting sqref="L6:L9 L11:L14">
    <cfRule type="cellIs" dxfId="9285" priority="15046" operator="greaterThanOrEqual">
      <formula>2</formula>
    </cfRule>
  </conditionalFormatting>
  <conditionalFormatting sqref="M6:M9 M11:M13">
    <cfRule type="cellIs" dxfId="9284" priority="15047" operator="greaterThanOrEqual">
      <formula>60</formula>
    </cfRule>
  </conditionalFormatting>
  <conditionalFormatting sqref="M6:M9 M11:M13">
    <cfRule type="cellIs" dxfId="9283" priority="15048" operator="greaterThanOrEqual">
      <formula>30</formula>
    </cfRule>
  </conditionalFormatting>
  <conditionalFormatting sqref="R6:R9 R11:R13">
    <cfRule type="cellIs" dxfId="9282" priority="15049" operator="greaterThanOrEqual">
      <formula>600</formula>
    </cfRule>
  </conditionalFormatting>
  <conditionalFormatting sqref="R6:R9 R11:R13">
    <cfRule type="cellIs" dxfId="9281" priority="15050" operator="greaterThanOrEqual">
      <formula>260</formula>
    </cfRule>
  </conditionalFormatting>
  <conditionalFormatting sqref="L10">
    <cfRule type="cellIs" dxfId="9280" priority="15051" operator="greaterThanOrEqual">
      <formula>5</formula>
    </cfRule>
  </conditionalFormatting>
  <conditionalFormatting sqref="L10">
    <cfRule type="cellIs" dxfId="9279" priority="15052" operator="greaterThanOrEqual">
      <formula>2</formula>
    </cfRule>
  </conditionalFormatting>
  <conditionalFormatting sqref="M10">
    <cfRule type="cellIs" dxfId="9278" priority="15053" operator="greaterThanOrEqual">
      <formula>60</formula>
    </cfRule>
  </conditionalFormatting>
  <conditionalFormatting sqref="M10">
    <cfRule type="cellIs" dxfId="9277" priority="15054" operator="greaterThanOrEqual">
      <formula>30</formula>
    </cfRule>
  </conditionalFormatting>
  <conditionalFormatting sqref="S6:S14">
    <cfRule type="containsText" dxfId="9276" priority="15055" operator="containsText" text="&lt;">
      <formula>NOT(ISERROR(SEARCH(("&lt;"),(S6))))</formula>
    </cfRule>
  </conditionalFormatting>
  <conditionalFormatting sqref="S6:S14">
    <cfRule type="containsText" dxfId="9275" priority="15056" operator="containsText" text="ND">
      <formula>NOT(ISERROR(SEARCH(("ND"),(S6))))</formula>
    </cfRule>
  </conditionalFormatting>
  <conditionalFormatting sqref="S6:S14">
    <cfRule type="cellIs" dxfId="9274" priority="15057" operator="greaterThanOrEqual">
      <formula>200</formula>
    </cfRule>
  </conditionalFormatting>
  <conditionalFormatting sqref="S6:S14">
    <cfRule type="cellIs" dxfId="9273" priority="15058" operator="greaterThanOrEqual">
      <formula>130</formula>
    </cfRule>
  </conditionalFormatting>
  <conditionalFormatting sqref="N6:N14">
    <cfRule type="cellIs" dxfId="9272" priority="15059" operator="greaterThanOrEqual">
      <formula>200</formula>
    </cfRule>
  </conditionalFormatting>
  <conditionalFormatting sqref="N6:N14">
    <cfRule type="cellIs" dxfId="9271" priority="15060" operator="greaterThanOrEqual">
      <formula>120</formula>
    </cfRule>
  </conditionalFormatting>
  <conditionalFormatting sqref="O6:O14">
    <cfRule type="cellIs" dxfId="9270" priority="15062" operator="greaterThanOrEqual">
      <formula>250</formula>
    </cfRule>
  </conditionalFormatting>
  <conditionalFormatting sqref="O6:O14">
    <cfRule type="cellIs" dxfId="9269" priority="15063" operator="greaterThanOrEqual">
      <formula>175</formula>
    </cfRule>
  </conditionalFormatting>
  <conditionalFormatting sqref="P6:P14">
    <cfRule type="containsText" dxfId="9268" priority="15064" operator="containsText" text="ND">
      <formula>NOT(ISERROR(SEARCH(("ND"),(P6))))</formula>
    </cfRule>
  </conditionalFormatting>
  <conditionalFormatting sqref="P6:P14">
    <cfRule type="cellIs" dxfId="9267" priority="15065" operator="greaterThanOrEqual">
      <formula>5</formula>
    </cfRule>
  </conditionalFormatting>
  <conditionalFormatting sqref="P6:P14">
    <cfRule type="cellIs" dxfId="9266" priority="15066" operator="greaterThanOrEqual">
      <formula>2.5</formula>
    </cfRule>
  </conditionalFormatting>
  <conditionalFormatting sqref="Q6:Q14">
    <cfRule type="cellIs" dxfId="9265" priority="15068" operator="greaterThanOrEqual">
      <formula>500</formula>
    </cfRule>
  </conditionalFormatting>
  <conditionalFormatting sqref="Q6:Q14">
    <cfRule type="cellIs" dxfId="9264" priority="15069" operator="greaterThanOrEqual">
      <formula>300</formula>
    </cfRule>
  </conditionalFormatting>
  <conditionalFormatting sqref="B829:F1593 B1:F827 H1596:S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S1048576 B2441:F1048576 H1825:H1832 B1825:F1832 H2033:H2045 B2033:F2045 H829:S1593 H1:S827 H1626 H2441:H2454">
    <cfRule type="cellIs" dxfId="9263" priority="15042" operator="equal">
      <formula>"P"</formula>
    </cfRule>
  </conditionalFormatting>
  <conditionalFormatting sqref="L15:L21">
    <cfRule type="cellIs" dxfId="9262" priority="15021" operator="greaterThanOrEqual">
      <formula>5</formula>
    </cfRule>
  </conditionalFormatting>
  <conditionalFormatting sqref="L15:L21">
    <cfRule type="cellIs" dxfId="9261" priority="15022" operator="greaterThanOrEqual">
      <formula>2</formula>
    </cfRule>
  </conditionalFormatting>
  <conditionalFormatting sqref="M15:M21">
    <cfRule type="cellIs" dxfId="9260" priority="15023" operator="greaterThanOrEqual">
      <formula>60</formula>
    </cfRule>
  </conditionalFormatting>
  <conditionalFormatting sqref="M15:M21">
    <cfRule type="cellIs" dxfId="9259" priority="15024" operator="greaterThanOrEqual">
      <formula>30</formula>
    </cfRule>
  </conditionalFormatting>
  <conditionalFormatting sqref="R15:R21">
    <cfRule type="cellIs" dxfId="9258" priority="15025" operator="greaterThanOrEqual">
      <formula>600</formula>
    </cfRule>
  </conditionalFormatting>
  <conditionalFormatting sqref="R15:R21">
    <cfRule type="cellIs" dxfId="9257" priority="15026" operator="greaterThanOrEqual">
      <formula>260</formula>
    </cfRule>
  </conditionalFormatting>
  <conditionalFormatting sqref="S15:S21">
    <cfRule type="containsText" dxfId="9256" priority="15027" operator="containsText" text="&lt;">
      <formula>NOT(ISERROR(SEARCH(("&lt;"),(S15))))</formula>
    </cfRule>
  </conditionalFormatting>
  <conditionalFormatting sqref="S15:S21">
    <cfRule type="containsText" dxfId="9255" priority="15028" operator="containsText" text="ND">
      <formula>NOT(ISERROR(SEARCH(("ND"),(S15))))</formula>
    </cfRule>
  </conditionalFormatting>
  <conditionalFormatting sqref="S15:S21">
    <cfRule type="cellIs" dxfId="9254" priority="15029" operator="greaterThanOrEqual">
      <formula>200</formula>
    </cfRule>
  </conditionalFormatting>
  <conditionalFormatting sqref="S15:S21">
    <cfRule type="cellIs" dxfId="9253" priority="15030" operator="greaterThanOrEqual">
      <formula>130</formula>
    </cfRule>
  </conditionalFormatting>
  <conditionalFormatting sqref="N15:N21">
    <cfRule type="cellIs" dxfId="9252" priority="15031" operator="greaterThanOrEqual">
      <formula>200</formula>
    </cfRule>
  </conditionalFormatting>
  <conditionalFormatting sqref="N15:N21">
    <cfRule type="cellIs" dxfId="9251" priority="15032" operator="greaterThanOrEqual">
      <formula>120</formula>
    </cfRule>
  </conditionalFormatting>
  <conditionalFormatting sqref="O15:O21">
    <cfRule type="containsText" dxfId="9250" priority="15033" operator="containsText" text="ND">
      <formula>NOT(ISERROR(SEARCH(("ND"),(O15))))</formula>
    </cfRule>
  </conditionalFormatting>
  <conditionalFormatting sqref="O15:O21">
    <cfRule type="cellIs" dxfId="9249" priority="15034" operator="greaterThanOrEqual">
      <formula>250</formula>
    </cfRule>
  </conditionalFormatting>
  <conditionalFormatting sqref="O15:O21">
    <cfRule type="cellIs" dxfId="9248" priority="15035" operator="greaterThanOrEqual">
      <formula>175</formula>
    </cfRule>
  </conditionalFormatting>
  <conditionalFormatting sqref="P15:P21">
    <cfRule type="containsText" dxfId="9247" priority="15036" operator="containsText" text="ND">
      <formula>NOT(ISERROR(SEARCH(("ND"),(P15))))</formula>
    </cfRule>
  </conditionalFormatting>
  <conditionalFormatting sqref="P15:P21">
    <cfRule type="cellIs" dxfId="9246" priority="15037" operator="greaterThanOrEqual">
      <formula>5</formula>
    </cfRule>
  </conditionalFormatting>
  <conditionalFormatting sqref="P15:P21">
    <cfRule type="cellIs" dxfId="9245" priority="15038" operator="greaterThanOrEqual">
      <formula>2.5</formula>
    </cfRule>
  </conditionalFormatting>
  <conditionalFormatting sqref="Q15:Q21">
    <cfRule type="containsText" dxfId="9244" priority="15039" operator="containsText" text="ND">
      <formula>NOT(ISERROR(SEARCH(("ND"),(Q15))))</formula>
    </cfRule>
  </conditionalFormatting>
  <conditionalFormatting sqref="Q15:Q21">
    <cfRule type="cellIs" dxfId="9243" priority="15040" operator="greaterThanOrEqual">
      <formula>500</formula>
    </cfRule>
  </conditionalFormatting>
  <conditionalFormatting sqref="Q15:Q21">
    <cfRule type="cellIs" dxfId="9242" priority="15041" operator="greaterThanOrEqual">
      <formula>300</formula>
    </cfRule>
  </conditionalFormatting>
  <conditionalFormatting sqref="L22:L25">
    <cfRule type="cellIs" dxfId="9241" priority="15000" operator="greaterThanOrEqual">
      <formula>5</formula>
    </cfRule>
  </conditionalFormatting>
  <conditionalFormatting sqref="L22:L25">
    <cfRule type="cellIs" dxfId="9240" priority="15001" operator="greaterThanOrEqual">
      <formula>2</formula>
    </cfRule>
  </conditionalFormatting>
  <conditionalFormatting sqref="M22:M25">
    <cfRule type="cellIs" dxfId="9239" priority="15002" operator="greaterThanOrEqual">
      <formula>60</formula>
    </cfRule>
  </conditionalFormatting>
  <conditionalFormatting sqref="M22:M25">
    <cfRule type="cellIs" dxfId="9238" priority="15003" operator="greaterThanOrEqual">
      <formula>30</formula>
    </cfRule>
  </conditionalFormatting>
  <conditionalFormatting sqref="R22:R25">
    <cfRule type="cellIs" dxfId="9237" priority="15004" operator="greaterThanOrEqual">
      <formula>600</formula>
    </cfRule>
  </conditionalFormatting>
  <conditionalFormatting sqref="R22:R25">
    <cfRule type="cellIs" dxfId="9236" priority="15005" operator="greaterThanOrEqual">
      <formula>260</formula>
    </cfRule>
  </conditionalFormatting>
  <conditionalFormatting sqref="S22:S25">
    <cfRule type="containsText" dxfId="9235" priority="15006" operator="containsText" text="&lt;">
      <formula>NOT(ISERROR(SEARCH(("&lt;"),(S22))))</formula>
    </cfRule>
  </conditionalFormatting>
  <conditionalFormatting sqref="S22:S25">
    <cfRule type="containsText" dxfId="9234" priority="15007" operator="containsText" text="ND">
      <formula>NOT(ISERROR(SEARCH(("ND"),(S22))))</formula>
    </cfRule>
  </conditionalFormatting>
  <conditionalFormatting sqref="S22:S25">
    <cfRule type="cellIs" dxfId="9233" priority="15008" operator="greaterThanOrEqual">
      <formula>200</formula>
    </cfRule>
  </conditionalFormatting>
  <conditionalFormatting sqref="S22:S25">
    <cfRule type="cellIs" dxfId="9232" priority="15009" operator="greaterThanOrEqual">
      <formula>130</formula>
    </cfRule>
  </conditionalFormatting>
  <conditionalFormatting sqref="N22:N25">
    <cfRule type="cellIs" dxfId="9231" priority="15010" operator="greaterThanOrEqual">
      <formula>200</formula>
    </cfRule>
  </conditionalFormatting>
  <conditionalFormatting sqref="N22:N25">
    <cfRule type="cellIs" dxfId="9230" priority="15011" operator="greaterThanOrEqual">
      <formula>120</formula>
    </cfRule>
  </conditionalFormatting>
  <conditionalFormatting sqref="O22:O25">
    <cfRule type="containsText" dxfId="9229" priority="15012" operator="containsText" text="ND">
      <formula>NOT(ISERROR(SEARCH(("ND"),(O22))))</formula>
    </cfRule>
  </conditionalFormatting>
  <conditionalFormatting sqref="O22:O25">
    <cfRule type="cellIs" dxfId="9228" priority="15013" operator="greaterThanOrEqual">
      <formula>250</formula>
    </cfRule>
  </conditionalFormatting>
  <conditionalFormatting sqref="O22:O25">
    <cfRule type="cellIs" dxfId="9227" priority="15014" operator="greaterThanOrEqual">
      <formula>175</formula>
    </cfRule>
  </conditionalFormatting>
  <conditionalFormatting sqref="P22:P25">
    <cfRule type="containsText" dxfId="9226" priority="15015" operator="containsText" text="ND">
      <formula>NOT(ISERROR(SEARCH(("ND"),(P22))))</formula>
    </cfRule>
  </conditionalFormatting>
  <conditionalFormatting sqref="P22:P25">
    <cfRule type="cellIs" dxfId="9225" priority="15016" operator="greaterThanOrEqual">
      <formula>5</formula>
    </cfRule>
  </conditionalFormatting>
  <conditionalFormatting sqref="P22:P25">
    <cfRule type="cellIs" dxfId="9224" priority="15017" operator="greaterThanOrEqual">
      <formula>2.5</formula>
    </cfRule>
  </conditionalFormatting>
  <conditionalFormatting sqref="Q22:Q25">
    <cfRule type="containsText" dxfId="9223" priority="15018" operator="containsText" text="ND">
      <formula>NOT(ISERROR(SEARCH(("ND"),(Q22))))</formula>
    </cfRule>
  </conditionalFormatting>
  <conditionalFormatting sqref="Q22:Q25">
    <cfRule type="cellIs" dxfId="9222" priority="15019" operator="greaterThanOrEqual">
      <formula>500</formula>
    </cfRule>
  </conditionalFormatting>
  <conditionalFormatting sqref="Q22:Q25">
    <cfRule type="cellIs" dxfId="9221" priority="15020" operator="greaterThanOrEqual">
      <formula>300</formula>
    </cfRule>
  </conditionalFormatting>
  <conditionalFormatting sqref="L26:L44">
    <cfRule type="cellIs" dxfId="9220" priority="14979" operator="greaterThanOrEqual">
      <formula>5</formula>
    </cfRule>
  </conditionalFormatting>
  <conditionalFormatting sqref="L26:L44">
    <cfRule type="cellIs" dxfId="9219" priority="14980" operator="greaterThanOrEqual">
      <formula>2</formula>
    </cfRule>
  </conditionalFormatting>
  <conditionalFormatting sqref="M26:M44">
    <cfRule type="cellIs" dxfId="9218" priority="14981" operator="greaterThanOrEqual">
      <formula>60</formula>
    </cfRule>
  </conditionalFormatting>
  <conditionalFormatting sqref="M26:M44">
    <cfRule type="cellIs" dxfId="9217" priority="14982" operator="greaterThanOrEqual">
      <formula>30</formula>
    </cfRule>
  </conditionalFormatting>
  <conditionalFormatting sqref="R26:R44">
    <cfRule type="cellIs" dxfId="9216" priority="14983" operator="greaterThanOrEqual">
      <formula>600</formula>
    </cfRule>
  </conditionalFormatting>
  <conditionalFormatting sqref="R26:R44">
    <cfRule type="cellIs" dxfId="9215" priority="14984" operator="greaterThanOrEqual">
      <formula>260</formula>
    </cfRule>
  </conditionalFormatting>
  <conditionalFormatting sqref="S26:S44">
    <cfRule type="containsText" dxfId="9214" priority="14985" operator="containsText" text="&lt;">
      <formula>NOT(ISERROR(SEARCH(("&lt;"),(S26))))</formula>
    </cfRule>
  </conditionalFormatting>
  <conditionalFormatting sqref="S26:S44">
    <cfRule type="containsText" dxfId="9213" priority="14986" operator="containsText" text="ND">
      <formula>NOT(ISERROR(SEARCH(("ND"),(S26))))</formula>
    </cfRule>
  </conditionalFormatting>
  <conditionalFormatting sqref="S26:S44">
    <cfRule type="cellIs" dxfId="9212" priority="14987" operator="greaterThanOrEqual">
      <formula>200</formula>
    </cfRule>
  </conditionalFormatting>
  <conditionalFormatting sqref="S26:S44">
    <cfRule type="cellIs" dxfId="9211" priority="14988" operator="greaterThanOrEqual">
      <formula>130</formula>
    </cfRule>
  </conditionalFormatting>
  <conditionalFormatting sqref="N26:N44">
    <cfRule type="cellIs" dxfId="9210" priority="14989" operator="greaterThanOrEqual">
      <formula>200</formula>
    </cfRule>
  </conditionalFormatting>
  <conditionalFormatting sqref="N26:N44">
    <cfRule type="cellIs" dxfId="9209" priority="14990" operator="greaterThanOrEqual">
      <formula>120</formula>
    </cfRule>
  </conditionalFormatting>
  <conditionalFormatting sqref="O26:O44">
    <cfRule type="containsText" dxfId="9208" priority="14991" operator="containsText" text="ND">
      <formula>NOT(ISERROR(SEARCH(("ND"),(O26))))</formula>
    </cfRule>
  </conditionalFormatting>
  <conditionalFormatting sqref="O26:O44">
    <cfRule type="cellIs" dxfId="9207" priority="14992" operator="greaterThanOrEqual">
      <formula>250</formula>
    </cfRule>
  </conditionalFormatting>
  <conditionalFormatting sqref="O26:O44">
    <cfRule type="cellIs" dxfId="9206" priority="14993" operator="greaterThanOrEqual">
      <formula>175</formula>
    </cfRule>
  </conditionalFormatting>
  <conditionalFormatting sqref="P26:P44">
    <cfRule type="containsText" dxfId="9205" priority="14994" operator="containsText" text="ND">
      <formula>NOT(ISERROR(SEARCH(("ND"),(P26))))</formula>
    </cfRule>
  </conditionalFormatting>
  <conditionalFormatting sqref="P26:P44">
    <cfRule type="cellIs" dxfId="9204" priority="14995" operator="greaterThanOrEqual">
      <formula>5</formula>
    </cfRule>
  </conditionalFormatting>
  <conditionalFormatting sqref="P26:P44">
    <cfRule type="cellIs" dxfId="9203" priority="14996" operator="greaterThanOrEqual">
      <formula>2.5</formula>
    </cfRule>
  </conditionalFormatting>
  <conditionalFormatting sqref="Q26:Q44">
    <cfRule type="containsText" dxfId="9202" priority="14997" operator="containsText" text="ND">
      <formula>NOT(ISERROR(SEARCH(("ND"),(Q26))))</formula>
    </cfRule>
  </conditionalFormatting>
  <conditionalFormatting sqref="Q26:Q44">
    <cfRule type="cellIs" dxfId="9201" priority="14998" operator="greaterThanOrEqual">
      <formula>500</formula>
    </cfRule>
  </conditionalFormatting>
  <conditionalFormatting sqref="Q26:Q44">
    <cfRule type="cellIs" dxfId="9200" priority="14999" operator="greaterThanOrEqual">
      <formula>300</formula>
    </cfRule>
  </conditionalFormatting>
  <conditionalFormatting sqref="L1479:L1480">
    <cfRule type="cellIs" dxfId="9199" priority="14958" operator="greaterThanOrEqual">
      <formula>5</formula>
    </cfRule>
  </conditionalFormatting>
  <conditionalFormatting sqref="L1479:L1480">
    <cfRule type="cellIs" dxfId="9198" priority="14959" operator="greaterThanOrEqual">
      <formula>2</formula>
    </cfRule>
  </conditionalFormatting>
  <conditionalFormatting sqref="M1479:M1480">
    <cfRule type="cellIs" dxfId="9197" priority="14960" operator="greaterThanOrEqual">
      <formula>60</formula>
    </cfRule>
  </conditionalFormatting>
  <conditionalFormatting sqref="M1479:M1480">
    <cfRule type="cellIs" dxfId="9196" priority="14961" operator="greaterThanOrEqual">
      <formula>30</formula>
    </cfRule>
  </conditionalFormatting>
  <conditionalFormatting sqref="R1479:R1480">
    <cfRule type="cellIs" dxfId="9195" priority="14962" operator="greaterThanOrEqual">
      <formula>600</formula>
    </cfRule>
  </conditionalFormatting>
  <conditionalFormatting sqref="R1479:R1480">
    <cfRule type="cellIs" dxfId="9194" priority="14963" operator="greaterThanOrEqual">
      <formula>260</formula>
    </cfRule>
  </conditionalFormatting>
  <conditionalFormatting sqref="S1479:S1480">
    <cfRule type="containsText" dxfId="9193" priority="14964" operator="containsText" text="&lt;">
      <formula>NOT(ISERROR(SEARCH(("&lt;"),(S1479))))</formula>
    </cfRule>
  </conditionalFormatting>
  <conditionalFormatting sqref="S1479:S1480">
    <cfRule type="containsText" dxfId="9192" priority="14965" operator="containsText" text="ND">
      <formula>NOT(ISERROR(SEARCH(("ND"),(S1479))))</formula>
    </cfRule>
  </conditionalFormatting>
  <conditionalFormatting sqref="S1479:S1480">
    <cfRule type="cellIs" dxfId="9191" priority="14966" operator="greaterThanOrEqual">
      <formula>200</formula>
    </cfRule>
  </conditionalFormatting>
  <conditionalFormatting sqref="S1479:S1480">
    <cfRule type="cellIs" dxfId="9190" priority="14967" operator="greaterThanOrEqual">
      <formula>130</formula>
    </cfRule>
  </conditionalFormatting>
  <conditionalFormatting sqref="N1479:N1480">
    <cfRule type="cellIs" dxfId="9189" priority="14968" operator="greaterThanOrEqual">
      <formula>200</formula>
    </cfRule>
  </conditionalFormatting>
  <conditionalFormatting sqref="N1479:N1480">
    <cfRule type="cellIs" dxfId="9188" priority="14969" operator="greaterThanOrEqual">
      <formula>120</formula>
    </cfRule>
  </conditionalFormatting>
  <conditionalFormatting sqref="O1479:O1480">
    <cfRule type="containsText" dxfId="9187" priority="14970" operator="containsText" text="ND">
      <formula>NOT(ISERROR(SEARCH(("ND"),(O1479))))</formula>
    </cfRule>
  </conditionalFormatting>
  <conditionalFormatting sqref="O1479:O1480">
    <cfRule type="cellIs" dxfId="9186" priority="14971" operator="greaterThanOrEqual">
      <formula>250</formula>
    </cfRule>
  </conditionalFormatting>
  <conditionalFormatting sqref="O1479:O1480">
    <cfRule type="cellIs" dxfId="9185" priority="14972" operator="greaterThanOrEqual">
      <formula>175</formula>
    </cfRule>
  </conditionalFormatting>
  <conditionalFormatting sqref="P1479:P1480">
    <cfRule type="containsText" dxfId="9184" priority="14973" operator="containsText" text="ND">
      <formula>NOT(ISERROR(SEARCH(("ND"),(P1479))))</formula>
    </cfRule>
  </conditionalFormatting>
  <conditionalFormatting sqref="P1479:P1480">
    <cfRule type="cellIs" dxfId="9183" priority="14974" operator="greaterThanOrEqual">
      <formula>5</formula>
    </cfRule>
  </conditionalFormatting>
  <conditionalFormatting sqref="P1479:P1480">
    <cfRule type="cellIs" dxfId="9182" priority="14975" operator="greaterThanOrEqual">
      <formula>2.5</formula>
    </cfRule>
  </conditionalFormatting>
  <conditionalFormatting sqref="Q1479:Q1480">
    <cfRule type="containsText" dxfId="9181" priority="14976" operator="containsText" text="ND">
      <formula>NOT(ISERROR(SEARCH(("ND"),(Q1479))))</formula>
    </cfRule>
  </conditionalFormatting>
  <conditionalFormatting sqref="Q1479:Q1480">
    <cfRule type="cellIs" dxfId="9180" priority="14977" operator="greaterThanOrEqual">
      <formula>500</formula>
    </cfRule>
  </conditionalFormatting>
  <conditionalFormatting sqref="Q1479:Q1480">
    <cfRule type="cellIs" dxfId="9179" priority="14978" operator="greaterThanOrEqual">
      <formula>300</formula>
    </cfRule>
  </conditionalFormatting>
  <conditionalFormatting sqref="L548:L551">
    <cfRule type="cellIs" dxfId="9178" priority="14937" operator="greaterThanOrEqual">
      <formula>5</formula>
    </cfRule>
  </conditionalFormatting>
  <conditionalFormatting sqref="L548:L551">
    <cfRule type="cellIs" dxfId="9177" priority="14938" operator="greaterThanOrEqual">
      <formula>2</formula>
    </cfRule>
  </conditionalFormatting>
  <conditionalFormatting sqref="M548:M551">
    <cfRule type="cellIs" dxfId="9176" priority="14939" operator="greaterThanOrEqual">
      <formula>60</formula>
    </cfRule>
  </conditionalFormatting>
  <conditionalFormatting sqref="M548:M551">
    <cfRule type="cellIs" dxfId="9175" priority="14940" operator="greaterThanOrEqual">
      <formula>30</formula>
    </cfRule>
  </conditionalFormatting>
  <conditionalFormatting sqref="R548:R551">
    <cfRule type="cellIs" dxfId="9174" priority="14941" operator="greaterThanOrEqual">
      <formula>600</formula>
    </cfRule>
  </conditionalFormatting>
  <conditionalFormatting sqref="R548:R551">
    <cfRule type="cellIs" dxfId="9173" priority="14942" operator="greaterThanOrEqual">
      <formula>260</formula>
    </cfRule>
  </conditionalFormatting>
  <conditionalFormatting sqref="S548:S551">
    <cfRule type="containsText" dxfId="9172" priority="14943" operator="containsText" text="&lt;">
      <formula>NOT(ISERROR(SEARCH(("&lt;"),(S548))))</formula>
    </cfRule>
  </conditionalFormatting>
  <conditionalFormatting sqref="S548:S551">
    <cfRule type="containsText" dxfId="9171" priority="14944" operator="containsText" text="ND">
      <formula>NOT(ISERROR(SEARCH(("ND"),(S548))))</formula>
    </cfRule>
  </conditionalFormatting>
  <conditionalFormatting sqref="S548:S551">
    <cfRule type="cellIs" dxfId="9170" priority="14945" operator="greaterThanOrEqual">
      <formula>200</formula>
    </cfRule>
  </conditionalFormatting>
  <conditionalFormatting sqref="S548:S551">
    <cfRule type="cellIs" dxfId="9169" priority="14946" operator="greaterThanOrEqual">
      <formula>130</formula>
    </cfRule>
  </conditionalFormatting>
  <conditionalFormatting sqref="N548:N551">
    <cfRule type="cellIs" dxfId="9168" priority="14947" operator="greaterThanOrEqual">
      <formula>200</formula>
    </cfRule>
  </conditionalFormatting>
  <conditionalFormatting sqref="N548:N551">
    <cfRule type="cellIs" dxfId="9167" priority="14948" operator="greaterThanOrEqual">
      <formula>120</formula>
    </cfRule>
  </conditionalFormatting>
  <conditionalFormatting sqref="O548:O551">
    <cfRule type="containsText" dxfId="9166" priority="14949" operator="containsText" text="ND">
      <formula>NOT(ISERROR(SEARCH(("ND"),(O548))))</formula>
    </cfRule>
  </conditionalFormatting>
  <conditionalFormatting sqref="O548:O551">
    <cfRule type="cellIs" dxfId="9165" priority="14950" operator="greaterThanOrEqual">
      <formula>250</formula>
    </cfRule>
  </conditionalFormatting>
  <conditionalFormatting sqref="O548:O551">
    <cfRule type="cellIs" dxfId="9164" priority="14951" operator="greaterThanOrEqual">
      <formula>175</formula>
    </cfRule>
  </conditionalFormatting>
  <conditionalFormatting sqref="P548:P551">
    <cfRule type="containsText" dxfId="9163" priority="14952" operator="containsText" text="ND">
      <formula>NOT(ISERROR(SEARCH(("ND"),(P548))))</formula>
    </cfRule>
  </conditionalFormatting>
  <conditionalFormatting sqref="P548:P551">
    <cfRule type="cellIs" dxfId="9162" priority="14953" operator="greaterThanOrEqual">
      <formula>5</formula>
    </cfRule>
  </conditionalFormatting>
  <conditionalFormatting sqref="P548:P551">
    <cfRule type="cellIs" dxfId="9161" priority="14954" operator="greaterThanOrEqual">
      <formula>2.5</formula>
    </cfRule>
  </conditionalFormatting>
  <conditionalFormatting sqref="Q548:Q551">
    <cfRule type="containsText" dxfId="9160" priority="14955" operator="containsText" text="ND">
      <formula>NOT(ISERROR(SEARCH(("ND"),(Q548))))</formula>
    </cfRule>
  </conditionalFormatting>
  <conditionalFormatting sqref="Q548:Q551">
    <cfRule type="cellIs" dxfId="9159" priority="14956" operator="greaterThanOrEqual">
      <formula>500</formula>
    </cfRule>
  </conditionalFormatting>
  <conditionalFormatting sqref="Q548:Q551">
    <cfRule type="cellIs" dxfId="9158" priority="14957" operator="greaterThanOrEqual">
      <formula>300</formula>
    </cfRule>
  </conditionalFormatting>
  <conditionalFormatting sqref="L1481:L1482">
    <cfRule type="cellIs" dxfId="9157" priority="14910" operator="greaterThanOrEqual">
      <formula>5</formula>
    </cfRule>
  </conditionalFormatting>
  <conditionalFormatting sqref="L1481:L1482">
    <cfRule type="cellIs" dxfId="9156" priority="14911" operator="greaterThanOrEqual">
      <formula>2</formula>
    </cfRule>
  </conditionalFormatting>
  <conditionalFormatting sqref="M1481:M1482">
    <cfRule type="cellIs" dxfId="9155" priority="14912" operator="greaterThanOrEqual">
      <formula>60</formula>
    </cfRule>
  </conditionalFormatting>
  <conditionalFormatting sqref="M1481:M1482">
    <cfRule type="cellIs" dxfId="9154" priority="14913" operator="greaterThanOrEqual">
      <formula>30</formula>
    </cfRule>
  </conditionalFormatting>
  <conditionalFormatting sqref="R1481:R1482">
    <cfRule type="cellIs" dxfId="9153" priority="14914" operator="greaterThanOrEqual">
      <formula>600</formula>
    </cfRule>
  </conditionalFormatting>
  <conditionalFormatting sqref="R1481:R1482">
    <cfRule type="cellIs" dxfId="9152" priority="14915" operator="greaterThanOrEqual">
      <formula>260</formula>
    </cfRule>
  </conditionalFormatting>
  <conditionalFormatting sqref="S1481:S1482">
    <cfRule type="containsText" dxfId="9151" priority="14916" operator="containsText" text="&lt;">
      <formula>NOT(ISERROR(SEARCH(("&lt;"),(S1481))))</formula>
    </cfRule>
  </conditionalFormatting>
  <conditionalFormatting sqref="S1481:S1482">
    <cfRule type="containsText" dxfId="9150" priority="14917" operator="containsText" text="ND">
      <formula>NOT(ISERROR(SEARCH(("ND"),(S1481))))</formula>
    </cfRule>
  </conditionalFormatting>
  <conditionalFormatting sqref="S1481:S1482">
    <cfRule type="cellIs" dxfId="9149" priority="14918" operator="greaterThanOrEqual">
      <formula>200</formula>
    </cfRule>
  </conditionalFormatting>
  <conditionalFormatting sqref="S1481:S1482">
    <cfRule type="cellIs" dxfId="9148" priority="14919" operator="greaterThanOrEqual">
      <formula>130</formula>
    </cfRule>
  </conditionalFormatting>
  <conditionalFormatting sqref="N1481:N1482">
    <cfRule type="cellIs" dxfId="9147" priority="14920" operator="greaterThanOrEqual">
      <formula>200</formula>
    </cfRule>
  </conditionalFormatting>
  <conditionalFormatting sqref="N1481:N1482">
    <cfRule type="cellIs" dxfId="9146" priority="14921" operator="greaterThanOrEqual">
      <formula>120</formula>
    </cfRule>
  </conditionalFormatting>
  <conditionalFormatting sqref="O1481:O1482">
    <cfRule type="containsText" dxfId="9145" priority="14922" operator="containsText" text="ND">
      <formula>NOT(ISERROR(SEARCH(("ND"),(O1481))))</formula>
    </cfRule>
  </conditionalFormatting>
  <conditionalFormatting sqref="O1481:O1482">
    <cfRule type="cellIs" dxfId="9144" priority="14923" operator="greaterThanOrEqual">
      <formula>250</formula>
    </cfRule>
  </conditionalFormatting>
  <conditionalFormatting sqref="O1481:O1482">
    <cfRule type="cellIs" dxfId="9143" priority="14924" operator="greaterThanOrEqual">
      <formula>175</formula>
    </cfRule>
  </conditionalFormatting>
  <conditionalFormatting sqref="P1481:P1482">
    <cfRule type="containsText" dxfId="9142" priority="14925" operator="containsText" text="ND">
      <formula>NOT(ISERROR(SEARCH(("ND"),(P1481))))</formula>
    </cfRule>
  </conditionalFormatting>
  <conditionalFormatting sqref="P1481:P1482">
    <cfRule type="cellIs" dxfId="9141" priority="14926" operator="greaterThanOrEqual">
      <formula>5</formula>
    </cfRule>
  </conditionalFormatting>
  <conditionalFormatting sqref="P1481:P1482">
    <cfRule type="cellIs" dxfId="9140" priority="14927" operator="greaterThanOrEqual">
      <formula>2.5</formula>
    </cfRule>
  </conditionalFormatting>
  <conditionalFormatting sqref="Q1481:Q1482">
    <cfRule type="containsText" dxfId="9139" priority="14928" operator="containsText" text="ND">
      <formula>NOT(ISERROR(SEARCH(("ND"),(Q1481))))</formula>
    </cfRule>
  </conditionalFormatting>
  <conditionalFormatting sqref="Q1481:Q1482">
    <cfRule type="cellIs" dxfId="9138" priority="14929" operator="greaterThanOrEqual">
      <formula>500</formula>
    </cfRule>
  </conditionalFormatting>
  <conditionalFormatting sqref="Q1481:Q1482">
    <cfRule type="cellIs" dxfId="9137" priority="14930" operator="greaterThanOrEqual">
      <formula>300</formula>
    </cfRule>
  </conditionalFormatting>
  <conditionalFormatting sqref="L45:L47">
    <cfRule type="cellIs" dxfId="9136" priority="14888" operator="greaterThanOrEqual">
      <formula>5</formula>
    </cfRule>
  </conditionalFormatting>
  <conditionalFormatting sqref="L45:L47">
    <cfRule type="cellIs" dxfId="9135" priority="14889" operator="greaterThanOrEqual">
      <formula>2</formula>
    </cfRule>
  </conditionalFormatting>
  <conditionalFormatting sqref="M45:M47">
    <cfRule type="cellIs" dxfId="9134" priority="14890" operator="greaterThanOrEqual">
      <formula>60</formula>
    </cfRule>
  </conditionalFormatting>
  <conditionalFormatting sqref="M45:M47">
    <cfRule type="cellIs" dxfId="9133" priority="14891" operator="greaterThanOrEqual">
      <formula>30</formula>
    </cfRule>
  </conditionalFormatting>
  <conditionalFormatting sqref="R45:R47">
    <cfRule type="cellIs" dxfId="9132" priority="14892" operator="greaterThanOrEqual">
      <formula>600</formula>
    </cfRule>
  </conditionalFormatting>
  <conditionalFormatting sqref="R45:R47">
    <cfRule type="cellIs" dxfId="9131" priority="14893" operator="greaterThanOrEqual">
      <formula>260</formula>
    </cfRule>
  </conditionalFormatting>
  <conditionalFormatting sqref="S45:S47">
    <cfRule type="containsText" dxfId="9130" priority="14894" operator="containsText" text="&lt;">
      <formula>NOT(ISERROR(SEARCH(("&lt;"),(S45))))</formula>
    </cfRule>
  </conditionalFormatting>
  <conditionalFormatting sqref="S45:S47">
    <cfRule type="containsText" dxfId="9129" priority="14895" operator="containsText" text="ND">
      <formula>NOT(ISERROR(SEARCH(("ND"),(S45))))</formula>
    </cfRule>
  </conditionalFormatting>
  <conditionalFormatting sqref="S45:S47">
    <cfRule type="cellIs" dxfId="9128" priority="14896" operator="greaterThanOrEqual">
      <formula>200</formula>
    </cfRule>
  </conditionalFormatting>
  <conditionalFormatting sqref="S45:S47">
    <cfRule type="cellIs" dxfId="9127" priority="14897" operator="greaterThanOrEqual">
      <formula>130</formula>
    </cfRule>
  </conditionalFormatting>
  <conditionalFormatting sqref="N45:N47">
    <cfRule type="cellIs" dxfId="9126" priority="14898" operator="greaterThanOrEqual">
      <formula>200</formula>
    </cfRule>
  </conditionalFormatting>
  <conditionalFormatting sqref="N45:N47">
    <cfRule type="cellIs" dxfId="9125" priority="14899" operator="greaterThanOrEqual">
      <formula>120</formula>
    </cfRule>
  </conditionalFormatting>
  <conditionalFormatting sqref="O45:O47">
    <cfRule type="containsText" dxfId="9124" priority="14900" operator="containsText" text="ND">
      <formula>NOT(ISERROR(SEARCH(("ND"),(O45))))</formula>
    </cfRule>
  </conditionalFormatting>
  <conditionalFormatting sqref="O45:O47">
    <cfRule type="cellIs" dxfId="9123" priority="14901" operator="greaterThanOrEqual">
      <formula>250</formula>
    </cfRule>
  </conditionalFormatting>
  <conditionalFormatting sqref="O45:O47">
    <cfRule type="cellIs" dxfId="9122" priority="14902" operator="greaterThanOrEqual">
      <formula>175</formula>
    </cfRule>
  </conditionalFormatting>
  <conditionalFormatting sqref="P45:P47">
    <cfRule type="containsText" dxfId="9121" priority="14903" operator="containsText" text="ND">
      <formula>NOT(ISERROR(SEARCH(("ND"),(P45))))</formula>
    </cfRule>
  </conditionalFormatting>
  <conditionalFormatting sqref="P45:P47">
    <cfRule type="cellIs" dxfId="9120" priority="14904" operator="greaterThanOrEqual">
      <formula>5</formula>
    </cfRule>
  </conditionalFormatting>
  <conditionalFormatting sqref="P45:P47">
    <cfRule type="cellIs" dxfId="9119" priority="14905" operator="greaterThanOrEqual">
      <formula>2.5</formula>
    </cfRule>
  </conditionalFormatting>
  <conditionalFormatting sqref="Q45:Q47">
    <cfRule type="containsText" dxfId="9118" priority="14906" operator="containsText" text="ND">
      <formula>NOT(ISERROR(SEARCH(("ND"),(Q45))))</formula>
    </cfRule>
  </conditionalFormatting>
  <conditionalFormatting sqref="Q45:Q47">
    <cfRule type="cellIs" dxfId="9117" priority="14907" operator="greaterThanOrEqual">
      <formula>500</formula>
    </cfRule>
  </conditionalFormatting>
  <conditionalFormatting sqref="Q45:Q47">
    <cfRule type="cellIs" dxfId="9116" priority="14908" operator="greaterThanOrEqual">
      <formula>300</formula>
    </cfRule>
  </conditionalFormatting>
  <conditionalFormatting sqref="L48:L59">
    <cfRule type="cellIs" dxfId="9115" priority="14867" operator="greaterThanOrEqual">
      <formula>5</formula>
    </cfRule>
  </conditionalFormatting>
  <conditionalFormatting sqref="L48:L59">
    <cfRule type="cellIs" dxfId="9114" priority="14868" operator="greaterThanOrEqual">
      <formula>2</formula>
    </cfRule>
  </conditionalFormatting>
  <conditionalFormatting sqref="M48:M59">
    <cfRule type="cellIs" dxfId="9113" priority="14869" operator="greaterThanOrEqual">
      <formula>60</formula>
    </cfRule>
  </conditionalFormatting>
  <conditionalFormatting sqref="M48:M59">
    <cfRule type="cellIs" dxfId="9112" priority="14870" operator="greaterThanOrEqual">
      <formula>30</formula>
    </cfRule>
  </conditionalFormatting>
  <conditionalFormatting sqref="R48:R59">
    <cfRule type="cellIs" dxfId="9111" priority="14871" operator="greaterThanOrEqual">
      <formula>600</formula>
    </cfRule>
  </conditionalFormatting>
  <conditionalFormatting sqref="R48:R59">
    <cfRule type="cellIs" dxfId="9110" priority="14872" operator="greaterThanOrEqual">
      <formula>260</formula>
    </cfRule>
  </conditionalFormatting>
  <conditionalFormatting sqref="S48:S59">
    <cfRule type="containsText" dxfId="9109" priority="14873" operator="containsText" text="&lt;">
      <formula>NOT(ISERROR(SEARCH(("&lt;"),(S48))))</formula>
    </cfRule>
  </conditionalFormatting>
  <conditionalFormatting sqref="S48:S59">
    <cfRule type="containsText" dxfId="9108" priority="14874" operator="containsText" text="ND">
      <formula>NOT(ISERROR(SEARCH(("ND"),(S48))))</formula>
    </cfRule>
  </conditionalFormatting>
  <conditionalFormatting sqref="S48:S59">
    <cfRule type="cellIs" dxfId="9107" priority="14875" operator="greaterThanOrEqual">
      <formula>200</formula>
    </cfRule>
  </conditionalFormatting>
  <conditionalFormatting sqref="S48:S59">
    <cfRule type="cellIs" dxfId="9106" priority="14876" operator="greaterThanOrEqual">
      <formula>130</formula>
    </cfRule>
  </conditionalFormatting>
  <conditionalFormatting sqref="N48:N59">
    <cfRule type="cellIs" dxfId="9105" priority="14877" operator="greaterThanOrEqual">
      <formula>200</formula>
    </cfRule>
  </conditionalFormatting>
  <conditionalFormatting sqref="N48:N59">
    <cfRule type="cellIs" dxfId="9104" priority="14878" operator="greaterThanOrEqual">
      <formula>120</formula>
    </cfRule>
  </conditionalFormatting>
  <conditionalFormatting sqref="O48:O59">
    <cfRule type="containsText" dxfId="9103" priority="14879" operator="containsText" text="ND">
      <formula>NOT(ISERROR(SEARCH(("ND"),(O48))))</formula>
    </cfRule>
  </conditionalFormatting>
  <conditionalFormatting sqref="O48:O59">
    <cfRule type="cellIs" dxfId="9102" priority="14880" operator="greaterThanOrEqual">
      <formula>250</formula>
    </cfRule>
  </conditionalFormatting>
  <conditionalFormatting sqref="O48:O59">
    <cfRule type="cellIs" dxfId="9101" priority="14881" operator="greaterThanOrEqual">
      <formula>175</formula>
    </cfRule>
  </conditionalFormatting>
  <conditionalFormatting sqref="P48:P59">
    <cfRule type="containsText" dxfId="9100" priority="14882" operator="containsText" text="ND">
      <formula>NOT(ISERROR(SEARCH(("ND"),(P48))))</formula>
    </cfRule>
  </conditionalFormatting>
  <conditionalFormatting sqref="P48:P59">
    <cfRule type="cellIs" dxfId="9099" priority="14883" operator="greaterThanOrEqual">
      <formula>5</formula>
    </cfRule>
  </conditionalFormatting>
  <conditionalFormatting sqref="P48:P59">
    <cfRule type="cellIs" dxfId="9098" priority="14884" operator="greaterThanOrEqual">
      <formula>2.5</formula>
    </cfRule>
  </conditionalFormatting>
  <conditionalFormatting sqref="Q48:Q59">
    <cfRule type="containsText" dxfId="9097" priority="14885" operator="containsText" text="ND">
      <formula>NOT(ISERROR(SEARCH(("ND"),(Q48))))</formula>
    </cfRule>
  </conditionalFormatting>
  <conditionalFormatting sqref="Q48:Q59">
    <cfRule type="cellIs" dxfId="9096" priority="14886" operator="greaterThanOrEqual">
      <formula>500</formula>
    </cfRule>
  </conditionalFormatting>
  <conditionalFormatting sqref="Q48:Q59">
    <cfRule type="cellIs" dxfId="9095" priority="14887" operator="greaterThanOrEqual">
      <formula>300</formula>
    </cfRule>
  </conditionalFormatting>
  <conditionalFormatting sqref="L557:L564">
    <cfRule type="cellIs" dxfId="9094" priority="14846" operator="greaterThanOrEqual">
      <formula>5</formula>
    </cfRule>
  </conditionalFormatting>
  <conditionalFormatting sqref="L557:L564">
    <cfRule type="cellIs" dxfId="9093" priority="14847" operator="greaterThanOrEqual">
      <formula>2</formula>
    </cfRule>
  </conditionalFormatting>
  <conditionalFormatting sqref="M557:M564">
    <cfRule type="cellIs" dxfId="9092" priority="14848" operator="greaterThanOrEqual">
      <formula>60</formula>
    </cfRule>
  </conditionalFormatting>
  <conditionalFormatting sqref="M557:M564">
    <cfRule type="cellIs" dxfId="9091" priority="14849" operator="greaterThanOrEqual">
      <formula>30</formula>
    </cfRule>
  </conditionalFormatting>
  <conditionalFormatting sqref="R557:R564">
    <cfRule type="cellIs" dxfId="9090" priority="14850" operator="greaterThanOrEqual">
      <formula>600</formula>
    </cfRule>
  </conditionalFormatting>
  <conditionalFormatting sqref="R557:R564">
    <cfRule type="cellIs" dxfId="9089" priority="14851" operator="greaterThanOrEqual">
      <formula>260</formula>
    </cfRule>
  </conditionalFormatting>
  <conditionalFormatting sqref="S557:S564">
    <cfRule type="containsText" dxfId="9088" priority="14852" operator="containsText" text="&lt;">
      <formula>NOT(ISERROR(SEARCH(("&lt;"),(S557))))</formula>
    </cfRule>
  </conditionalFormatting>
  <conditionalFormatting sqref="S557:S564">
    <cfRule type="containsText" dxfId="9087" priority="14853" operator="containsText" text="ND">
      <formula>NOT(ISERROR(SEARCH(("ND"),(S557))))</formula>
    </cfRule>
  </conditionalFormatting>
  <conditionalFormatting sqref="S557:S564">
    <cfRule type="cellIs" dxfId="9086" priority="14854" operator="greaterThanOrEqual">
      <formula>200</formula>
    </cfRule>
  </conditionalFormatting>
  <conditionalFormatting sqref="S557:S564">
    <cfRule type="cellIs" dxfId="9085" priority="14855" operator="greaterThanOrEqual">
      <formula>130</formula>
    </cfRule>
  </conditionalFormatting>
  <conditionalFormatting sqref="N557:N564">
    <cfRule type="cellIs" dxfId="9084" priority="14856" operator="greaterThanOrEqual">
      <formula>200</formula>
    </cfRule>
  </conditionalFormatting>
  <conditionalFormatting sqref="N557:N564">
    <cfRule type="cellIs" dxfId="9083" priority="14857" operator="greaterThanOrEqual">
      <formula>120</formula>
    </cfRule>
  </conditionalFormatting>
  <conditionalFormatting sqref="O557:O564">
    <cfRule type="containsText" dxfId="9082" priority="14858" operator="containsText" text="ND">
      <formula>NOT(ISERROR(SEARCH(("ND"),(O557))))</formula>
    </cfRule>
  </conditionalFormatting>
  <conditionalFormatting sqref="O557:O564">
    <cfRule type="cellIs" dxfId="9081" priority="14859" operator="greaterThanOrEqual">
      <formula>250</formula>
    </cfRule>
  </conditionalFormatting>
  <conditionalFormatting sqref="O557:O564">
    <cfRule type="cellIs" dxfId="9080" priority="14860" operator="greaterThanOrEqual">
      <formula>175</formula>
    </cfRule>
  </conditionalFormatting>
  <conditionalFormatting sqref="P557:P564">
    <cfRule type="containsText" dxfId="9079" priority="14861" operator="containsText" text="ND">
      <formula>NOT(ISERROR(SEARCH(("ND"),(P557))))</formula>
    </cfRule>
  </conditionalFormatting>
  <conditionalFormatting sqref="P557:P564">
    <cfRule type="cellIs" dxfId="9078" priority="14862" operator="greaterThanOrEqual">
      <formula>5</formula>
    </cfRule>
  </conditionalFormatting>
  <conditionalFormatting sqref="P557:P564">
    <cfRule type="cellIs" dxfId="9077" priority="14863" operator="greaterThanOrEqual">
      <formula>2.5</formula>
    </cfRule>
  </conditionalFormatting>
  <conditionalFormatting sqref="Q557:Q564">
    <cfRule type="containsText" dxfId="9076" priority="14864" operator="containsText" text="ND">
      <formula>NOT(ISERROR(SEARCH(("ND"),(Q557))))</formula>
    </cfRule>
  </conditionalFormatting>
  <conditionalFormatting sqref="Q557:Q564">
    <cfRule type="cellIs" dxfId="9075" priority="14865" operator="greaterThanOrEqual">
      <formula>500</formula>
    </cfRule>
  </conditionalFormatting>
  <conditionalFormatting sqref="Q557:Q564">
    <cfRule type="cellIs" dxfId="9074" priority="14866" operator="greaterThanOrEqual">
      <formula>300</formula>
    </cfRule>
  </conditionalFormatting>
  <conditionalFormatting sqref="L565:L584">
    <cfRule type="cellIs" dxfId="9073" priority="14823" operator="greaterThanOrEqual">
      <formula>5</formula>
    </cfRule>
  </conditionalFormatting>
  <conditionalFormatting sqref="L565:L584">
    <cfRule type="cellIs" dxfId="9072" priority="14824" operator="greaterThanOrEqual">
      <formula>2</formula>
    </cfRule>
  </conditionalFormatting>
  <conditionalFormatting sqref="M565:M584">
    <cfRule type="cellIs" dxfId="9071" priority="14825" operator="greaterThanOrEqual">
      <formula>60</formula>
    </cfRule>
  </conditionalFormatting>
  <conditionalFormatting sqref="M565:M584">
    <cfRule type="cellIs" dxfId="9070" priority="14826" operator="greaterThanOrEqual">
      <formula>30</formula>
    </cfRule>
  </conditionalFormatting>
  <conditionalFormatting sqref="R565:R584">
    <cfRule type="cellIs" dxfId="9069" priority="14827" operator="greaterThanOrEqual">
      <formula>600</formula>
    </cfRule>
  </conditionalFormatting>
  <conditionalFormatting sqref="R565:R584">
    <cfRule type="cellIs" dxfId="9068" priority="14828" operator="greaterThanOrEqual">
      <formula>260</formula>
    </cfRule>
  </conditionalFormatting>
  <conditionalFormatting sqref="S565:S584">
    <cfRule type="containsText" dxfId="9067" priority="14829" operator="containsText" text="&lt;">
      <formula>NOT(ISERROR(SEARCH(("&lt;"),(S565))))</formula>
    </cfRule>
  </conditionalFormatting>
  <conditionalFormatting sqref="S565:S584">
    <cfRule type="containsText" dxfId="9066" priority="14830" operator="containsText" text="ND">
      <formula>NOT(ISERROR(SEARCH(("ND"),(S565))))</formula>
    </cfRule>
  </conditionalFormatting>
  <conditionalFormatting sqref="S565:S584">
    <cfRule type="cellIs" dxfId="9065" priority="14831" operator="greaterThanOrEqual">
      <formula>200</formula>
    </cfRule>
  </conditionalFormatting>
  <conditionalFormatting sqref="S565:S584">
    <cfRule type="cellIs" dxfId="9064" priority="14832" operator="greaterThanOrEqual">
      <formula>130</formula>
    </cfRule>
  </conditionalFormatting>
  <conditionalFormatting sqref="N565:N584">
    <cfRule type="cellIs" dxfId="9063" priority="14833" operator="greaterThanOrEqual">
      <formula>200</formula>
    </cfRule>
  </conditionalFormatting>
  <conditionalFormatting sqref="N565:N584">
    <cfRule type="cellIs" dxfId="9062" priority="14834" operator="greaterThanOrEqual">
      <formula>120</formula>
    </cfRule>
  </conditionalFormatting>
  <conditionalFormatting sqref="O565:O584">
    <cfRule type="containsText" dxfId="9061" priority="14835" operator="containsText" text="ND">
      <formula>NOT(ISERROR(SEARCH(("ND"),(O565))))</formula>
    </cfRule>
  </conditionalFormatting>
  <conditionalFormatting sqref="O565:O584">
    <cfRule type="cellIs" dxfId="9060" priority="14836" operator="greaterThanOrEqual">
      <formula>250</formula>
    </cfRule>
  </conditionalFormatting>
  <conditionalFormatting sqref="O565:O584">
    <cfRule type="cellIs" dxfId="9059" priority="14837" operator="greaterThanOrEqual">
      <formula>175</formula>
    </cfRule>
  </conditionalFormatting>
  <conditionalFormatting sqref="P565:P584">
    <cfRule type="containsText" dxfId="9058" priority="14838" operator="containsText" text="ND">
      <formula>NOT(ISERROR(SEARCH(("ND"),(P565))))</formula>
    </cfRule>
  </conditionalFormatting>
  <conditionalFormatting sqref="P565:P584">
    <cfRule type="cellIs" dxfId="9057" priority="14839" operator="greaterThanOrEqual">
      <formula>5</formula>
    </cfRule>
  </conditionalFormatting>
  <conditionalFormatting sqref="P565:P584">
    <cfRule type="cellIs" dxfId="9056" priority="14840" operator="greaterThanOrEqual">
      <formula>2.5</formula>
    </cfRule>
  </conditionalFormatting>
  <conditionalFormatting sqref="Q565:Q584">
    <cfRule type="containsText" dxfId="9055" priority="14841" operator="containsText" text="ND">
      <formula>NOT(ISERROR(SEARCH(("ND"),(Q565))))</formula>
    </cfRule>
  </conditionalFormatting>
  <conditionalFormatting sqref="Q565:Q584">
    <cfRule type="cellIs" dxfId="9054" priority="14842" operator="greaterThanOrEqual">
      <formula>500</formula>
    </cfRule>
  </conditionalFormatting>
  <conditionalFormatting sqref="Q565:Q584">
    <cfRule type="cellIs" dxfId="9053" priority="14843" operator="greaterThanOrEqual">
      <formula>300</formula>
    </cfRule>
  </conditionalFormatting>
  <conditionalFormatting sqref="L585:L607">
    <cfRule type="cellIs" dxfId="9052" priority="14795" operator="greaterThanOrEqual">
      <formula>5</formula>
    </cfRule>
  </conditionalFormatting>
  <conditionalFormatting sqref="L585:L607">
    <cfRule type="cellIs" dxfId="9051" priority="14796" operator="greaterThanOrEqual">
      <formula>2</formula>
    </cfRule>
  </conditionalFormatting>
  <conditionalFormatting sqref="M585:M607">
    <cfRule type="cellIs" dxfId="9050" priority="14797" operator="greaterThanOrEqual">
      <formula>60</formula>
    </cfRule>
  </conditionalFormatting>
  <conditionalFormatting sqref="M585:M607">
    <cfRule type="cellIs" dxfId="9049" priority="14798" operator="greaterThanOrEqual">
      <formula>30</formula>
    </cfRule>
  </conditionalFormatting>
  <conditionalFormatting sqref="R585:R607">
    <cfRule type="cellIs" dxfId="9048" priority="14799" operator="greaterThanOrEqual">
      <formula>600</formula>
    </cfRule>
  </conditionalFormatting>
  <conditionalFormatting sqref="R585:R607">
    <cfRule type="cellIs" dxfId="9047" priority="14800" operator="greaterThanOrEqual">
      <formula>260</formula>
    </cfRule>
  </conditionalFormatting>
  <conditionalFormatting sqref="S585:S607">
    <cfRule type="containsText" dxfId="9046" priority="14801" operator="containsText" text="&lt;">
      <formula>NOT(ISERROR(SEARCH(("&lt;"),(S585))))</formula>
    </cfRule>
  </conditionalFormatting>
  <conditionalFormatting sqref="S585:S607">
    <cfRule type="containsText" dxfId="9045" priority="14802" operator="containsText" text="ND">
      <formula>NOT(ISERROR(SEARCH(("ND"),(S585))))</formula>
    </cfRule>
  </conditionalFormatting>
  <conditionalFormatting sqref="S585:S607">
    <cfRule type="cellIs" dxfId="9044" priority="14803" operator="greaterThanOrEqual">
      <formula>200</formula>
    </cfRule>
  </conditionalFormatting>
  <conditionalFormatting sqref="S585:S607">
    <cfRule type="cellIs" dxfId="9043" priority="14804" operator="greaterThanOrEqual">
      <formula>130</formula>
    </cfRule>
  </conditionalFormatting>
  <conditionalFormatting sqref="N585:N607">
    <cfRule type="cellIs" dxfId="9042" priority="14805" operator="greaterThanOrEqual">
      <formula>200</formula>
    </cfRule>
  </conditionalFormatting>
  <conditionalFormatting sqref="N585:N607">
    <cfRule type="cellIs" dxfId="9041" priority="14806" operator="greaterThanOrEqual">
      <formula>120</formula>
    </cfRule>
  </conditionalFormatting>
  <conditionalFormatting sqref="O585:O607">
    <cfRule type="containsText" dxfId="9040" priority="14807" operator="containsText" text="ND">
      <formula>NOT(ISERROR(SEARCH(("ND"),(O585))))</formula>
    </cfRule>
  </conditionalFormatting>
  <conditionalFormatting sqref="O585:O607">
    <cfRule type="cellIs" dxfId="9039" priority="14808" operator="greaterThanOrEqual">
      <formula>250</formula>
    </cfRule>
  </conditionalFormatting>
  <conditionalFormatting sqref="O585:O607">
    <cfRule type="cellIs" dxfId="9038" priority="14809" operator="greaterThanOrEqual">
      <formula>175</formula>
    </cfRule>
  </conditionalFormatting>
  <conditionalFormatting sqref="P585:P607">
    <cfRule type="containsText" dxfId="9037" priority="14810" operator="containsText" text="ND">
      <formula>NOT(ISERROR(SEARCH(("ND"),(P585))))</formula>
    </cfRule>
  </conditionalFormatting>
  <conditionalFormatting sqref="P585:P607">
    <cfRule type="cellIs" dxfId="9036" priority="14811" operator="greaterThanOrEqual">
      <formula>5</formula>
    </cfRule>
  </conditionalFormatting>
  <conditionalFormatting sqref="P585:P607">
    <cfRule type="cellIs" dxfId="9035" priority="14812" operator="greaterThanOrEqual">
      <formula>2.5</formula>
    </cfRule>
  </conditionalFormatting>
  <conditionalFormatting sqref="Q585:Q607">
    <cfRule type="containsText" dxfId="9034" priority="14813" operator="containsText" text="ND">
      <formula>NOT(ISERROR(SEARCH(("ND"),(Q585))))</formula>
    </cfRule>
  </conditionalFormatting>
  <conditionalFormatting sqref="Q585:Q607">
    <cfRule type="cellIs" dxfId="9033" priority="14814" operator="greaterThanOrEqual">
      <formula>500</formula>
    </cfRule>
  </conditionalFormatting>
  <conditionalFormatting sqref="Q585:Q607">
    <cfRule type="cellIs" dxfId="9032" priority="14815" operator="greaterThanOrEqual">
      <formula>300</formula>
    </cfRule>
  </conditionalFormatting>
  <conditionalFormatting sqref="L610:L618">
    <cfRule type="cellIs" dxfId="9031" priority="14769" operator="greaterThanOrEqual">
      <formula>5</formula>
    </cfRule>
  </conditionalFormatting>
  <conditionalFormatting sqref="L610:L618">
    <cfRule type="cellIs" dxfId="9030" priority="14770" operator="greaterThanOrEqual">
      <formula>2</formula>
    </cfRule>
  </conditionalFormatting>
  <conditionalFormatting sqref="M610:M618">
    <cfRule type="cellIs" dxfId="9029" priority="14771" operator="greaterThanOrEqual">
      <formula>60</formula>
    </cfRule>
  </conditionalFormatting>
  <conditionalFormatting sqref="M610:M618">
    <cfRule type="cellIs" dxfId="9028" priority="14772" operator="greaterThanOrEqual">
      <formula>30</formula>
    </cfRule>
  </conditionalFormatting>
  <conditionalFormatting sqref="R610:R618">
    <cfRule type="cellIs" dxfId="9027" priority="14773" operator="greaterThanOrEqual">
      <formula>600</formula>
    </cfRule>
  </conditionalFormatting>
  <conditionalFormatting sqref="R610:R618">
    <cfRule type="cellIs" dxfId="9026" priority="14774" operator="greaterThanOrEqual">
      <formula>260</formula>
    </cfRule>
  </conditionalFormatting>
  <conditionalFormatting sqref="S610:S618">
    <cfRule type="containsText" dxfId="9025" priority="14775" operator="containsText" text="&lt;">
      <formula>NOT(ISERROR(SEARCH(("&lt;"),(S610))))</formula>
    </cfRule>
  </conditionalFormatting>
  <conditionalFormatting sqref="S610:S618">
    <cfRule type="containsText" dxfId="9024" priority="14776" operator="containsText" text="ND">
      <formula>NOT(ISERROR(SEARCH(("ND"),(S610))))</formula>
    </cfRule>
  </conditionalFormatting>
  <conditionalFormatting sqref="S610:S618">
    <cfRule type="cellIs" dxfId="9023" priority="14777" operator="greaterThanOrEqual">
      <formula>200</formula>
    </cfRule>
  </conditionalFormatting>
  <conditionalFormatting sqref="S610:S618">
    <cfRule type="cellIs" dxfId="9022" priority="14778" operator="greaterThanOrEqual">
      <formula>130</formula>
    </cfRule>
  </conditionalFormatting>
  <conditionalFormatting sqref="N610:N618">
    <cfRule type="cellIs" dxfId="9021" priority="14779" operator="greaterThanOrEqual">
      <formula>200</formula>
    </cfRule>
  </conditionalFormatting>
  <conditionalFormatting sqref="N610:N618">
    <cfRule type="cellIs" dxfId="9020" priority="14780" operator="greaterThanOrEqual">
      <formula>120</formula>
    </cfRule>
  </conditionalFormatting>
  <conditionalFormatting sqref="O610:O618">
    <cfRule type="containsText" dxfId="9019" priority="14781" operator="containsText" text="ND">
      <formula>NOT(ISERROR(SEARCH(("ND"),(O610))))</formula>
    </cfRule>
  </conditionalFormatting>
  <conditionalFormatting sqref="O610:O618">
    <cfRule type="cellIs" dxfId="9018" priority="14782" operator="greaterThanOrEqual">
      <formula>250</formula>
    </cfRule>
  </conditionalFormatting>
  <conditionalFormatting sqref="O610:O618">
    <cfRule type="cellIs" dxfId="9017" priority="14783" operator="greaterThanOrEqual">
      <formula>175</formula>
    </cfRule>
  </conditionalFormatting>
  <conditionalFormatting sqref="P610:P618">
    <cfRule type="containsText" dxfId="9016" priority="14784" operator="containsText" text="ND">
      <formula>NOT(ISERROR(SEARCH(("ND"),(P610))))</formula>
    </cfRule>
  </conditionalFormatting>
  <conditionalFormatting sqref="P610:P618">
    <cfRule type="cellIs" dxfId="9015" priority="14785" operator="greaterThanOrEqual">
      <formula>5</formula>
    </cfRule>
  </conditionalFormatting>
  <conditionalFormatting sqref="P610:P618">
    <cfRule type="cellIs" dxfId="9014" priority="14786" operator="greaterThanOrEqual">
      <formula>2.5</formula>
    </cfRule>
  </conditionalFormatting>
  <conditionalFormatting sqref="Q610:Q618">
    <cfRule type="containsText" dxfId="9013" priority="14787" operator="containsText" text="ND">
      <formula>NOT(ISERROR(SEARCH(("ND"),(Q610))))</formula>
    </cfRule>
  </conditionalFormatting>
  <conditionalFormatting sqref="Q610:Q618">
    <cfRule type="cellIs" dxfId="9012" priority="14788" operator="greaterThanOrEqual">
      <formula>500</formula>
    </cfRule>
  </conditionalFormatting>
  <conditionalFormatting sqref="Q610:Q618">
    <cfRule type="cellIs" dxfId="9011" priority="14789" operator="greaterThanOrEqual">
      <formula>300</formula>
    </cfRule>
  </conditionalFormatting>
  <conditionalFormatting sqref="L619">
    <cfRule type="cellIs" dxfId="9010" priority="14742" operator="greaterThanOrEqual">
      <formula>5</formula>
    </cfRule>
  </conditionalFormatting>
  <conditionalFormatting sqref="L619">
    <cfRule type="cellIs" dxfId="9009" priority="14743" operator="greaterThanOrEqual">
      <formula>2</formula>
    </cfRule>
  </conditionalFormatting>
  <conditionalFormatting sqref="M619">
    <cfRule type="cellIs" dxfId="9008" priority="14744" operator="greaterThanOrEqual">
      <formula>60</formula>
    </cfRule>
  </conditionalFormatting>
  <conditionalFormatting sqref="M619">
    <cfRule type="cellIs" dxfId="9007" priority="14745" operator="greaterThanOrEqual">
      <formula>30</formula>
    </cfRule>
  </conditionalFormatting>
  <conditionalFormatting sqref="R619">
    <cfRule type="cellIs" dxfId="9006" priority="14746" operator="greaterThanOrEqual">
      <formula>600</formula>
    </cfRule>
  </conditionalFormatting>
  <conditionalFormatting sqref="R619">
    <cfRule type="cellIs" dxfId="9005" priority="14747" operator="greaterThanOrEqual">
      <formula>260</formula>
    </cfRule>
  </conditionalFormatting>
  <conditionalFormatting sqref="S619">
    <cfRule type="containsText" dxfId="9004" priority="14748" operator="containsText" text="&lt;">
      <formula>NOT(ISERROR(SEARCH(("&lt;"),(S619))))</formula>
    </cfRule>
  </conditionalFormatting>
  <conditionalFormatting sqref="S619">
    <cfRule type="containsText" dxfId="9003" priority="14749" operator="containsText" text="ND">
      <formula>NOT(ISERROR(SEARCH(("ND"),(S619))))</formula>
    </cfRule>
  </conditionalFormatting>
  <conditionalFormatting sqref="S619">
    <cfRule type="cellIs" dxfId="9002" priority="14750" operator="greaterThanOrEqual">
      <formula>200</formula>
    </cfRule>
  </conditionalFormatting>
  <conditionalFormatting sqref="S619">
    <cfRule type="cellIs" dxfId="9001" priority="14751" operator="greaterThanOrEqual">
      <formula>130</formula>
    </cfRule>
  </conditionalFormatting>
  <conditionalFormatting sqref="N619">
    <cfRule type="cellIs" dxfId="9000" priority="14752" operator="greaterThanOrEqual">
      <formula>200</formula>
    </cfRule>
  </conditionalFormatting>
  <conditionalFormatting sqref="N619">
    <cfRule type="cellIs" dxfId="8999" priority="14753" operator="greaterThanOrEqual">
      <formula>120</formula>
    </cfRule>
  </conditionalFormatting>
  <conditionalFormatting sqref="O619">
    <cfRule type="containsText" dxfId="8998" priority="14754" operator="containsText" text="ND">
      <formula>NOT(ISERROR(SEARCH(("ND"),(O619))))</formula>
    </cfRule>
  </conditionalFormatting>
  <conditionalFormatting sqref="O619">
    <cfRule type="cellIs" dxfId="8997" priority="14755" operator="greaterThanOrEqual">
      <formula>250</formula>
    </cfRule>
  </conditionalFormatting>
  <conditionalFormatting sqref="O619">
    <cfRule type="cellIs" dxfId="8996" priority="14756" operator="greaterThanOrEqual">
      <formula>175</formula>
    </cfRule>
  </conditionalFormatting>
  <conditionalFormatting sqref="P619">
    <cfRule type="containsText" dxfId="8995" priority="14757" operator="containsText" text="ND">
      <formula>NOT(ISERROR(SEARCH(("ND"),(P619))))</formula>
    </cfRule>
  </conditionalFormatting>
  <conditionalFormatting sqref="P619">
    <cfRule type="cellIs" dxfId="8994" priority="14758" operator="greaterThanOrEqual">
      <formula>5</formula>
    </cfRule>
  </conditionalFormatting>
  <conditionalFormatting sqref="P619">
    <cfRule type="cellIs" dxfId="8993" priority="14759" operator="greaterThanOrEqual">
      <formula>2.5</formula>
    </cfRule>
  </conditionalFormatting>
  <conditionalFormatting sqref="Q619">
    <cfRule type="containsText" dxfId="8992" priority="14760" operator="containsText" text="ND">
      <formula>NOT(ISERROR(SEARCH(("ND"),(Q619))))</formula>
    </cfRule>
  </conditionalFormatting>
  <conditionalFormatting sqref="Q619">
    <cfRule type="cellIs" dxfId="8991" priority="14761" operator="greaterThanOrEqual">
      <formula>500</formula>
    </cfRule>
  </conditionalFormatting>
  <conditionalFormatting sqref="Q619">
    <cfRule type="cellIs" dxfId="8990" priority="14762" operator="greaterThanOrEqual">
      <formula>300</formula>
    </cfRule>
  </conditionalFormatting>
  <conditionalFormatting sqref="L620:L637">
    <cfRule type="cellIs" dxfId="8989" priority="14721" operator="greaterThanOrEqual">
      <formula>5</formula>
    </cfRule>
  </conditionalFormatting>
  <conditionalFormatting sqref="L620:L637">
    <cfRule type="cellIs" dxfId="8988" priority="14722" operator="greaterThanOrEqual">
      <formula>2</formula>
    </cfRule>
  </conditionalFormatting>
  <conditionalFormatting sqref="M620:M637">
    <cfRule type="cellIs" dxfId="8987" priority="14723" operator="greaterThanOrEqual">
      <formula>60</formula>
    </cfRule>
  </conditionalFormatting>
  <conditionalFormatting sqref="M620:M637">
    <cfRule type="cellIs" dxfId="8986" priority="14724" operator="greaterThanOrEqual">
      <formula>30</formula>
    </cfRule>
  </conditionalFormatting>
  <conditionalFormatting sqref="R620:R637">
    <cfRule type="cellIs" dxfId="8985" priority="14725" operator="greaterThanOrEqual">
      <formula>600</formula>
    </cfRule>
  </conditionalFormatting>
  <conditionalFormatting sqref="R620:R637">
    <cfRule type="cellIs" dxfId="8984" priority="14726" operator="greaterThanOrEqual">
      <formula>260</formula>
    </cfRule>
  </conditionalFormatting>
  <conditionalFormatting sqref="S620:S637">
    <cfRule type="containsText" dxfId="8983" priority="14727" operator="containsText" text="&lt;">
      <formula>NOT(ISERROR(SEARCH(("&lt;"),(S620))))</formula>
    </cfRule>
  </conditionalFormatting>
  <conditionalFormatting sqref="S620:S637">
    <cfRule type="containsText" dxfId="8982" priority="14728" operator="containsText" text="ND">
      <formula>NOT(ISERROR(SEARCH(("ND"),(S620))))</formula>
    </cfRule>
  </conditionalFormatting>
  <conditionalFormatting sqref="S620:S637">
    <cfRule type="cellIs" dxfId="8981" priority="14729" operator="greaterThanOrEqual">
      <formula>200</formula>
    </cfRule>
  </conditionalFormatting>
  <conditionalFormatting sqref="S620:S637">
    <cfRule type="cellIs" dxfId="8980" priority="14730" operator="greaterThanOrEqual">
      <formula>130</formula>
    </cfRule>
  </conditionalFormatting>
  <conditionalFormatting sqref="N620:N637">
    <cfRule type="cellIs" dxfId="8979" priority="14731" operator="greaterThanOrEqual">
      <formula>200</formula>
    </cfRule>
  </conditionalFormatting>
  <conditionalFormatting sqref="N620:N637">
    <cfRule type="cellIs" dxfId="8978" priority="14732" operator="greaterThanOrEqual">
      <formula>120</formula>
    </cfRule>
  </conditionalFormatting>
  <conditionalFormatting sqref="O620:O637">
    <cfRule type="containsText" dxfId="8977" priority="14733" operator="containsText" text="ND">
      <formula>NOT(ISERROR(SEARCH(("ND"),(O620))))</formula>
    </cfRule>
  </conditionalFormatting>
  <conditionalFormatting sqref="O620:O637">
    <cfRule type="cellIs" dxfId="8976" priority="14734" operator="greaterThanOrEqual">
      <formula>250</formula>
    </cfRule>
  </conditionalFormatting>
  <conditionalFormatting sqref="O620:O637">
    <cfRule type="cellIs" dxfId="8975" priority="14735" operator="greaterThanOrEqual">
      <formula>175</formula>
    </cfRule>
  </conditionalFormatting>
  <conditionalFormatting sqref="P620:P637">
    <cfRule type="containsText" dxfId="8974" priority="14736" operator="containsText" text="ND">
      <formula>NOT(ISERROR(SEARCH(("ND"),(P620))))</formula>
    </cfRule>
  </conditionalFormatting>
  <conditionalFormatting sqref="P620:P637">
    <cfRule type="cellIs" dxfId="8973" priority="14737" operator="greaterThanOrEqual">
      <formula>5</formula>
    </cfRule>
  </conditionalFormatting>
  <conditionalFormatting sqref="P620:P637">
    <cfRule type="cellIs" dxfId="8972" priority="14738" operator="greaterThanOrEqual">
      <formula>2.5</formula>
    </cfRule>
  </conditionalFormatting>
  <conditionalFormatting sqref="Q620:Q637">
    <cfRule type="containsText" dxfId="8971" priority="14739" operator="containsText" text="ND">
      <formula>NOT(ISERROR(SEARCH(("ND"),(Q620))))</formula>
    </cfRule>
  </conditionalFormatting>
  <conditionalFormatting sqref="Q620:Q637">
    <cfRule type="cellIs" dxfId="8970" priority="14740" operator="greaterThanOrEqual">
      <formula>500</formula>
    </cfRule>
  </conditionalFormatting>
  <conditionalFormatting sqref="Q620:Q637">
    <cfRule type="cellIs" dxfId="8969" priority="14741" operator="greaterThanOrEqual">
      <formula>300</formula>
    </cfRule>
  </conditionalFormatting>
  <conditionalFormatting sqref="L645 L647">
    <cfRule type="cellIs" dxfId="8968" priority="14704" operator="greaterThanOrEqual">
      <formula>5</formula>
    </cfRule>
  </conditionalFormatting>
  <conditionalFormatting sqref="L645 L647">
    <cfRule type="cellIs" dxfId="8967" priority="14705" operator="greaterThanOrEqual">
      <formula>2</formula>
    </cfRule>
  </conditionalFormatting>
  <conditionalFormatting sqref="M645 M647">
    <cfRule type="cellIs" dxfId="8966" priority="14706" operator="greaterThanOrEqual">
      <formula>60</formula>
    </cfRule>
  </conditionalFormatting>
  <conditionalFormatting sqref="M645 M647">
    <cfRule type="cellIs" dxfId="8965" priority="14707" operator="greaterThanOrEqual">
      <formula>30</formula>
    </cfRule>
  </conditionalFormatting>
  <conditionalFormatting sqref="R645 R647">
    <cfRule type="cellIs" dxfId="8964" priority="14708" operator="greaterThanOrEqual">
      <formula>600</formula>
    </cfRule>
  </conditionalFormatting>
  <conditionalFormatting sqref="R645 R647">
    <cfRule type="cellIs" dxfId="8963" priority="14709" operator="greaterThanOrEqual">
      <formula>260</formula>
    </cfRule>
  </conditionalFormatting>
  <conditionalFormatting sqref="L646">
    <cfRule type="cellIs" dxfId="8962" priority="14710" operator="greaterThanOrEqual">
      <formula>5</formula>
    </cfRule>
  </conditionalFormatting>
  <conditionalFormatting sqref="L646">
    <cfRule type="cellIs" dxfId="8961" priority="14711" operator="greaterThanOrEqual">
      <formula>2</formula>
    </cfRule>
  </conditionalFormatting>
  <conditionalFormatting sqref="M646">
    <cfRule type="cellIs" dxfId="8960" priority="14712" operator="greaterThanOrEqual">
      <formula>60</formula>
    </cfRule>
  </conditionalFormatting>
  <conditionalFormatting sqref="M646">
    <cfRule type="cellIs" dxfId="8959" priority="14713" operator="greaterThanOrEqual">
      <formula>30</formula>
    </cfRule>
  </conditionalFormatting>
  <conditionalFormatting sqref="L650:L658">
    <cfRule type="cellIs" dxfId="8958" priority="14682" operator="greaterThanOrEqual">
      <formula>5</formula>
    </cfRule>
  </conditionalFormatting>
  <conditionalFormatting sqref="L650:L658">
    <cfRule type="cellIs" dxfId="8957" priority="14683" operator="greaterThanOrEqual">
      <formula>2</formula>
    </cfRule>
  </conditionalFormatting>
  <conditionalFormatting sqref="M650:M658">
    <cfRule type="cellIs" dxfId="8956" priority="14684" operator="greaterThanOrEqual">
      <formula>60</formula>
    </cfRule>
  </conditionalFormatting>
  <conditionalFormatting sqref="M650:M658">
    <cfRule type="cellIs" dxfId="8955" priority="14685" operator="greaterThanOrEqual">
      <formula>30</formula>
    </cfRule>
  </conditionalFormatting>
  <conditionalFormatting sqref="R650:R658">
    <cfRule type="cellIs" dxfId="8954" priority="14686" operator="greaterThanOrEqual">
      <formula>600</formula>
    </cfRule>
  </conditionalFormatting>
  <conditionalFormatting sqref="R650:R658">
    <cfRule type="cellIs" dxfId="8953" priority="14687" operator="greaterThanOrEqual">
      <formula>260</formula>
    </cfRule>
  </conditionalFormatting>
  <conditionalFormatting sqref="S650:S658">
    <cfRule type="containsText" dxfId="8952" priority="14688" operator="containsText" text="&lt;">
      <formula>NOT(ISERROR(SEARCH(("&lt;"),(S650))))</formula>
    </cfRule>
  </conditionalFormatting>
  <conditionalFormatting sqref="S650:S658">
    <cfRule type="containsText" dxfId="8951" priority="14689" operator="containsText" text="ND">
      <formula>NOT(ISERROR(SEARCH(("ND"),(S650))))</formula>
    </cfRule>
  </conditionalFormatting>
  <conditionalFormatting sqref="S650:S658">
    <cfRule type="cellIs" dxfId="8950" priority="14690" operator="greaterThanOrEqual">
      <formula>200</formula>
    </cfRule>
  </conditionalFormatting>
  <conditionalFormatting sqref="S650:S658">
    <cfRule type="cellIs" dxfId="8949" priority="14691" operator="greaterThanOrEqual">
      <formula>130</formula>
    </cfRule>
  </conditionalFormatting>
  <conditionalFormatting sqref="N650:N658">
    <cfRule type="cellIs" dxfId="8948" priority="14692" operator="greaterThanOrEqual">
      <formula>200</formula>
    </cfRule>
  </conditionalFormatting>
  <conditionalFormatting sqref="N650:N658">
    <cfRule type="cellIs" dxfId="8947" priority="14693" operator="greaterThanOrEqual">
      <formula>120</formula>
    </cfRule>
  </conditionalFormatting>
  <conditionalFormatting sqref="O650:O658">
    <cfRule type="containsText" dxfId="8946" priority="14694" operator="containsText" text="ND">
      <formula>NOT(ISERROR(SEARCH(("ND"),(O650))))</formula>
    </cfRule>
  </conditionalFormatting>
  <conditionalFormatting sqref="O650:O658">
    <cfRule type="cellIs" dxfId="8945" priority="14695" operator="greaterThanOrEqual">
      <formula>250</formula>
    </cfRule>
  </conditionalFormatting>
  <conditionalFormatting sqref="O650:O658">
    <cfRule type="cellIs" dxfId="8944" priority="14696" operator="greaterThanOrEqual">
      <formula>175</formula>
    </cfRule>
  </conditionalFormatting>
  <conditionalFormatting sqref="P650:P658">
    <cfRule type="containsText" dxfId="8943" priority="14697" operator="containsText" text="ND">
      <formula>NOT(ISERROR(SEARCH(("ND"),(P650))))</formula>
    </cfRule>
  </conditionalFormatting>
  <conditionalFormatting sqref="P650:P658">
    <cfRule type="cellIs" dxfId="8942" priority="14698" operator="greaterThanOrEqual">
      <formula>5</formula>
    </cfRule>
  </conditionalFormatting>
  <conditionalFormatting sqref="P650:P658">
    <cfRule type="cellIs" dxfId="8941" priority="14699" operator="greaterThanOrEqual">
      <formula>2.5</formula>
    </cfRule>
  </conditionalFormatting>
  <conditionalFormatting sqref="Q650:Q658">
    <cfRule type="containsText" dxfId="8940" priority="14700" operator="containsText" text="ND">
      <formula>NOT(ISERROR(SEARCH(("ND"),(Q650))))</formula>
    </cfRule>
  </conditionalFormatting>
  <conditionalFormatting sqref="Q650:Q658">
    <cfRule type="cellIs" dxfId="8939" priority="14701" operator="greaterThanOrEqual">
      <formula>500</formula>
    </cfRule>
  </conditionalFormatting>
  <conditionalFormatting sqref="Q650:Q658">
    <cfRule type="cellIs" dxfId="8938" priority="14702" operator="greaterThanOrEqual">
      <formula>300</formula>
    </cfRule>
  </conditionalFormatting>
  <conditionalFormatting sqref="L76:L77">
    <cfRule type="cellIs" dxfId="8937" priority="14652" operator="greaterThanOrEqual">
      <formula>5</formula>
    </cfRule>
  </conditionalFormatting>
  <conditionalFormatting sqref="L76:L77">
    <cfRule type="cellIs" dxfId="8936" priority="14653" operator="greaterThanOrEqual">
      <formula>2</formula>
    </cfRule>
  </conditionalFormatting>
  <conditionalFormatting sqref="M76:M77">
    <cfRule type="cellIs" dxfId="8935" priority="14654" operator="greaterThanOrEqual">
      <formula>60</formula>
    </cfRule>
  </conditionalFormatting>
  <conditionalFormatting sqref="M76:M77">
    <cfRule type="cellIs" dxfId="8934" priority="14655" operator="greaterThanOrEqual">
      <formula>30</formula>
    </cfRule>
  </conditionalFormatting>
  <conditionalFormatting sqref="R76:R77">
    <cfRule type="cellIs" dxfId="8933" priority="14656" operator="greaterThanOrEqual">
      <formula>600</formula>
    </cfRule>
  </conditionalFormatting>
  <conditionalFormatting sqref="R76:R77">
    <cfRule type="cellIs" dxfId="8932" priority="14657" operator="greaterThanOrEqual">
      <formula>260</formula>
    </cfRule>
  </conditionalFormatting>
  <conditionalFormatting sqref="S76:S77">
    <cfRule type="containsText" dxfId="8931" priority="14658" operator="containsText" text="&lt;">
      <formula>NOT(ISERROR(SEARCH(("&lt;"),(S76))))</formula>
    </cfRule>
  </conditionalFormatting>
  <conditionalFormatting sqref="S76:S77">
    <cfRule type="containsText" dxfId="8930" priority="14659" operator="containsText" text="ND">
      <formula>NOT(ISERROR(SEARCH(("ND"),(S76))))</formula>
    </cfRule>
  </conditionalFormatting>
  <conditionalFormatting sqref="S76:S77">
    <cfRule type="cellIs" dxfId="8929" priority="14660" operator="greaterThanOrEqual">
      <formula>200</formula>
    </cfRule>
  </conditionalFormatting>
  <conditionalFormatting sqref="S76:S77">
    <cfRule type="cellIs" dxfId="8928" priority="14661" operator="greaterThanOrEqual">
      <formula>130</formula>
    </cfRule>
  </conditionalFormatting>
  <conditionalFormatting sqref="N76:N77">
    <cfRule type="cellIs" dxfId="8927" priority="14662" operator="greaterThanOrEqual">
      <formula>200</formula>
    </cfRule>
  </conditionalFormatting>
  <conditionalFormatting sqref="N76:N77">
    <cfRule type="cellIs" dxfId="8926" priority="14663" operator="greaterThanOrEqual">
      <formula>120</formula>
    </cfRule>
  </conditionalFormatting>
  <conditionalFormatting sqref="O76:O77">
    <cfRule type="containsText" dxfId="8925" priority="14664" operator="containsText" text="ND">
      <formula>NOT(ISERROR(SEARCH(("ND"),(O76))))</formula>
    </cfRule>
  </conditionalFormatting>
  <conditionalFormatting sqref="O76:O77">
    <cfRule type="cellIs" dxfId="8924" priority="14665" operator="greaterThanOrEqual">
      <formula>250</formula>
    </cfRule>
  </conditionalFormatting>
  <conditionalFormatting sqref="O76:O77">
    <cfRule type="cellIs" dxfId="8923" priority="14666" operator="greaterThanOrEqual">
      <formula>175</formula>
    </cfRule>
  </conditionalFormatting>
  <conditionalFormatting sqref="P76:P77">
    <cfRule type="containsText" dxfId="8922" priority="14667" operator="containsText" text="ND">
      <formula>NOT(ISERROR(SEARCH(("ND"),(P76))))</formula>
    </cfRule>
  </conditionalFormatting>
  <conditionalFormatting sqref="P76:P77">
    <cfRule type="cellIs" dxfId="8921" priority="14668" operator="greaterThanOrEqual">
      <formula>5</formula>
    </cfRule>
  </conditionalFormatting>
  <conditionalFormatting sqref="P76:P77">
    <cfRule type="cellIs" dxfId="8920" priority="14669" operator="greaterThanOrEqual">
      <formula>2.5</formula>
    </cfRule>
  </conditionalFormatting>
  <conditionalFormatting sqref="Q76:Q77">
    <cfRule type="containsText" dxfId="8919" priority="14670" operator="containsText" text="ND">
      <formula>NOT(ISERROR(SEARCH(("ND"),(Q76))))</formula>
    </cfRule>
  </conditionalFormatting>
  <conditionalFormatting sqref="Q76:Q77">
    <cfRule type="cellIs" dxfId="8918" priority="14671" operator="greaterThanOrEqual">
      <formula>500</formula>
    </cfRule>
  </conditionalFormatting>
  <conditionalFormatting sqref="Q76:Q77">
    <cfRule type="cellIs" dxfId="8917" priority="14672" operator="greaterThanOrEqual">
      <formula>300</formula>
    </cfRule>
  </conditionalFormatting>
  <conditionalFormatting sqref="L659:L677">
    <cfRule type="cellIs" dxfId="8916" priority="14631" operator="greaterThanOrEqual">
      <formula>5</formula>
    </cfRule>
  </conditionalFormatting>
  <conditionalFormatting sqref="L659:L677">
    <cfRule type="cellIs" dxfId="8915" priority="14632" operator="greaterThanOrEqual">
      <formula>2</formula>
    </cfRule>
  </conditionalFormatting>
  <conditionalFormatting sqref="M659:M677">
    <cfRule type="cellIs" dxfId="8914" priority="14633" operator="greaterThanOrEqual">
      <formula>60</formula>
    </cfRule>
  </conditionalFormatting>
  <conditionalFormatting sqref="M659:M677">
    <cfRule type="cellIs" dxfId="8913" priority="14634" operator="greaterThanOrEqual">
      <formula>30</formula>
    </cfRule>
  </conditionalFormatting>
  <conditionalFormatting sqref="R659:R677">
    <cfRule type="cellIs" dxfId="8912" priority="14635" operator="greaterThanOrEqual">
      <formula>600</formula>
    </cfRule>
  </conditionalFormatting>
  <conditionalFormatting sqref="R659:R677">
    <cfRule type="cellIs" dxfId="8911" priority="14636" operator="greaterThanOrEqual">
      <formula>260</formula>
    </cfRule>
  </conditionalFormatting>
  <conditionalFormatting sqref="S659:S677">
    <cfRule type="containsText" dxfId="8910" priority="14637" operator="containsText" text="&lt;">
      <formula>NOT(ISERROR(SEARCH(("&lt;"),(S659))))</formula>
    </cfRule>
  </conditionalFormatting>
  <conditionalFormatting sqref="S659:S677">
    <cfRule type="containsText" dxfId="8909" priority="14638" operator="containsText" text="ND">
      <formula>NOT(ISERROR(SEARCH(("ND"),(S659))))</formula>
    </cfRule>
  </conditionalFormatting>
  <conditionalFormatting sqref="S659:S677">
    <cfRule type="cellIs" dxfId="8908" priority="14639" operator="greaterThanOrEqual">
      <formula>200</formula>
    </cfRule>
  </conditionalFormatting>
  <conditionalFormatting sqref="S659:S677">
    <cfRule type="cellIs" dxfId="8907" priority="14640" operator="greaterThanOrEqual">
      <formula>130</formula>
    </cfRule>
  </conditionalFormatting>
  <conditionalFormatting sqref="N659:N677">
    <cfRule type="cellIs" dxfId="8906" priority="14641" operator="greaterThanOrEqual">
      <formula>200</formula>
    </cfRule>
  </conditionalFormatting>
  <conditionalFormatting sqref="N659:N677">
    <cfRule type="cellIs" dxfId="8905" priority="14642" operator="greaterThanOrEqual">
      <formula>120</formula>
    </cfRule>
  </conditionalFormatting>
  <conditionalFormatting sqref="O659:O677">
    <cfRule type="containsText" dxfId="8904" priority="14643" operator="containsText" text="ND">
      <formula>NOT(ISERROR(SEARCH(("ND"),(O659))))</formula>
    </cfRule>
  </conditionalFormatting>
  <conditionalFormatting sqref="O659:O677">
    <cfRule type="cellIs" dxfId="8903" priority="14644" operator="greaterThanOrEqual">
      <formula>250</formula>
    </cfRule>
  </conditionalFormatting>
  <conditionalFormatting sqref="O659:O677">
    <cfRule type="cellIs" dxfId="8902" priority="14645" operator="greaterThanOrEqual">
      <formula>175</formula>
    </cfRule>
  </conditionalFormatting>
  <conditionalFormatting sqref="P659:P677">
    <cfRule type="containsText" dxfId="8901" priority="14646" operator="containsText" text="ND">
      <formula>NOT(ISERROR(SEARCH(("ND"),(P659))))</formula>
    </cfRule>
  </conditionalFormatting>
  <conditionalFormatting sqref="P659:P677">
    <cfRule type="cellIs" dxfId="8900" priority="14647" operator="greaterThanOrEqual">
      <formula>5</formula>
    </cfRule>
  </conditionalFormatting>
  <conditionalFormatting sqref="P659:P677">
    <cfRule type="cellIs" dxfId="8899" priority="14648" operator="greaterThanOrEqual">
      <formula>2.5</formula>
    </cfRule>
  </conditionalFormatting>
  <conditionalFormatting sqref="Q659:Q677">
    <cfRule type="containsText" dxfId="8898" priority="14649" operator="containsText" text="ND">
      <formula>NOT(ISERROR(SEARCH(("ND"),(Q659))))</formula>
    </cfRule>
  </conditionalFormatting>
  <conditionalFormatting sqref="Q659:Q677">
    <cfRule type="cellIs" dxfId="8897" priority="14650" operator="greaterThanOrEqual">
      <formula>500</formula>
    </cfRule>
  </conditionalFormatting>
  <conditionalFormatting sqref="Q659:Q677">
    <cfRule type="cellIs" dxfId="8896" priority="14651" operator="greaterThanOrEqual">
      <formula>300</formula>
    </cfRule>
  </conditionalFormatting>
  <conditionalFormatting sqref="L679:L683">
    <cfRule type="cellIs" dxfId="8895" priority="14599" operator="greaterThanOrEqual">
      <formula>5</formula>
    </cfRule>
  </conditionalFormatting>
  <conditionalFormatting sqref="L679:L683">
    <cfRule type="cellIs" dxfId="8894" priority="14600" operator="greaterThanOrEqual">
      <formula>2</formula>
    </cfRule>
  </conditionalFormatting>
  <conditionalFormatting sqref="M679:M683">
    <cfRule type="cellIs" dxfId="8893" priority="14601" operator="greaterThanOrEqual">
      <formula>60</formula>
    </cfRule>
  </conditionalFormatting>
  <conditionalFormatting sqref="M679:M683">
    <cfRule type="cellIs" dxfId="8892" priority="14602" operator="greaterThanOrEqual">
      <formula>30</formula>
    </cfRule>
  </conditionalFormatting>
  <conditionalFormatting sqref="R679:R683">
    <cfRule type="cellIs" dxfId="8891" priority="14603" operator="greaterThanOrEqual">
      <formula>600</formula>
    </cfRule>
  </conditionalFormatting>
  <conditionalFormatting sqref="R679:R683">
    <cfRule type="cellIs" dxfId="8890" priority="14604" operator="greaterThanOrEqual">
      <formula>260</formula>
    </cfRule>
  </conditionalFormatting>
  <conditionalFormatting sqref="S679:S683">
    <cfRule type="containsText" dxfId="8889" priority="14605" operator="containsText" text="&lt;">
      <formula>NOT(ISERROR(SEARCH(("&lt;"),(S679))))</formula>
    </cfRule>
  </conditionalFormatting>
  <conditionalFormatting sqref="S679:S683">
    <cfRule type="containsText" dxfId="8888" priority="14606" operator="containsText" text="ND">
      <formula>NOT(ISERROR(SEARCH(("ND"),(S679))))</formula>
    </cfRule>
  </conditionalFormatting>
  <conditionalFormatting sqref="S679:S683">
    <cfRule type="cellIs" dxfId="8887" priority="14607" operator="greaterThanOrEqual">
      <formula>200</formula>
    </cfRule>
  </conditionalFormatting>
  <conditionalFormatting sqref="S679:S683">
    <cfRule type="cellIs" dxfId="8886" priority="14608" operator="greaterThanOrEqual">
      <formula>130</formula>
    </cfRule>
  </conditionalFormatting>
  <conditionalFormatting sqref="N679:N683">
    <cfRule type="cellIs" dxfId="8885" priority="14609" operator="greaterThanOrEqual">
      <formula>200</formula>
    </cfRule>
  </conditionalFormatting>
  <conditionalFormatting sqref="N679:N683">
    <cfRule type="cellIs" dxfId="8884" priority="14610" operator="greaterThanOrEqual">
      <formula>120</formula>
    </cfRule>
  </conditionalFormatting>
  <conditionalFormatting sqref="O679:O683">
    <cfRule type="containsText" dxfId="8883" priority="14611" operator="containsText" text="ND">
      <formula>NOT(ISERROR(SEARCH(("ND"),(O679))))</formula>
    </cfRule>
  </conditionalFormatting>
  <conditionalFormatting sqref="O679:O683">
    <cfRule type="cellIs" dxfId="8882" priority="14612" operator="greaterThanOrEqual">
      <formula>250</formula>
    </cfRule>
  </conditionalFormatting>
  <conditionalFormatting sqref="O679:O683">
    <cfRule type="cellIs" dxfId="8881" priority="14613" operator="greaterThanOrEqual">
      <formula>175</formula>
    </cfRule>
  </conditionalFormatting>
  <conditionalFormatting sqref="P679:P683">
    <cfRule type="containsText" dxfId="8880" priority="14614" operator="containsText" text="ND">
      <formula>NOT(ISERROR(SEARCH(("ND"),(P679))))</formula>
    </cfRule>
  </conditionalFormatting>
  <conditionalFormatting sqref="P679:P683">
    <cfRule type="cellIs" dxfId="8879" priority="14615" operator="greaterThanOrEqual">
      <formula>5</formula>
    </cfRule>
  </conditionalFormatting>
  <conditionalFormatting sqref="P679:P683">
    <cfRule type="cellIs" dxfId="8878" priority="14616" operator="greaterThanOrEqual">
      <formula>2.5</formula>
    </cfRule>
  </conditionalFormatting>
  <conditionalFormatting sqref="Q679:Q683">
    <cfRule type="containsText" dxfId="8877" priority="14617" operator="containsText" text="ND">
      <formula>NOT(ISERROR(SEARCH(("ND"),(Q679))))</formula>
    </cfRule>
  </conditionalFormatting>
  <conditionalFormatting sqref="Q679:Q683">
    <cfRule type="cellIs" dxfId="8876" priority="14618" operator="greaterThanOrEqual">
      <formula>500</formula>
    </cfRule>
  </conditionalFormatting>
  <conditionalFormatting sqref="Q679:Q683">
    <cfRule type="cellIs" dxfId="8875" priority="14619" operator="greaterThanOrEqual">
      <formula>300</formula>
    </cfRule>
  </conditionalFormatting>
  <conditionalFormatting sqref="L1384:L1387">
    <cfRule type="cellIs" dxfId="8874" priority="14576" operator="greaterThanOrEqual">
      <formula>5</formula>
    </cfRule>
  </conditionalFormatting>
  <conditionalFormatting sqref="L1384:L1387">
    <cfRule type="cellIs" dxfId="8873" priority="14577" operator="greaterThanOrEqual">
      <formula>2</formula>
    </cfRule>
  </conditionalFormatting>
  <conditionalFormatting sqref="M1384:M1387">
    <cfRule type="cellIs" dxfId="8872" priority="14578" operator="greaterThanOrEqual">
      <formula>60</formula>
    </cfRule>
  </conditionalFormatting>
  <conditionalFormatting sqref="M1384:M1387">
    <cfRule type="cellIs" dxfId="8871" priority="14579" operator="greaterThanOrEqual">
      <formula>30</formula>
    </cfRule>
  </conditionalFormatting>
  <conditionalFormatting sqref="R1384:R1387">
    <cfRule type="cellIs" dxfId="8870" priority="14580" operator="greaterThanOrEqual">
      <formula>600</formula>
    </cfRule>
  </conditionalFormatting>
  <conditionalFormatting sqref="R1384:R1387">
    <cfRule type="cellIs" dxfId="8869" priority="14581" operator="greaterThanOrEqual">
      <formula>260</formula>
    </cfRule>
  </conditionalFormatting>
  <conditionalFormatting sqref="S1384:S1387">
    <cfRule type="containsText" dxfId="8868" priority="14582" operator="containsText" text="&lt;">
      <formula>NOT(ISERROR(SEARCH(("&lt;"),(S1384))))</formula>
    </cfRule>
  </conditionalFormatting>
  <conditionalFormatting sqref="S1384:S1387">
    <cfRule type="containsText" dxfId="8867" priority="14583" operator="containsText" text="ND">
      <formula>NOT(ISERROR(SEARCH(("ND"),(S1384))))</formula>
    </cfRule>
  </conditionalFormatting>
  <conditionalFormatting sqref="S1384:S1387">
    <cfRule type="cellIs" dxfId="8866" priority="14584" operator="greaterThanOrEqual">
      <formula>200</formula>
    </cfRule>
  </conditionalFormatting>
  <conditionalFormatting sqref="S1384:S1387">
    <cfRule type="cellIs" dxfId="8865" priority="14585" operator="greaterThanOrEqual">
      <formula>130</formula>
    </cfRule>
  </conditionalFormatting>
  <conditionalFormatting sqref="N1384:N1387">
    <cfRule type="cellIs" dxfId="8864" priority="14586" operator="greaterThanOrEqual">
      <formula>200</formula>
    </cfRule>
  </conditionalFormatting>
  <conditionalFormatting sqref="N1384:N1387">
    <cfRule type="cellIs" dxfId="8863" priority="14587" operator="greaterThanOrEqual">
      <formula>120</formula>
    </cfRule>
  </conditionalFormatting>
  <conditionalFormatting sqref="O1384:O1387">
    <cfRule type="containsText" dxfId="8862" priority="14588" operator="containsText" text="ND">
      <formula>NOT(ISERROR(SEARCH(("ND"),(O1384))))</formula>
    </cfRule>
  </conditionalFormatting>
  <conditionalFormatting sqref="O1384:O1387">
    <cfRule type="cellIs" dxfId="8861" priority="14589" operator="greaterThanOrEqual">
      <formula>250</formula>
    </cfRule>
  </conditionalFormatting>
  <conditionalFormatting sqref="O1384:O1387">
    <cfRule type="cellIs" dxfId="8860" priority="14590" operator="greaterThanOrEqual">
      <formula>175</formula>
    </cfRule>
  </conditionalFormatting>
  <conditionalFormatting sqref="P1384:P1387">
    <cfRule type="containsText" dxfId="8859" priority="14591" operator="containsText" text="ND">
      <formula>NOT(ISERROR(SEARCH(("ND"),(P1384))))</formula>
    </cfRule>
  </conditionalFormatting>
  <conditionalFormatting sqref="P1384:P1387">
    <cfRule type="cellIs" dxfId="8858" priority="14592" operator="greaterThanOrEqual">
      <formula>5</formula>
    </cfRule>
  </conditionalFormatting>
  <conditionalFormatting sqref="P1384:P1387">
    <cfRule type="cellIs" dxfId="8857" priority="14593" operator="greaterThanOrEqual">
      <formula>2.5</formula>
    </cfRule>
  </conditionalFormatting>
  <conditionalFormatting sqref="Q1384:Q1387">
    <cfRule type="containsText" dxfId="8856" priority="14594" operator="containsText" text="ND">
      <formula>NOT(ISERROR(SEARCH(("ND"),(Q1384))))</formula>
    </cfRule>
  </conditionalFormatting>
  <conditionalFormatting sqref="Q1384:Q1387">
    <cfRule type="cellIs" dxfId="8855" priority="14595" operator="greaterThanOrEqual">
      <formula>500</formula>
    </cfRule>
  </conditionalFormatting>
  <conditionalFormatting sqref="Q1384:Q1387">
    <cfRule type="cellIs" dxfId="8854" priority="14596" operator="greaterThanOrEqual">
      <formula>300</formula>
    </cfRule>
  </conditionalFormatting>
  <conditionalFormatting sqref="L684:L685">
    <cfRule type="cellIs" dxfId="8853" priority="14555" operator="greaterThanOrEqual">
      <formula>5</formula>
    </cfRule>
  </conditionalFormatting>
  <conditionalFormatting sqref="L684:L685">
    <cfRule type="cellIs" dxfId="8852" priority="14556" operator="greaterThanOrEqual">
      <formula>2</formula>
    </cfRule>
  </conditionalFormatting>
  <conditionalFormatting sqref="M684:M685">
    <cfRule type="cellIs" dxfId="8851" priority="14557" operator="greaterThanOrEqual">
      <formula>60</formula>
    </cfRule>
  </conditionalFormatting>
  <conditionalFormatting sqref="M684:M685">
    <cfRule type="cellIs" dxfId="8850" priority="14558" operator="greaterThanOrEqual">
      <formula>30</formula>
    </cfRule>
  </conditionalFormatting>
  <conditionalFormatting sqref="R684:R685">
    <cfRule type="cellIs" dxfId="8849" priority="14559" operator="greaterThanOrEqual">
      <formula>600</formula>
    </cfRule>
  </conditionalFormatting>
  <conditionalFormatting sqref="R684:R685">
    <cfRule type="cellIs" dxfId="8848" priority="14560" operator="greaterThanOrEqual">
      <formula>260</formula>
    </cfRule>
  </conditionalFormatting>
  <conditionalFormatting sqref="S684:S685">
    <cfRule type="containsText" dxfId="8847" priority="14561" operator="containsText" text="&lt;">
      <formula>NOT(ISERROR(SEARCH(("&lt;"),(S684))))</formula>
    </cfRule>
  </conditionalFormatting>
  <conditionalFormatting sqref="S684:S685">
    <cfRule type="containsText" dxfId="8846" priority="14562" operator="containsText" text="ND">
      <formula>NOT(ISERROR(SEARCH(("ND"),(S684))))</formula>
    </cfRule>
  </conditionalFormatting>
  <conditionalFormatting sqref="S684:S685">
    <cfRule type="cellIs" dxfId="8845" priority="14563" operator="greaterThanOrEqual">
      <formula>200</formula>
    </cfRule>
  </conditionalFormatting>
  <conditionalFormatting sqref="S684:S685">
    <cfRule type="cellIs" dxfId="8844" priority="14564" operator="greaterThanOrEqual">
      <formula>130</formula>
    </cfRule>
  </conditionalFormatting>
  <conditionalFormatting sqref="N684:N685">
    <cfRule type="cellIs" dxfId="8843" priority="14565" operator="greaterThanOrEqual">
      <formula>200</formula>
    </cfRule>
  </conditionalFormatting>
  <conditionalFormatting sqref="N684:N685">
    <cfRule type="cellIs" dxfId="8842" priority="14566" operator="greaterThanOrEqual">
      <formula>120</formula>
    </cfRule>
  </conditionalFormatting>
  <conditionalFormatting sqref="O684:O685">
    <cfRule type="containsText" dxfId="8841" priority="14567" operator="containsText" text="ND">
      <formula>NOT(ISERROR(SEARCH(("ND"),(O684))))</formula>
    </cfRule>
  </conditionalFormatting>
  <conditionalFormatting sqref="O684:O685">
    <cfRule type="cellIs" dxfId="8840" priority="14568" operator="greaterThanOrEqual">
      <formula>250</formula>
    </cfRule>
  </conditionalFormatting>
  <conditionalFormatting sqref="O684:O685">
    <cfRule type="cellIs" dxfId="8839" priority="14569" operator="greaterThanOrEqual">
      <formula>175</formula>
    </cfRule>
  </conditionalFormatting>
  <conditionalFormatting sqref="P684:P685">
    <cfRule type="containsText" dxfId="8838" priority="14570" operator="containsText" text="ND">
      <formula>NOT(ISERROR(SEARCH(("ND"),(P684))))</formula>
    </cfRule>
  </conditionalFormatting>
  <conditionalFormatting sqref="P684:P685">
    <cfRule type="cellIs" dxfId="8837" priority="14571" operator="greaterThanOrEqual">
      <formula>5</formula>
    </cfRule>
  </conditionalFormatting>
  <conditionalFormatting sqref="P684:P685">
    <cfRule type="cellIs" dxfId="8836" priority="14572" operator="greaterThanOrEqual">
      <formula>2.5</formula>
    </cfRule>
  </conditionalFormatting>
  <conditionalFormatting sqref="Q684:Q685">
    <cfRule type="containsText" dxfId="8835" priority="14573" operator="containsText" text="ND">
      <formula>NOT(ISERROR(SEARCH(("ND"),(Q684))))</formula>
    </cfRule>
  </conditionalFormatting>
  <conditionalFormatting sqref="Q684:Q685">
    <cfRule type="cellIs" dxfId="8834" priority="14574" operator="greaterThanOrEqual">
      <formula>500</formula>
    </cfRule>
  </conditionalFormatting>
  <conditionalFormatting sqref="Q684:Q685">
    <cfRule type="cellIs" dxfId="8833" priority="14575" operator="greaterThanOrEqual">
      <formula>300</formula>
    </cfRule>
  </conditionalFormatting>
  <conditionalFormatting sqref="L1488">
    <cfRule type="cellIs" dxfId="8832" priority="14534" operator="greaterThanOrEqual">
      <formula>5</formula>
    </cfRule>
  </conditionalFormatting>
  <conditionalFormatting sqref="L1488">
    <cfRule type="cellIs" dxfId="8831" priority="14535" operator="greaterThanOrEqual">
      <formula>2</formula>
    </cfRule>
  </conditionalFormatting>
  <conditionalFormatting sqref="M1488">
    <cfRule type="cellIs" dxfId="8830" priority="14536" operator="greaterThanOrEqual">
      <formula>60</formula>
    </cfRule>
  </conditionalFormatting>
  <conditionalFormatting sqref="M1488">
    <cfRule type="cellIs" dxfId="8829" priority="14537" operator="greaterThanOrEqual">
      <formula>30</formula>
    </cfRule>
  </conditionalFormatting>
  <conditionalFormatting sqref="R1488">
    <cfRule type="cellIs" dxfId="8828" priority="14538" operator="greaterThanOrEqual">
      <formula>600</formula>
    </cfRule>
  </conditionalFormatting>
  <conditionalFormatting sqref="R1488">
    <cfRule type="cellIs" dxfId="8827" priority="14539" operator="greaterThanOrEqual">
      <formula>260</formula>
    </cfRule>
  </conditionalFormatting>
  <conditionalFormatting sqref="S1488">
    <cfRule type="containsText" dxfId="8826" priority="14540" operator="containsText" text="&lt;">
      <formula>NOT(ISERROR(SEARCH(("&lt;"),(S1488))))</formula>
    </cfRule>
  </conditionalFormatting>
  <conditionalFormatting sqref="S1488">
    <cfRule type="containsText" dxfId="8825" priority="14541" operator="containsText" text="ND">
      <formula>NOT(ISERROR(SEARCH(("ND"),(S1488))))</formula>
    </cfRule>
  </conditionalFormatting>
  <conditionalFormatting sqref="S1488">
    <cfRule type="cellIs" dxfId="8824" priority="14542" operator="greaterThanOrEqual">
      <formula>200</formula>
    </cfRule>
  </conditionalFormatting>
  <conditionalFormatting sqref="S1488">
    <cfRule type="cellIs" dxfId="8823" priority="14543" operator="greaterThanOrEqual">
      <formula>130</formula>
    </cfRule>
  </conditionalFormatting>
  <conditionalFormatting sqref="N1488">
    <cfRule type="cellIs" dxfId="8822" priority="14544" operator="greaterThanOrEqual">
      <formula>200</formula>
    </cfRule>
  </conditionalFormatting>
  <conditionalFormatting sqref="N1488">
    <cfRule type="cellIs" dxfId="8821" priority="14545" operator="greaterThanOrEqual">
      <formula>120</formula>
    </cfRule>
  </conditionalFormatting>
  <conditionalFormatting sqref="O1488">
    <cfRule type="containsText" dxfId="8820" priority="14546" operator="containsText" text="ND">
      <formula>NOT(ISERROR(SEARCH(("ND"),(O1488))))</formula>
    </cfRule>
  </conditionalFormatting>
  <conditionalFormatting sqref="O1488">
    <cfRule type="cellIs" dxfId="8819" priority="14547" operator="greaterThanOrEqual">
      <formula>250</formula>
    </cfRule>
  </conditionalFormatting>
  <conditionalFormatting sqref="O1488">
    <cfRule type="cellIs" dxfId="8818" priority="14548" operator="greaterThanOrEqual">
      <formula>175</formula>
    </cfRule>
  </conditionalFormatting>
  <conditionalFormatting sqref="P1488">
    <cfRule type="containsText" dxfId="8817" priority="14549" operator="containsText" text="ND">
      <formula>NOT(ISERROR(SEARCH(("ND"),(P1488))))</formula>
    </cfRule>
  </conditionalFormatting>
  <conditionalFormatting sqref="P1488">
    <cfRule type="cellIs" dxfId="8816" priority="14550" operator="greaterThanOrEqual">
      <formula>5</formula>
    </cfRule>
  </conditionalFormatting>
  <conditionalFormatting sqref="P1488">
    <cfRule type="cellIs" dxfId="8815" priority="14551" operator="greaterThanOrEqual">
      <formula>2.5</formula>
    </cfRule>
  </conditionalFormatting>
  <conditionalFormatting sqref="Q1488">
    <cfRule type="containsText" dxfId="8814" priority="14552" operator="containsText" text="ND">
      <formula>NOT(ISERROR(SEARCH(("ND"),(Q1488))))</formula>
    </cfRule>
  </conditionalFormatting>
  <conditionalFormatting sqref="Q1488">
    <cfRule type="cellIs" dxfId="8813" priority="14553" operator="greaterThanOrEqual">
      <formula>500</formula>
    </cfRule>
  </conditionalFormatting>
  <conditionalFormatting sqref="Q1488">
    <cfRule type="cellIs" dxfId="8812" priority="14554" operator="greaterThanOrEqual">
      <formula>300</formula>
    </cfRule>
  </conditionalFormatting>
  <conditionalFormatting sqref="L105:L118">
    <cfRule type="cellIs" dxfId="8811" priority="14512" operator="greaterThanOrEqual">
      <formula>5</formula>
    </cfRule>
  </conditionalFormatting>
  <conditionalFormatting sqref="L105:L118">
    <cfRule type="cellIs" dxfId="8810" priority="14513" operator="greaterThanOrEqual">
      <formula>2</formula>
    </cfRule>
  </conditionalFormatting>
  <conditionalFormatting sqref="M105:M118">
    <cfRule type="cellIs" dxfId="8809" priority="14514" operator="greaterThanOrEqual">
      <formula>60</formula>
    </cfRule>
  </conditionalFormatting>
  <conditionalFormatting sqref="M105:M118">
    <cfRule type="cellIs" dxfId="8808" priority="14515" operator="greaterThanOrEqual">
      <formula>30</formula>
    </cfRule>
  </conditionalFormatting>
  <conditionalFormatting sqref="R105:R118">
    <cfRule type="cellIs" dxfId="8807" priority="14516" operator="greaterThanOrEqual">
      <formula>600</formula>
    </cfRule>
  </conditionalFormatting>
  <conditionalFormatting sqref="R105:R118">
    <cfRule type="cellIs" dxfId="8806" priority="14517" operator="greaterThanOrEqual">
      <formula>260</formula>
    </cfRule>
  </conditionalFormatting>
  <conditionalFormatting sqref="S105:S118">
    <cfRule type="containsText" dxfId="8805" priority="14518" operator="containsText" text="&lt;">
      <formula>NOT(ISERROR(SEARCH(("&lt;"),(S105))))</formula>
    </cfRule>
  </conditionalFormatting>
  <conditionalFormatting sqref="S105:S118">
    <cfRule type="containsText" dxfId="8804" priority="14519" operator="containsText" text="ND">
      <formula>NOT(ISERROR(SEARCH(("ND"),(S105))))</formula>
    </cfRule>
  </conditionalFormatting>
  <conditionalFormatting sqref="S105:S118">
    <cfRule type="cellIs" dxfId="8803" priority="14520" operator="greaterThanOrEqual">
      <formula>200</formula>
    </cfRule>
  </conditionalFormatting>
  <conditionalFormatting sqref="S105:S118">
    <cfRule type="cellIs" dxfId="8802" priority="14521" operator="greaterThanOrEqual">
      <formula>130</formula>
    </cfRule>
  </conditionalFormatting>
  <conditionalFormatting sqref="N105:N118">
    <cfRule type="cellIs" dxfId="8801" priority="14522" operator="greaterThanOrEqual">
      <formula>200</formula>
    </cfRule>
  </conditionalFormatting>
  <conditionalFormatting sqref="N105:N118">
    <cfRule type="cellIs" dxfId="8800" priority="14523" operator="greaterThanOrEqual">
      <formula>120</formula>
    </cfRule>
  </conditionalFormatting>
  <conditionalFormatting sqref="O105:O118">
    <cfRule type="containsText" dxfId="8799" priority="14524" operator="containsText" text="ND">
      <formula>NOT(ISERROR(SEARCH(("ND"),(O105))))</formula>
    </cfRule>
  </conditionalFormatting>
  <conditionalFormatting sqref="O105:O118">
    <cfRule type="cellIs" dxfId="8798" priority="14525" operator="greaterThanOrEqual">
      <formula>250</formula>
    </cfRule>
  </conditionalFormatting>
  <conditionalFormatting sqref="O105:O118">
    <cfRule type="cellIs" dxfId="8797" priority="14526" operator="greaterThanOrEqual">
      <formula>175</formula>
    </cfRule>
  </conditionalFormatting>
  <conditionalFormatting sqref="P105:P118">
    <cfRule type="containsText" dxfId="8796" priority="14527" operator="containsText" text="ND">
      <formula>NOT(ISERROR(SEARCH(("ND"),(P105))))</formula>
    </cfRule>
  </conditionalFormatting>
  <conditionalFormatting sqref="P105:P118">
    <cfRule type="cellIs" dxfId="8795" priority="14528" operator="greaterThanOrEqual">
      <formula>5</formula>
    </cfRule>
  </conditionalFormatting>
  <conditionalFormatting sqref="P105:P118">
    <cfRule type="cellIs" dxfId="8794" priority="14529" operator="greaterThanOrEqual">
      <formula>2.5</formula>
    </cfRule>
  </conditionalFormatting>
  <conditionalFormatting sqref="Q105:Q118">
    <cfRule type="containsText" dxfId="8793" priority="14530" operator="containsText" text="ND">
      <formula>NOT(ISERROR(SEARCH(("ND"),(Q105))))</formula>
    </cfRule>
  </conditionalFormatting>
  <conditionalFormatting sqref="Q105:Q118">
    <cfRule type="cellIs" dxfId="8792" priority="14531" operator="greaterThanOrEqual">
      <formula>500</formula>
    </cfRule>
  </conditionalFormatting>
  <conditionalFormatting sqref="Q105:Q118">
    <cfRule type="cellIs" dxfId="8791" priority="14532" operator="greaterThanOrEqual">
      <formula>300</formula>
    </cfRule>
  </conditionalFormatting>
  <conditionalFormatting sqref="L1625">
    <cfRule type="cellIs" dxfId="8790" priority="14497" operator="greaterThanOrEqual">
      <formula>5</formula>
    </cfRule>
  </conditionalFormatting>
  <conditionalFormatting sqref="L1625">
    <cfRule type="cellIs" dxfId="8789" priority="14498" operator="greaterThanOrEqual">
      <formula>2</formula>
    </cfRule>
  </conditionalFormatting>
  <conditionalFormatting sqref="M1625">
    <cfRule type="cellIs" dxfId="8788" priority="14499" operator="greaterThanOrEqual">
      <formula>60</formula>
    </cfRule>
  </conditionalFormatting>
  <conditionalFormatting sqref="M1625">
    <cfRule type="cellIs" dxfId="8787" priority="14500" operator="greaterThanOrEqual">
      <formula>30</formula>
    </cfRule>
  </conditionalFormatting>
  <conditionalFormatting sqref="R1625">
    <cfRule type="cellIs" dxfId="8786" priority="14501" operator="greaterThanOrEqual">
      <formula>600</formula>
    </cfRule>
  </conditionalFormatting>
  <conditionalFormatting sqref="R1625">
    <cfRule type="cellIs" dxfId="8785" priority="14502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8784" priority="14488" operator="equal">
      <formula>"退場"</formula>
    </cfRule>
    <cfRule type="cellIs" dxfId="8783" priority="14489" operator="equal">
      <formula>"持續"</formula>
    </cfRule>
    <cfRule type="cellIs" dxfId="8782" priority="14490" operator="equal">
      <formula>"延長"</formula>
    </cfRule>
    <cfRule type="cellIs" dxfId="8781" priority="14491" operator="equal">
      <formula>"尚未調查"</formula>
    </cfRule>
  </conditionalFormatting>
  <conditionalFormatting sqref="L1491">
    <cfRule type="cellIs" dxfId="8780" priority="14456" operator="greaterThanOrEqual">
      <formula>5</formula>
    </cfRule>
  </conditionalFormatting>
  <conditionalFormatting sqref="L1491">
    <cfRule type="cellIs" dxfId="8779" priority="14457" operator="greaterThanOrEqual">
      <formula>2</formula>
    </cfRule>
  </conditionalFormatting>
  <conditionalFormatting sqref="M1491">
    <cfRule type="cellIs" dxfId="8778" priority="14458" operator="greaterThanOrEqual">
      <formula>60</formula>
    </cfRule>
  </conditionalFormatting>
  <conditionalFormatting sqref="M1491">
    <cfRule type="cellIs" dxfId="8777" priority="14459" operator="greaterThanOrEqual">
      <formula>30</formula>
    </cfRule>
  </conditionalFormatting>
  <conditionalFormatting sqref="R1491">
    <cfRule type="cellIs" dxfId="8776" priority="14460" operator="greaterThanOrEqual">
      <formula>600</formula>
    </cfRule>
  </conditionalFormatting>
  <conditionalFormatting sqref="R1491">
    <cfRule type="cellIs" dxfId="8775" priority="14461" operator="greaterThanOrEqual">
      <formula>260</formula>
    </cfRule>
  </conditionalFormatting>
  <conditionalFormatting sqref="S1491">
    <cfRule type="containsText" dxfId="8774" priority="14462" operator="containsText" text="&lt;">
      <formula>NOT(ISERROR(SEARCH(("&lt;"),(S1491))))</formula>
    </cfRule>
  </conditionalFormatting>
  <conditionalFormatting sqref="S1491">
    <cfRule type="containsText" dxfId="8773" priority="14463" operator="containsText" text="ND">
      <formula>NOT(ISERROR(SEARCH(("ND"),(S1491))))</formula>
    </cfRule>
  </conditionalFormatting>
  <conditionalFormatting sqref="S1491">
    <cfRule type="cellIs" dxfId="8772" priority="14464" operator="greaterThanOrEqual">
      <formula>200</formula>
    </cfRule>
  </conditionalFormatting>
  <conditionalFormatting sqref="S1491">
    <cfRule type="cellIs" dxfId="8771" priority="14465" operator="greaterThanOrEqual">
      <formula>130</formula>
    </cfRule>
  </conditionalFormatting>
  <conditionalFormatting sqref="N1491">
    <cfRule type="cellIs" dxfId="8770" priority="14466" operator="greaterThanOrEqual">
      <formula>200</formula>
    </cfRule>
  </conditionalFormatting>
  <conditionalFormatting sqref="N1491">
    <cfRule type="cellIs" dxfId="8769" priority="14467" operator="greaterThanOrEqual">
      <formula>120</formula>
    </cfRule>
  </conditionalFormatting>
  <conditionalFormatting sqref="O1491">
    <cfRule type="containsText" dxfId="8768" priority="14468" operator="containsText" text="ND">
      <formula>NOT(ISERROR(SEARCH(("ND"),(O1491))))</formula>
    </cfRule>
  </conditionalFormatting>
  <conditionalFormatting sqref="O1491">
    <cfRule type="cellIs" dxfId="8767" priority="14469" operator="greaterThanOrEqual">
      <formula>250</formula>
    </cfRule>
  </conditionalFormatting>
  <conditionalFormatting sqref="O1491">
    <cfRule type="cellIs" dxfId="8766" priority="14470" operator="greaterThanOrEqual">
      <formula>175</formula>
    </cfRule>
  </conditionalFormatting>
  <conditionalFormatting sqref="P1491">
    <cfRule type="containsText" dxfId="8765" priority="14471" operator="containsText" text="ND">
      <formula>NOT(ISERROR(SEARCH(("ND"),(P1491))))</formula>
    </cfRule>
  </conditionalFormatting>
  <conditionalFormatting sqref="P1491">
    <cfRule type="cellIs" dxfId="8764" priority="14472" operator="greaterThanOrEqual">
      <formula>5</formula>
    </cfRule>
  </conditionalFormatting>
  <conditionalFormatting sqref="P1491">
    <cfRule type="cellIs" dxfId="8763" priority="14473" operator="greaterThanOrEqual">
      <formula>2.5</formula>
    </cfRule>
  </conditionalFormatting>
  <conditionalFormatting sqref="Q1491">
    <cfRule type="containsText" dxfId="8762" priority="14474" operator="containsText" text="ND">
      <formula>NOT(ISERROR(SEARCH(("ND"),(Q1491))))</formula>
    </cfRule>
  </conditionalFormatting>
  <conditionalFormatting sqref="Q1491">
    <cfRule type="cellIs" dxfId="8761" priority="14475" operator="greaterThanOrEqual">
      <formula>500</formula>
    </cfRule>
  </conditionalFormatting>
  <conditionalFormatting sqref="Q1491">
    <cfRule type="cellIs" dxfId="8760" priority="14476" operator="greaterThanOrEqual">
      <formula>300</formula>
    </cfRule>
  </conditionalFormatting>
  <conditionalFormatting sqref="L126:L131">
    <cfRule type="cellIs" dxfId="8759" priority="14435" operator="greaterThanOrEqual">
      <formula>5</formula>
    </cfRule>
  </conditionalFormatting>
  <conditionalFormatting sqref="L126:L131">
    <cfRule type="cellIs" dxfId="8758" priority="14436" operator="greaterThanOrEqual">
      <formula>2</formula>
    </cfRule>
  </conditionalFormatting>
  <conditionalFormatting sqref="M126:M131">
    <cfRule type="cellIs" dxfId="8757" priority="14437" operator="greaterThanOrEqual">
      <formula>60</formula>
    </cfRule>
  </conditionalFormatting>
  <conditionalFormatting sqref="M126:M131">
    <cfRule type="cellIs" dxfId="8756" priority="14438" operator="greaterThanOrEqual">
      <formula>30</formula>
    </cfRule>
  </conditionalFormatting>
  <conditionalFormatting sqref="R126:R131">
    <cfRule type="cellIs" dxfId="8755" priority="14439" operator="greaterThanOrEqual">
      <formula>600</formula>
    </cfRule>
  </conditionalFormatting>
  <conditionalFormatting sqref="R126:R131">
    <cfRule type="cellIs" dxfId="8754" priority="14440" operator="greaterThanOrEqual">
      <formula>260</formula>
    </cfRule>
  </conditionalFormatting>
  <conditionalFormatting sqref="S126:S131">
    <cfRule type="containsText" dxfId="8753" priority="14441" operator="containsText" text="&lt;">
      <formula>NOT(ISERROR(SEARCH(("&lt;"),(S126))))</formula>
    </cfRule>
  </conditionalFormatting>
  <conditionalFormatting sqref="S126:S131">
    <cfRule type="containsText" dxfId="8752" priority="14442" operator="containsText" text="ND">
      <formula>NOT(ISERROR(SEARCH(("ND"),(S126))))</formula>
    </cfRule>
  </conditionalFormatting>
  <conditionalFormatting sqref="S126:S131">
    <cfRule type="cellIs" dxfId="8751" priority="14443" operator="greaterThanOrEqual">
      <formula>200</formula>
    </cfRule>
  </conditionalFormatting>
  <conditionalFormatting sqref="S126:S131">
    <cfRule type="cellIs" dxfId="8750" priority="14444" operator="greaterThanOrEqual">
      <formula>130</formula>
    </cfRule>
  </conditionalFormatting>
  <conditionalFormatting sqref="N126:N131">
    <cfRule type="cellIs" dxfId="8749" priority="14445" operator="greaterThanOrEqual">
      <formula>200</formula>
    </cfRule>
  </conditionalFormatting>
  <conditionalFormatting sqref="N126:N131">
    <cfRule type="cellIs" dxfId="8748" priority="14446" operator="greaterThanOrEqual">
      <formula>120</formula>
    </cfRule>
  </conditionalFormatting>
  <conditionalFormatting sqref="O126:O131">
    <cfRule type="containsText" dxfId="8747" priority="14447" operator="containsText" text="ND">
      <formula>NOT(ISERROR(SEARCH(("ND"),(O126))))</formula>
    </cfRule>
  </conditionalFormatting>
  <conditionalFormatting sqref="O126:O131">
    <cfRule type="cellIs" dxfId="8746" priority="14448" operator="greaterThanOrEqual">
      <formula>250</formula>
    </cfRule>
  </conditionalFormatting>
  <conditionalFormatting sqref="O126:O131">
    <cfRule type="cellIs" dxfId="8745" priority="14449" operator="greaterThanOrEqual">
      <formula>175</formula>
    </cfRule>
  </conditionalFormatting>
  <conditionalFormatting sqref="P126:P131">
    <cfRule type="containsText" dxfId="8744" priority="14450" operator="containsText" text="ND">
      <formula>NOT(ISERROR(SEARCH(("ND"),(P126))))</formula>
    </cfRule>
  </conditionalFormatting>
  <conditionalFormatting sqref="P126:P131">
    <cfRule type="cellIs" dxfId="8743" priority="14451" operator="greaterThanOrEqual">
      <formula>5</formula>
    </cfRule>
  </conditionalFormatting>
  <conditionalFormatting sqref="P126:P131">
    <cfRule type="cellIs" dxfId="8742" priority="14452" operator="greaterThanOrEqual">
      <formula>2.5</formula>
    </cfRule>
  </conditionalFormatting>
  <conditionalFormatting sqref="Q126:Q131">
    <cfRule type="containsText" dxfId="8741" priority="14453" operator="containsText" text="ND">
      <formula>NOT(ISERROR(SEARCH(("ND"),(Q126))))</formula>
    </cfRule>
  </conditionalFormatting>
  <conditionalFormatting sqref="Q126:Q131">
    <cfRule type="cellIs" dxfId="8740" priority="14454" operator="greaterThanOrEqual">
      <formula>500</formula>
    </cfRule>
  </conditionalFormatting>
  <conditionalFormatting sqref="Q126:Q131">
    <cfRule type="cellIs" dxfId="8739" priority="14455" operator="greaterThanOrEqual">
      <formula>300</formula>
    </cfRule>
  </conditionalFormatting>
  <conditionalFormatting sqref="L132:L138">
    <cfRule type="cellIs" dxfId="8738" priority="14333" operator="greaterThanOrEqual">
      <formula>5</formula>
    </cfRule>
  </conditionalFormatting>
  <conditionalFormatting sqref="L132:L138">
    <cfRule type="cellIs" dxfId="8737" priority="14334" operator="greaterThanOrEqual">
      <formula>2</formula>
    </cfRule>
  </conditionalFormatting>
  <conditionalFormatting sqref="M132:M138">
    <cfRule type="cellIs" dxfId="8736" priority="14335" operator="greaterThanOrEqual">
      <formula>60</formula>
    </cfRule>
  </conditionalFormatting>
  <conditionalFormatting sqref="M132:M138">
    <cfRule type="cellIs" dxfId="8735" priority="14336" operator="greaterThanOrEqual">
      <formula>30</formula>
    </cfRule>
  </conditionalFormatting>
  <conditionalFormatting sqref="R132:R138">
    <cfRule type="cellIs" dxfId="8734" priority="14337" operator="greaterThanOrEqual">
      <formula>600</formula>
    </cfRule>
  </conditionalFormatting>
  <conditionalFormatting sqref="R132:R138">
    <cfRule type="cellIs" dxfId="8733" priority="14338" operator="greaterThanOrEqual">
      <formula>260</formula>
    </cfRule>
  </conditionalFormatting>
  <conditionalFormatting sqref="S132:S138">
    <cfRule type="containsText" dxfId="8732" priority="14339" operator="containsText" text="&lt;">
      <formula>NOT(ISERROR(SEARCH(("&lt;"),(S132))))</formula>
    </cfRule>
  </conditionalFormatting>
  <conditionalFormatting sqref="S132:S138">
    <cfRule type="containsText" dxfId="8731" priority="14340" operator="containsText" text="ND">
      <formula>NOT(ISERROR(SEARCH(("ND"),(S132))))</formula>
    </cfRule>
  </conditionalFormatting>
  <conditionalFormatting sqref="S132:S138">
    <cfRule type="cellIs" dxfId="8730" priority="14341" operator="greaterThanOrEqual">
      <formula>200</formula>
    </cfRule>
  </conditionalFormatting>
  <conditionalFormatting sqref="S132:S138">
    <cfRule type="cellIs" dxfId="8729" priority="14342" operator="greaterThanOrEqual">
      <formula>130</formula>
    </cfRule>
  </conditionalFormatting>
  <conditionalFormatting sqref="N132:N138">
    <cfRule type="cellIs" dxfId="8728" priority="14343" operator="greaterThanOrEqual">
      <formula>200</formula>
    </cfRule>
  </conditionalFormatting>
  <conditionalFormatting sqref="N132:N138">
    <cfRule type="cellIs" dxfId="8727" priority="14344" operator="greaterThanOrEqual">
      <formula>120</formula>
    </cfRule>
  </conditionalFormatting>
  <conditionalFormatting sqref="O132:O138">
    <cfRule type="containsText" dxfId="8726" priority="14345" operator="containsText" text="ND">
      <formula>NOT(ISERROR(SEARCH(("ND"),(O132))))</formula>
    </cfRule>
  </conditionalFormatting>
  <conditionalFormatting sqref="O132:O138">
    <cfRule type="cellIs" dxfId="8725" priority="14346" operator="greaterThanOrEqual">
      <formula>250</formula>
    </cfRule>
  </conditionalFormatting>
  <conditionalFormatting sqref="O132:O138">
    <cfRule type="cellIs" dxfId="8724" priority="14347" operator="greaterThanOrEqual">
      <formula>175</formula>
    </cfRule>
  </conditionalFormatting>
  <conditionalFormatting sqref="P132:P138">
    <cfRule type="containsText" dxfId="8723" priority="14348" operator="containsText" text="ND">
      <formula>NOT(ISERROR(SEARCH(("ND"),(P132))))</formula>
    </cfRule>
  </conditionalFormatting>
  <conditionalFormatting sqref="P132:P138">
    <cfRule type="cellIs" dxfId="8722" priority="14349" operator="greaterThanOrEqual">
      <formula>5</formula>
    </cfRule>
  </conditionalFormatting>
  <conditionalFormatting sqref="P132:P138">
    <cfRule type="cellIs" dxfId="8721" priority="14350" operator="greaterThanOrEqual">
      <formula>2.5</formula>
    </cfRule>
  </conditionalFormatting>
  <conditionalFormatting sqref="Q132:Q138">
    <cfRule type="containsText" dxfId="8720" priority="14351" operator="containsText" text="ND">
      <formula>NOT(ISERROR(SEARCH(("ND"),(Q132))))</formula>
    </cfRule>
  </conditionalFormatting>
  <conditionalFormatting sqref="Q132:Q138">
    <cfRule type="cellIs" dxfId="8719" priority="14352" operator="greaterThanOrEqual">
      <formula>500</formula>
    </cfRule>
  </conditionalFormatting>
  <conditionalFormatting sqref="Q132:Q138">
    <cfRule type="cellIs" dxfId="8718" priority="14353" operator="greaterThanOrEqual">
      <formula>300</formula>
    </cfRule>
  </conditionalFormatting>
  <conditionalFormatting sqref="L1492">
    <cfRule type="cellIs" dxfId="8717" priority="14305" operator="greaterThanOrEqual">
      <formula>5</formula>
    </cfRule>
  </conditionalFormatting>
  <conditionalFormatting sqref="L1492">
    <cfRule type="cellIs" dxfId="8716" priority="14306" operator="greaterThanOrEqual">
      <formula>2</formula>
    </cfRule>
  </conditionalFormatting>
  <conditionalFormatting sqref="M1492">
    <cfRule type="cellIs" dxfId="8715" priority="14307" operator="greaterThanOrEqual">
      <formula>60</formula>
    </cfRule>
  </conditionalFormatting>
  <conditionalFormatting sqref="M1492">
    <cfRule type="cellIs" dxfId="8714" priority="14308" operator="greaterThanOrEqual">
      <formula>30</formula>
    </cfRule>
  </conditionalFormatting>
  <conditionalFormatting sqref="R1492">
    <cfRule type="cellIs" dxfId="8713" priority="14309" operator="greaterThanOrEqual">
      <formula>600</formula>
    </cfRule>
  </conditionalFormatting>
  <conditionalFormatting sqref="R1492">
    <cfRule type="cellIs" dxfId="8712" priority="14310" operator="greaterThanOrEqual">
      <formula>260</formula>
    </cfRule>
  </conditionalFormatting>
  <conditionalFormatting sqref="S1492">
    <cfRule type="containsText" dxfId="8711" priority="14311" operator="containsText" text="&lt;">
      <formula>NOT(ISERROR(SEARCH(("&lt;"),(S1492))))</formula>
    </cfRule>
  </conditionalFormatting>
  <conditionalFormatting sqref="S1492">
    <cfRule type="containsText" dxfId="8710" priority="14312" operator="containsText" text="ND">
      <formula>NOT(ISERROR(SEARCH(("ND"),(S1492))))</formula>
    </cfRule>
  </conditionalFormatting>
  <conditionalFormatting sqref="S1492">
    <cfRule type="cellIs" dxfId="8709" priority="14313" operator="greaterThanOrEqual">
      <formula>200</formula>
    </cfRule>
  </conditionalFormatting>
  <conditionalFormatting sqref="S1492">
    <cfRule type="cellIs" dxfId="8708" priority="14314" operator="greaterThanOrEqual">
      <formula>130</formula>
    </cfRule>
  </conditionalFormatting>
  <conditionalFormatting sqref="N1492">
    <cfRule type="cellIs" dxfId="8707" priority="14315" operator="greaterThanOrEqual">
      <formula>200</formula>
    </cfRule>
  </conditionalFormatting>
  <conditionalFormatting sqref="N1492">
    <cfRule type="cellIs" dxfId="8706" priority="14316" operator="greaterThanOrEqual">
      <formula>120</formula>
    </cfRule>
  </conditionalFormatting>
  <conditionalFormatting sqref="O1492">
    <cfRule type="containsText" dxfId="8705" priority="14317" operator="containsText" text="ND">
      <formula>NOT(ISERROR(SEARCH(("ND"),(O1492))))</formula>
    </cfRule>
  </conditionalFormatting>
  <conditionalFormatting sqref="O1492">
    <cfRule type="cellIs" dxfId="8704" priority="14318" operator="greaterThanOrEqual">
      <formula>250</formula>
    </cfRule>
  </conditionalFormatting>
  <conditionalFormatting sqref="O1492">
    <cfRule type="cellIs" dxfId="8703" priority="14319" operator="greaterThanOrEqual">
      <formula>175</formula>
    </cfRule>
  </conditionalFormatting>
  <conditionalFormatting sqref="P1492">
    <cfRule type="containsText" dxfId="8702" priority="14320" operator="containsText" text="ND">
      <formula>NOT(ISERROR(SEARCH(("ND"),(P1492))))</formula>
    </cfRule>
  </conditionalFormatting>
  <conditionalFormatting sqref="P1492">
    <cfRule type="cellIs" dxfId="8701" priority="14321" operator="greaterThanOrEqual">
      <formula>5</formula>
    </cfRule>
  </conditionalFormatting>
  <conditionalFormatting sqref="P1492">
    <cfRule type="cellIs" dxfId="8700" priority="14322" operator="greaterThanOrEqual">
      <formula>2.5</formula>
    </cfRule>
  </conditionalFormatting>
  <conditionalFormatting sqref="Q1492">
    <cfRule type="containsText" dxfId="8699" priority="14323" operator="containsText" text="ND">
      <formula>NOT(ISERROR(SEARCH(("ND"),(Q1492))))</formula>
    </cfRule>
  </conditionalFormatting>
  <conditionalFormatting sqref="Q1492">
    <cfRule type="cellIs" dxfId="8698" priority="14324" operator="greaterThanOrEqual">
      <formula>500</formula>
    </cfRule>
  </conditionalFormatting>
  <conditionalFormatting sqref="Q1492">
    <cfRule type="cellIs" dxfId="8697" priority="14325" operator="greaterThanOrEqual">
      <formula>300</formula>
    </cfRule>
  </conditionalFormatting>
  <conditionalFormatting sqref="L693:L698">
    <cfRule type="cellIs" dxfId="8696" priority="14251" operator="greaterThanOrEqual">
      <formula>5</formula>
    </cfRule>
  </conditionalFormatting>
  <conditionalFormatting sqref="L693:L698">
    <cfRule type="cellIs" dxfId="8695" priority="14252" operator="greaterThanOrEqual">
      <formula>2</formula>
    </cfRule>
  </conditionalFormatting>
  <conditionalFormatting sqref="M693:M698">
    <cfRule type="cellIs" dxfId="8694" priority="14253" operator="greaterThanOrEqual">
      <formula>60</formula>
    </cfRule>
  </conditionalFormatting>
  <conditionalFormatting sqref="M693:M698">
    <cfRule type="cellIs" dxfId="8693" priority="14254" operator="greaterThanOrEqual">
      <formula>30</formula>
    </cfRule>
  </conditionalFormatting>
  <conditionalFormatting sqref="R693:R698">
    <cfRule type="cellIs" dxfId="8692" priority="14255" operator="greaterThanOrEqual">
      <formula>600</formula>
    </cfRule>
  </conditionalFormatting>
  <conditionalFormatting sqref="R693:R698">
    <cfRule type="cellIs" dxfId="8691" priority="14256" operator="greaterThanOrEqual">
      <formula>260</formula>
    </cfRule>
  </conditionalFormatting>
  <conditionalFormatting sqref="S693:S698">
    <cfRule type="containsText" dxfId="8690" priority="14257" operator="containsText" text="&lt;">
      <formula>NOT(ISERROR(SEARCH(("&lt;"),(S693))))</formula>
    </cfRule>
  </conditionalFormatting>
  <conditionalFormatting sqref="S693:S698">
    <cfRule type="containsText" dxfId="8689" priority="14258" operator="containsText" text="ND">
      <formula>NOT(ISERROR(SEARCH(("ND"),(S693))))</formula>
    </cfRule>
  </conditionalFormatting>
  <conditionalFormatting sqref="S693:S698">
    <cfRule type="cellIs" dxfId="8688" priority="14259" operator="greaterThanOrEqual">
      <formula>200</formula>
    </cfRule>
  </conditionalFormatting>
  <conditionalFormatting sqref="S693:S698">
    <cfRule type="cellIs" dxfId="8687" priority="14260" operator="greaterThanOrEqual">
      <formula>130</formula>
    </cfRule>
  </conditionalFormatting>
  <conditionalFormatting sqref="N693:N698">
    <cfRule type="cellIs" dxfId="8686" priority="14261" operator="greaterThanOrEqual">
      <formula>200</formula>
    </cfRule>
  </conditionalFormatting>
  <conditionalFormatting sqref="N693:N698">
    <cfRule type="cellIs" dxfId="8685" priority="14262" operator="greaterThanOrEqual">
      <formula>120</formula>
    </cfRule>
  </conditionalFormatting>
  <conditionalFormatting sqref="O693:O698">
    <cfRule type="containsText" dxfId="8684" priority="14263" operator="containsText" text="ND">
      <formula>NOT(ISERROR(SEARCH(("ND"),(O693))))</formula>
    </cfRule>
  </conditionalFormatting>
  <conditionalFormatting sqref="O693:O698">
    <cfRule type="cellIs" dxfId="8683" priority="14264" operator="greaterThanOrEqual">
      <formula>250</formula>
    </cfRule>
  </conditionalFormatting>
  <conditionalFormatting sqref="O693:O698">
    <cfRule type="cellIs" dxfId="8682" priority="14265" operator="greaterThanOrEqual">
      <formula>175</formula>
    </cfRule>
  </conditionalFormatting>
  <conditionalFormatting sqref="P693:P698">
    <cfRule type="containsText" dxfId="8681" priority="14266" operator="containsText" text="ND">
      <formula>NOT(ISERROR(SEARCH(("ND"),(P693))))</formula>
    </cfRule>
  </conditionalFormatting>
  <conditionalFormatting sqref="P693:P698">
    <cfRule type="cellIs" dxfId="8680" priority="14267" operator="greaterThanOrEqual">
      <formula>5</formula>
    </cfRule>
  </conditionalFormatting>
  <conditionalFormatting sqref="P693:P698">
    <cfRule type="cellIs" dxfId="8679" priority="14268" operator="greaterThanOrEqual">
      <formula>2.5</formula>
    </cfRule>
  </conditionalFormatting>
  <conditionalFormatting sqref="Q693:Q698">
    <cfRule type="containsText" dxfId="8678" priority="14269" operator="containsText" text="ND">
      <formula>NOT(ISERROR(SEARCH(("ND"),(Q693))))</formula>
    </cfRule>
  </conditionalFormatting>
  <conditionalFormatting sqref="Q693:Q698">
    <cfRule type="cellIs" dxfId="8677" priority="14270" operator="greaterThanOrEqual">
      <formula>500</formula>
    </cfRule>
  </conditionalFormatting>
  <conditionalFormatting sqref="Q693:Q698">
    <cfRule type="cellIs" dxfId="8676" priority="14271" operator="greaterThanOrEqual">
      <formula>300</formula>
    </cfRule>
  </conditionalFormatting>
  <conditionalFormatting sqref="V1500:V1501">
    <cfRule type="cellIs" dxfId="8675" priority="14225" operator="equal">
      <formula>"延長"</formula>
    </cfRule>
  </conditionalFormatting>
  <conditionalFormatting sqref="V1500:V1501">
    <cfRule type="cellIs" dxfId="8674" priority="14221" operator="equal">
      <formula>"退場"</formula>
    </cfRule>
    <cfRule type="cellIs" dxfId="8673" priority="14222" operator="equal">
      <formula>"持續"</formula>
    </cfRule>
    <cfRule type="cellIs" dxfId="8672" priority="14223" operator="equal">
      <formula>"延長"</formula>
    </cfRule>
    <cfRule type="cellIs" dxfId="8671" priority="14224" operator="equal">
      <formula>"尚未調查"</formula>
    </cfRule>
  </conditionalFormatting>
  <conditionalFormatting sqref="V699">
    <cfRule type="cellIs" dxfId="8670" priority="14217" operator="equal">
      <formula>"退場"</formula>
    </cfRule>
    <cfRule type="cellIs" dxfId="8669" priority="14218" operator="equal">
      <formula>"持續"</formula>
    </cfRule>
    <cfRule type="cellIs" dxfId="8668" priority="14219" operator="equal">
      <formula>"延長"</formula>
    </cfRule>
    <cfRule type="cellIs" dxfId="8667" priority="14220" operator="equal">
      <formula>"尚未調查"</formula>
    </cfRule>
  </conditionalFormatting>
  <conditionalFormatting sqref="V700:V711">
    <cfRule type="cellIs" dxfId="8666" priority="14213" operator="equal">
      <formula>"退場"</formula>
    </cfRule>
    <cfRule type="cellIs" dxfId="8665" priority="14214" operator="equal">
      <formula>"持續"</formula>
    </cfRule>
    <cfRule type="cellIs" dxfId="8664" priority="14215" operator="equal">
      <formula>"延長"</formula>
    </cfRule>
    <cfRule type="cellIs" dxfId="8663" priority="14216" operator="equal">
      <formula>"尚未調查"</formula>
    </cfRule>
  </conditionalFormatting>
  <conditionalFormatting sqref="V139:V156">
    <cfRule type="cellIs" dxfId="8662" priority="14212" operator="equal">
      <formula>"延長"</formula>
    </cfRule>
  </conditionalFormatting>
  <conditionalFormatting sqref="V139:V156">
    <cfRule type="cellIs" dxfId="8661" priority="14208" operator="equal">
      <formula>"退場"</formula>
    </cfRule>
    <cfRule type="cellIs" dxfId="8660" priority="14209" operator="equal">
      <formula>"持續"</formula>
    </cfRule>
    <cfRule type="cellIs" dxfId="8659" priority="14210" operator="equal">
      <formula>"延長"</formula>
    </cfRule>
    <cfRule type="cellIs" dxfId="8658" priority="14211" operator="equal">
      <formula>"尚未調查"</formula>
    </cfRule>
  </conditionalFormatting>
  <conditionalFormatting sqref="L701:L703">
    <cfRule type="cellIs" dxfId="8657" priority="14111" operator="greaterThanOrEqual">
      <formula>5</formula>
    </cfRule>
  </conditionalFormatting>
  <conditionalFormatting sqref="L701:L703">
    <cfRule type="cellIs" dxfId="8656" priority="14112" operator="greaterThanOrEqual">
      <formula>2</formula>
    </cfRule>
  </conditionalFormatting>
  <conditionalFormatting sqref="M701:M703">
    <cfRule type="cellIs" dxfId="8655" priority="14113" operator="greaterThanOrEqual">
      <formula>60</formula>
    </cfRule>
  </conditionalFormatting>
  <conditionalFormatting sqref="M701:M703">
    <cfRule type="cellIs" dxfId="8654" priority="14114" operator="greaterThanOrEqual">
      <formula>30</formula>
    </cfRule>
  </conditionalFormatting>
  <conditionalFormatting sqref="R701:R703">
    <cfRule type="cellIs" dxfId="8653" priority="14115" operator="greaterThanOrEqual">
      <formula>600</formula>
    </cfRule>
  </conditionalFormatting>
  <conditionalFormatting sqref="R701:R703">
    <cfRule type="cellIs" dxfId="8652" priority="14116" operator="greaterThanOrEqual">
      <formula>260</formula>
    </cfRule>
  </conditionalFormatting>
  <conditionalFormatting sqref="S701:S703">
    <cfRule type="containsText" dxfId="8651" priority="14117" operator="containsText" text="&lt;">
      <formula>NOT(ISERROR(SEARCH(("&lt;"),(S701))))</formula>
    </cfRule>
  </conditionalFormatting>
  <conditionalFormatting sqref="S701:S703">
    <cfRule type="containsText" dxfId="8650" priority="14118" operator="containsText" text="ND">
      <formula>NOT(ISERROR(SEARCH(("ND"),(S701))))</formula>
    </cfRule>
  </conditionalFormatting>
  <conditionalFormatting sqref="S701:S703">
    <cfRule type="cellIs" dxfId="8649" priority="14119" operator="greaterThanOrEqual">
      <formula>200</formula>
    </cfRule>
  </conditionalFormatting>
  <conditionalFormatting sqref="S701:S703">
    <cfRule type="cellIs" dxfId="8648" priority="14120" operator="greaterThanOrEqual">
      <formula>130</formula>
    </cfRule>
  </conditionalFormatting>
  <conditionalFormatting sqref="N701:N703">
    <cfRule type="cellIs" dxfId="8647" priority="14121" operator="greaterThanOrEqual">
      <formula>200</formula>
    </cfRule>
  </conditionalFormatting>
  <conditionalFormatting sqref="N701:N703">
    <cfRule type="cellIs" dxfId="8646" priority="14122" operator="greaterThanOrEqual">
      <formula>120</formula>
    </cfRule>
  </conditionalFormatting>
  <conditionalFormatting sqref="O701:O703">
    <cfRule type="containsText" dxfId="8645" priority="14123" operator="containsText" text="ND">
      <formula>NOT(ISERROR(SEARCH(("ND"),(O701))))</formula>
    </cfRule>
  </conditionalFormatting>
  <conditionalFormatting sqref="O701:O703">
    <cfRule type="cellIs" dxfId="8644" priority="14124" operator="greaterThanOrEqual">
      <formula>250</formula>
    </cfRule>
  </conditionalFormatting>
  <conditionalFormatting sqref="O701:O703">
    <cfRule type="cellIs" dxfId="8643" priority="14125" operator="greaterThanOrEqual">
      <formula>175</formula>
    </cfRule>
  </conditionalFormatting>
  <conditionalFormatting sqref="P701:P703">
    <cfRule type="containsText" dxfId="8642" priority="14126" operator="containsText" text="ND">
      <formula>NOT(ISERROR(SEARCH(("ND"),(P701))))</formula>
    </cfRule>
  </conditionalFormatting>
  <conditionalFormatting sqref="P701:P703">
    <cfRule type="cellIs" dxfId="8641" priority="14127" operator="greaterThanOrEqual">
      <formula>5</formula>
    </cfRule>
  </conditionalFormatting>
  <conditionalFormatting sqref="P701:P703">
    <cfRule type="cellIs" dxfId="8640" priority="14128" operator="greaterThanOrEqual">
      <formula>2.5</formula>
    </cfRule>
  </conditionalFormatting>
  <conditionalFormatting sqref="Q701:Q703">
    <cfRule type="containsText" dxfId="8639" priority="14129" operator="containsText" text="ND">
      <formula>NOT(ISERROR(SEARCH(("ND"),(Q701))))</formula>
    </cfRule>
  </conditionalFormatting>
  <conditionalFormatting sqref="Q701:Q703">
    <cfRule type="cellIs" dxfId="8638" priority="14130" operator="greaterThanOrEqual">
      <formula>500</formula>
    </cfRule>
  </conditionalFormatting>
  <conditionalFormatting sqref="Q701:Q703">
    <cfRule type="cellIs" dxfId="8637" priority="14131" operator="greaterThanOrEqual">
      <formula>300</formula>
    </cfRule>
  </conditionalFormatting>
  <conditionalFormatting sqref="L704:L711">
    <cfRule type="cellIs" dxfId="8636" priority="14038" operator="greaterThanOrEqual">
      <formula>5</formula>
    </cfRule>
  </conditionalFormatting>
  <conditionalFormatting sqref="L704:L711">
    <cfRule type="cellIs" dxfId="8635" priority="14039" operator="greaterThanOrEqual">
      <formula>2</formula>
    </cfRule>
  </conditionalFormatting>
  <conditionalFormatting sqref="M704:M711">
    <cfRule type="cellIs" dxfId="8634" priority="14040" operator="greaterThanOrEqual">
      <formula>60</formula>
    </cfRule>
  </conditionalFormatting>
  <conditionalFormatting sqref="M704:M711">
    <cfRule type="cellIs" dxfId="8633" priority="14041" operator="greaterThanOrEqual">
      <formula>30</formula>
    </cfRule>
  </conditionalFormatting>
  <conditionalFormatting sqref="R704:R711">
    <cfRule type="cellIs" dxfId="8632" priority="14042" operator="greaterThanOrEqual">
      <formula>600</formula>
    </cfRule>
  </conditionalFormatting>
  <conditionalFormatting sqref="R704:R711">
    <cfRule type="cellIs" dxfId="8631" priority="14043" operator="greaterThanOrEqual">
      <formula>260</formula>
    </cfRule>
  </conditionalFormatting>
  <conditionalFormatting sqref="S704:S711">
    <cfRule type="containsText" dxfId="8630" priority="14044" operator="containsText" text="&lt;">
      <formula>NOT(ISERROR(SEARCH(("&lt;"),(S704))))</formula>
    </cfRule>
  </conditionalFormatting>
  <conditionalFormatting sqref="S704:S711">
    <cfRule type="containsText" dxfId="8629" priority="14045" operator="containsText" text="ND">
      <formula>NOT(ISERROR(SEARCH(("ND"),(S704))))</formula>
    </cfRule>
  </conditionalFormatting>
  <conditionalFormatting sqref="S704:S711">
    <cfRule type="cellIs" dxfId="8628" priority="14046" operator="greaterThanOrEqual">
      <formula>200</formula>
    </cfRule>
  </conditionalFormatting>
  <conditionalFormatting sqref="S704:S711">
    <cfRule type="cellIs" dxfId="8627" priority="14047" operator="greaterThanOrEqual">
      <formula>130</formula>
    </cfRule>
  </conditionalFormatting>
  <conditionalFormatting sqref="N704:N711">
    <cfRule type="cellIs" dxfId="8626" priority="14048" operator="greaterThanOrEqual">
      <formula>200</formula>
    </cfRule>
  </conditionalFormatting>
  <conditionalFormatting sqref="N704:N711">
    <cfRule type="cellIs" dxfId="8625" priority="14049" operator="greaterThanOrEqual">
      <formula>120</formula>
    </cfRule>
  </conditionalFormatting>
  <conditionalFormatting sqref="O704:O711">
    <cfRule type="containsText" dxfId="8624" priority="14050" operator="containsText" text="ND">
      <formula>NOT(ISERROR(SEARCH(("ND"),(O704))))</formula>
    </cfRule>
  </conditionalFormatting>
  <conditionalFormatting sqref="O704:O711">
    <cfRule type="cellIs" dxfId="8623" priority="14051" operator="greaterThanOrEqual">
      <formula>250</formula>
    </cfRule>
  </conditionalFormatting>
  <conditionalFormatting sqref="O704:O711">
    <cfRule type="cellIs" dxfId="8622" priority="14052" operator="greaterThanOrEqual">
      <formula>175</formula>
    </cfRule>
  </conditionalFormatting>
  <conditionalFormatting sqref="P704:P711">
    <cfRule type="containsText" dxfId="8621" priority="14053" operator="containsText" text="ND">
      <formula>NOT(ISERROR(SEARCH(("ND"),(P704))))</formula>
    </cfRule>
  </conditionalFormatting>
  <conditionalFormatting sqref="P704:P711">
    <cfRule type="cellIs" dxfId="8620" priority="14054" operator="greaterThanOrEqual">
      <formula>5</formula>
    </cfRule>
  </conditionalFormatting>
  <conditionalFormatting sqref="P704:P711">
    <cfRule type="cellIs" dxfId="8619" priority="14055" operator="greaterThanOrEqual">
      <formula>2.5</formula>
    </cfRule>
  </conditionalFormatting>
  <conditionalFormatting sqref="Q704:Q711">
    <cfRule type="containsText" dxfId="8618" priority="14056" operator="containsText" text="ND">
      <formula>NOT(ISERROR(SEARCH(("ND"),(Q704))))</formula>
    </cfRule>
  </conditionalFormatting>
  <conditionalFormatting sqref="Q704:Q711">
    <cfRule type="cellIs" dxfId="8617" priority="14057" operator="greaterThanOrEqual">
      <formula>500</formula>
    </cfRule>
  </conditionalFormatting>
  <conditionalFormatting sqref="Q704:Q711">
    <cfRule type="cellIs" dxfId="8616" priority="14058" operator="greaterThanOrEqual">
      <formula>300</formula>
    </cfRule>
  </conditionalFormatting>
  <conditionalFormatting sqref="V712:V742">
    <cfRule type="cellIs" dxfId="8615" priority="14012" operator="equal">
      <formula>"延長"</formula>
    </cfRule>
  </conditionalFormatting>
  <conditionalFormatting sqref="V712:V742">
    <cfRule type="cellIs" dxfId="8614" priority="14008" operator="equal">
      <formula>"退場"</formula>
    </cfRule>
    <cfRule type="cellIs" dxfId="8613" priority="14009" operator="equal">
      <formula>"持續"</formula>
    </cfRule>
    <cfRule type="cellIs" dxfId="8612" priority="14010" operator="equal">
      <formula>"延長"</formula>
    </cfRule>
    <cfRule type="cellIs" dxfId="8611" priority="14011" operator="equal">
      <formula>"尚未調查"</formula>
    </cfRule>
  </conditionalFormatting>
  <conditionalFormatting sqref="V157:V158">
    <cfRule type="cellIs" dxfId="8610" priority="13979" operator="equal">
      <formula>"延長"</formula>
    </cfRule>
  </conditionalFormatting>
  <conditionalFormatting sqref="V157:V158">
    <cfRule type="cellIs" dxfId="8609" priority="13975" operator="equal">
      <formula>"退場"</formula>
    </cfRule>
    <cfRule type="cellIs" dxfId="8608" priority="13976" operator="equal">
      <formula>"持續"</formula>
    </cfRule>
    <cfRule type="cellIs" dxfId="8607" priority="13977" operator="equal">
      <formula>"延長"</formula>
    </cfRule>
    <cfRule type="cellIs" dxfId="8606" priority="13978" operator="equal">
      <formula>"尚未調查"</formula>
    </cfRule>
  </conditionalFormatting>
  <conditionalFormatting sqref="V159:V162">
    <cfRule type="cellIs" dxfId="8605" priority="13974" operator="equal">
      <formula>"延長"</formula>
    </cfRule>
  </conditionalFormatting>
  <conditionalFormatting sqref="V159:V162">
    <cfRule type="cellIs" dxfId="8604" priority="13970" operator="equal">
      <formula>"退場"</formula>
    </cfRule>
    <cfRule type="cellIs" dxfId="8603" priority="13971" operator="equal">
      <formula>"持續"</formula>
    </cfRule>
    <cfRule type="cellIs" dxfId="8602" priority="13972" operator="equal">
      <formula>"延長"</formula>
    </cfRule>
    <cfRule type="cellIs" dxfId="8601" priority="13973" operator="equal">
      <formula>"尚未調查"</formula>
    </cfRule>
  </conditionalFormatting>
  <conditionalFormatting sqref="V1502:V1513">
    <cfRule type="cellIs" dxfId="8600" priority="13969" operator="equal">
      <formula>"延長"</formula>
    </cfRule>
  </conditionalFormatting>
  <conditionalFormatting sqref="V1502:V1513">
    <cfRule type="cellIs" dxfId="8599" priority="13965" operator="equal">
      <formula>"退場"</formula>
    </cfRule>
    <cfRule type="cellIs" dxfId="8598" priority="13966" operator="equal">
      <formula>"持續"</formula>
    </cfRule>
    <cfRule type="cellIs" dxfId="8597" priority="13967" operator="equal">
      <formula>"延長"</formula>
    </cfRule>
    <cfRule type="cellIs" dxfId="8596" priority="13968" operator="equal">
      <formula>"尚未調查"</formula>
    </cfRule>
  </conditionalFormatting>
  <conditionalFormatting sqref="L1509:L1513">
    <cfRule type="cellIs" dxfId="8595" priority="13859" operator="greaterThanOrEqual">
      <formula>5</formula>
    </cfRule>
  </conditionalFormatting>
  <conditionalFormatting sqref="L1509:L1513">
    <cfRule type="cellIs" dxfId="8594" priority="13860" operator="greaterThanOrEqual">
      <formula>2</formula>
    </cfRule>
  </conditionalFormatting>
  <conditionalFormatting sqref="M1509:M1513">
    <cfRule type="cellIs" dxfId="8593" priority="13861" operator="greaterThanOrEqual">
      <formula>60</formula>
    </cfRule>
  </conditionalFormatting>
  <conditionalFormatting sqref="M1509:M1513">
    <cfRule type="cellIs" dxfId="8592" priority="13862" operator="greaterThanOrEqual">
      <formula>30</formula>
    </cfRule>
  </conditionalFormatting>
  <conditionalFormatting sqref="R1509:R1513">
    <cfRule type="cellIs" dxfId="8591" priority="13863" operator="greaterThanOrEqual">
      <formula>600</formula>
    </cfRule>
  </conditionalFormatting>
  <conditionalFormatting sqref="R1509:R1513">
    <cfRule type="cellIs" dxfId="8590" priority="13864" operator="greaterThanOrEqual">
      <formula>260</formula>
    </cfRule>
  </conditionalFormatting>
  <conditionalFormatting sqref="S1509:S1513">
    <cfRule type="containsText" dxfId="8589" priority="13865" operator="containsText" text="&lt;">
      <formula>NOT(ISERROR(SEARCH(("&lt;"),(S1509))))</formula>
    </cfRule>
  </conditionalFormatting>
  <conditionalFormatting sqref="S1509:S1513">
    <cfRule type="containsText" dxfId="8588" priority="13866" operator="containsText" text="ND">
      <formula>NOT(ISERROR(SEARCH(("ND"),(S1509))))</formula>
    </cfRule>
  </conditionalFormatting>
  <conditionalFormatting sqref="S1509:S1513">
    <cfRule type="cellIs" dxfId="8587" priority="13867" operator="greaterThanOrEqual">
      <formula>200</formula>
    </cfRule>
  </conditionalFormatting>
  <conditionalFormatting sqref="S1509:S1513">
    <cfRule type="cellIs" dxfId="8586" priority="13868" operator="greaterThanOrEqual">
      <formula>130</formula>
    </cfRule>
  </conditionalFormatting>
  <conditionalFormatting sqref="N1509:N1513">
    <cfRule type="cellIs" dxfId="8585" priority="13869" operator="greaterThanOrEqual">
      <formula>200</formula>
    </cfRule>
  </conditionalFormatting>
  <conditionalFormatting sqref="N1509:N1513">
    <cfRule type="cellIs" dxfId="8584" priority="13870" operator="greaterThanOrEqual">
      <formula>120</formula>
    </cfRule>
  </conditionalFormatting>
  <conditionalFormatting sqref="O1509:O1513">
    <cfRule type="containsText" dxfId="8583" priority="13871" operator="containsText" text="ND">
      <formula>NOT(ISERROR(SEARCH(("ND"),(O1509))))</formula>
    </cfRule>
  </conditionalFormatting>
  <conditionalFormatting sqref="O1509:O1513">
    <cfRule type="cellIs" dxfId="8582" priority="13872" operator="greaterThanOrEqual">
      <formula>250</formula>
    </cfRule>
  </conditionalFormatting>
  <conditionalFormatting sqref="O1509:O1513">
    <cfRule type="cellIs" dxfId="8581" priority="13873" operator="greaterThanOrEqual">
      <formula>175</formula>
    </cfRule>
  </conditionalFormatting>
  <conditionalFormatting sqref="P1509:P1513">
    <cfRule type="containsText" dxfId="8580" priority="13874" operator="containsText" text="ND">
      <formula>NOT(ISERROR(SEARCH(("ND"),(P1509))))</formula>
    </cfRule>
  </conditionalFormatting>
  <conditionalFormatting sqref="P1509:P1513">
    <cfRule type="cellIs" dxfId="8579" priority="13875" operator="greaterThanOrEqual">
      <formula>5</formula>
    </cfRule>
  </conditionalFormatting>
  <conditionalFormatting sqref="P1509:P1513">
    <cfRule type="cellIs" dxfId="8578" priority="13876" operator="greaterThanOrEqual">
      <formula>2.5</formula>
    </cfRule>
  </conditionalFormatting>
  <conditionalFormatting sqref="Q1509:Q1513">
    <cfRule type="containsText" dxfId="8577" priority="13877" operator="containsText" text="ND">
      <formula>NOT(ISERROR(SEARCH(("ND"),(Q1509))))</formula>
    </cfRule>
  </conditionalFormatting>
  <conditionalFormatting sqref="Q1509:Q1513">
    <cfRule type="cellIs" dxfId="8576" priority="13878" operator="greaterThanOrEqual">
      <formula>500</formula>
    </cfRule>
  </conditionalFormatting>
  <conditionalFormatting sqref="Q1509:Q1513">
    <cfRule type="cellIs" dxfId="8575" priority="13879" operator="greaterThanOrEqual">
      <formula>300</formula>
    </cfRule>
  </conditionalFormatting>
  <conditionalFormatting sqref="L1514">
    <cfRule type="cellIs" dxfId="8574" priority="13838" operator="greaterThanOrEqual">
      <formula>5</formula>
    </cfRule>
  </conditionalFormatting>
  <conditionalFormatting sqref="L1514">
    <cfRule type="cellIs" dxfId="8573" priority="13839" operator="greaterThanOrEqual">
      <formula>2</formula>
    </cfRule>
  </conditionalFormatting>
  <conditionalFormatting sqref="M1514">
    <cfRule type="cellIs" dxfId="8572" priority="13840" operator="greaterThanOrEqual">
      <formula>60</formula>
    </cfRule>
  </conditionalFormatting>
  <conditionalFormatting sqref="M1514">
    <cfRule type="cellIs" dxfId="8571" priority="13841" operator="greaterThanOrEqual">
      <formula>30</formula>
    </cfRule>
  </conditionalFormatting>
  <conditionalFormatting sqref="R1514">
    <cfRule type="cellIs" dxfId="8570" priority="13842" operator="greaterThanOrEqual">
      <formula>600</formula>
    </cfRule>
  </conditionalFormatting>
  <conditionalFormatting sqref="R1514">
    <cfRule type="cellIs" dxfId="8569" priority="13843" operator="greaterThanOrEqual">
      <formula>260</formula>
    </cfRule>
  </conditionalFormatting>
  <conditionalFormatting sqref="S1514">
    <cfRule type="containsText" dxfId="8568" priority="13844" operator="containsText" text="&lt;">
      <formula>NOT(ISERROR(SEARCH(("&lt;"),(S1514))))</formula>
    </cfRule>
  </conditionalFormatting>
  <conditionalFormatting sqref="S1514">
    <cfRule type="containsText" dxfId="8567" priority="13845" operator="containsText" text="ND">
      <formula>NOT(ISERROR(SEARCH(("ND"),(S1514))))</formula>
    </cfRule>
  </conditionalFormatting>
  <conditionalFormatting sqref="S1514">
    <cfRule type="cellIs" dxfId="8566" priority="13846" operator="greaterThanOrEqual">
      <formula>200</formula>
    </cfRule>
  </conditionalFormatting>
  <conditionalFormatting sqref="S1514">
    <cfRule type="cellIs" dxfId="8565" priority="13847" operator="greaterThanOrEqual">
      <formula>130</formula>
    </cfRule>
  </conditionalFormatting>
  <conditionalFormatting sqref="N1514">
    <cfRule type="cellIs" dxfId="8564" priority="13848" operator="greaterThanOrEqual">
      <formula>200</formula>
    </cfRule>
  </conditionalFormatting>
  <conditionalFormatting sqref="N1514">
    <cfRule type="cellIs" dxfId="8563" priority="13849" operator="greaterThanOrEqual">
      <formula>120</formula>
    </cfRule>
  </conditionalFormatting>
  <conditionalFormatting sqref="O1514">
    <cfRule type="containsText" dxfId="8562" priority="13850" operator="containsText" text="ND">
      <formula>NOT(ISERROR(SEARCH(("ND"),(O1514))))</formula>
    </cfRule>
  </conditionalFormatting>
  <conditionalFormatting sqref="O1514">
    <cfRule type="cellIs" dxfId="8561" priority="13851" operator="greaterThanOrEqual">
      <formula>250</formula>
    </cfRule>
  </conditionalFormatting>
  <conditionalFormatting sqref="O1514">
    <cfRule type="cellIs" dxfId="8560" priority="13852" operator="greaterThanOrEqual">
      <formula>175</formula>
    </cfRule>
  </conditionalFormatting>
  <conditionalFormatting sqref="P1514">
    <cfRule type="containsText" dxfId="8559" priority="13853" operator="containsText" text="ND">
      <formula>NOT(ISERROR(SEARCH(("ND"),(P1514))))</formula>
    </cfRule>
  </conditionalFormatting>
  <conditionalFormatting sqref="P1514">
    <cfRule type="cellIs" dxfId="8558" priority="13854" operator="greaterThanOrEqual">
      <formula>5</formula>
    </cfRule>
  </conditionalFormatting>
  <conditionalFormatting sqref="P1514">
    <cfRule type="cellIs" dxfId="8557" priority="13855" operator="greaterThanOrEqual">
      <formula>2.5</formula>
    </cfRule>
  </conditionalFormatting>
  <conditionalFormatting sqref="Q1514">
    <cfRule type="containsText" dxfId="8556" priority="13856" operator="containsText" text="ND">
      <formula>NOT(ISERROR(SEARCH(("ND"),(Q1514))))</formula>
    </cfRule>
  </conditionalFormatting>
  <conditionalFormatting sqref="Q1514">
    <cfRule type="cellIs" dxfId="8555" priority="13857" operator="greaterThanOrEqual">
      <formula>500</formula>
    </cfRule>
  </conditionalFormatting>
  <conditionalFormatting sqref="Q1514">
    <cfRule type="cellIs" dxfId="8554" priority="13858" operator="greaterThanOrEqual">
      <formula>300</formula>
    </cfRule>
  </conditionalFormatting>
  <conditionalFormatting sqref="L1515">
    <cfRule type="cellIs" dxfId="8553" priority="13809" operator="greaterThanOrEqual">
      <formula>5</formula>
    </cfRule>
  </conditionalFormatting>
  <conditionalFormatting sqref="L1515">
    <cfRule type="cellIs" dxfId="8552" priority="13810" operator="greaterThanOrEqual">
      <formula>2</formula>
    </cfRule>
  </conditionalFormatting>
  <conditionalFormatting sqref="M1515">
    <cfRule type="cellIs" dxfId="8551" priority="13811" operator="greaterThanOrEqual">
      <formula>60</formula>
    </cfRule>
  </conditionalFormatting>
  <conditionalFormatting sqref="M1515">
    <cfRule type="cellIs" dxfId="8550" priority="13812" operator="greaterThanOrEqual">
      <formula>30</formula>
    </cfRule>
  </conditionalFormatting>
  <conditionalFormatting sqref="R1515">
    <cfRule type="cellIs" dxfId="8549" priority="13813" operator="greaterThanOrEqual">
      <formula>600</formula>
    </cfRule>
  </conditionalFormatting>
  <conditionalFormatting sqref="R1515">
    <cfRule type="cellIs" dxfId="8548" priority="13814" operator="greaterThanOrEqual">
      <formula>260</formula>
    </cfRule>
  </conditionalFormatting>
  <conditionalFormatting sqref="S1515">
    <cfRule type="containsText" dxfId="8547" priority="13815" operator="containsText" text="&lt;">
      <formula>NOT(ISERROR(SEARCH(("&lt;"),(S1515))))</formula>
    </cfRule>
  </conditionalFormatting>
  <conditionalFormatting sqref="S1515">
    <cfRule type="containsText" dxfId="8546" priority="13816" operator="containsText" text="ND">
      <formula>NOT(ISERROR(SEARCH(("ND"),(S1515))))</formula>
    </cfRule>
  </conditionalFormatting>
  <conditionalFormatting sqref="S1515">
    <cfRule type="cellIs" dxfId="8545" priority="13817" operator="greaterThanOrEqual">
      <formula>200</formula>
    </cfRule>
  </conditionalFormatting>
  <conditionalFormatting sqref="S1515">
    <cfRule type="cellIs" dxfId="8544" priority="13818" operator="greaterThanOrEqual">
      <formula>130</formula>
    </cfRule>
  </conditionalFormatting>
  <conditionalFormatting sqref="N1515">
    <cfRule type="cellIs" dxfId="8543" priority="13819" operator="greaterThanOrEqual">
      <formula>200</formula>
    </cfRule>
  </conditionalFormatting>
  <conditionalFormatting sqref="N1515">
    <cfRule type="cellIs" dxfId="8542" priority="13820" operator="greaterThanOrEqual">
      <formula>120</formula>
    </cfRule>
  </conditionalFormatting>
  <conditionalFormatting sqref="O1515">
    <cfRule type="containsText" dxfId="8541" priority="13821" operator="containsText" text="ND">
      <formula>NOT(ISERROR(SEARCH(("ND"),(O1515))))</formula>
    </cfRule>
  </conditionalFormatting>
  <conditionalFormatting sqref="O1515">
    <cfRule type="cellIs" dxfId="8540" priority="13822" operator="greaterThanOrEqual">
      <formula>250</formula>
    </cfRule>
  </conditionalFormatting>
  <conditionalFormatting sqref="O1515">
    <cfRule type="cellIs" dxfId="8539" priority="13823" operator="greaterThanOrEqual">
      <formula>175</formula>
    </cfRule>
  </conditionalFormatting>
  <conditionalFormatting sqref="P1515">
    <cfRule type="containsText" dxfId="8538" priority="13824" operator="containsText" text="ND">
      <formula>NOT(ISERROR(SEARCH(("ND"),(P1515))))</formula>
    </cfRule>
  </conditionalFormatting>
  <conditionalFormatting sqref="P1515">
    <cfRule type="cellIs" dxfId="8537" priority="13825" operator="greaterThanOrEqual">
      <formula>5</formula>
    </cfRule>
  </conditionalFormatting>
  <conditionalFormatting sqref="P1515">
    <cfRule type="cellIs" dxfId="8536" priority="13826" operator="greaterThanOrEqual">
      <formula>2.5</formula>
    </cfRule>
  </conditionalFormatting>
  <conditionalFormatting sqref="Q1515">
    <cfRule type="containsText" dxfId="8535" priority="13827" operator="containsText" text="ND">
      <formula>NOT(ISERROR(SEARCH(("ND"),(Q1515))))</formula>
    </cfRule>
  </conditionalFormatting>
  <conditionalFormatting sqref="Q1515">
    <cfRule type="cellIs" dxfId="8534" priority="13828" operator="greaterThanOrEqual">
      <formula>500</formula>
    </cfRule>
  </conditionalFormatting>
  <conditionalFormatting sqref="Q1515">
    <cfRule type="cellIs" dxfId="8533" priority="13829" operator="greaterThanOrEqual">
      <formula>300</formula>
    </cfRule>
  </conditionalFormatting>
  <conditionalFormatting sqref="V743:V749">
    <cfRule type="cellIs" dxfId="8532" priority="13804" operator="equal">
      <formula>"延長"</formula>
    </cfRule>
  </conditionalFormatting>
  <conditionalFormatting sqref="V743:V749">
    <cfRule type="cellIs" dxfId="8531" priority="13800" operator="equal">
      <formula>"退場"</formula>
    </cfRule>
    <cfRule type="cellIs" dxfId="8530" priority="13801" operator="equal">
      <formula>"持續"</formula>
    </cfRule>
    <cfRule type="cellIs" dxfId="8529" priority="13802" operator="equal">
      <formula>"延長"</formula>
    </cfRule>
    <cfRule type="cellIs" dxfId="8528" priority="13803" operator="equal">
      <formula>"尚未調查"</formula>
    </cfRule>
  </conditionalFormatting>
  <conditionalFormatting sqref="V750:V755">
    <cfRule type="cellIs" dxfId="8527" priority="13799" operator="equal">
      <formula>"延長"</formula>
    </cfRule>
  </conditionalFormatting>
  <conditionalFormatting sqref="V750:V755">
    <cfRule type="cellIs" dxfId="8526" priority="13795" operator="equal">
      <formula>"退場"</formula>
    </cfRule>
    <cfRule type="cellIs" dxfId="8525" priority="13796" operator="equal">
      <formula>"持續"</formula>
    </cfRule>
    <cfRule type="cellIs" dxfId="8524" priority="13797" operator="equal">
      <formula>"延長"</formula>
    </cfRule>
    <cfRule type="cellIs" dxfId="8523" priority="13798" operator="equal">
      <formula>"尚未調查"</formula>
    </cfRule>
  </conditionalFormatting>
  <conditionalFormatting sqref="V756:V763">
    <cfRule type="cellIs" dxfId="8522" priority="13794" operator="equal">
      <formula>"延長"</formula>
    </cfRule>
  </conditionalFormatting>
  <conditionalFormatting sqref="V756:V763">
    <cfRule type="cellIs" dxfId="8521" priority="13790" operator="equal">
      <formula>"退場"</formula>
    </cfRule>
    <cfRule type="cellIs" dxfId="8520" priority="13791" operator="equal">
      <formula>"持續"</formula>
    </cfRule>
    <cfRule type="cellIs" dxfId="8519" priority="13792" operator="equal">
      <formula>"延長"</formula>
    </cfRule>
    <cfRule type="cellIs" dxfId="8518" priority="13793" operator="equal">
      <formula>"尚未調查"</formula>
    </cfRule>
  </conditionalFormatting>
  <conditionalFormatting sqref="V1516:V1518">
    <cfRule type="cellIs" dxfId="8517" priority="13789" operator="equal">
      <formula>"延長"</formula>
    </cfRule>
  </conditionalFormatting>
  <conditionalFormatting sqref="V1516:V1518">
    <cfRule type="cellIs" dxfId="8516" priority="13785" operator="equal">
      <formula>"退場"</formula>
    </cfRule>
    <cfRule type="cellIs" dxfId="8515" priority="13786" operator="equal">
      <formula>"持續"</formula>
    </cfRule>
    <cfRule type="cellIs" dxfId="8514" priority="13787" operator="equal">
      <formula>"延長"</formula>
    </cfRule>
    <cfRule type="cellIs" dxfId="8513" priority="13788" operator="equal">
      <formula>"尚未調查"</formula>
    </cfRule>
  </conditionalFormatting>
  <conditionalFormatting sqref="L764:L771">
    <cfRule type="cellIs" dxfId="8512" priority="13654" operator="greaterThanOrEqual">
      <formula>5</formula>
    </cfRule>
  </conditionalFormatting>
  <conditionalFormatting sqref="L764:L771">
    <cfRule type="cellIs" dxfId="8511" priority="13655" operator="greaterThanOrEqual">
      <formula>2</formula>
    </cfRule>
  </conditionalFormatting>
  <conditionalFormatting sqref="M764:M771">
    <cfRule type="cellIs" dxfId="8510" priority="13656" operator="greaterThanOrEqual">
      <formula>60</formula>
    </cfRule>
  </conditionalFormatting>
  <conditionalFormatting sqref="M764:M771">
    <cfRule type="cellIs" dxfId="8509" priority="13657" operator="greaterThanOrEqual">
      <formula>30</formula>
    </cfRule>
  </conditionalFormatting>
  <conditionalFormatting sqref="R764:R771">
    <cfRule type="cellIs" dxfId="8508" priority="13658" operator="greaterThanOrEqual">
      <formula>600</formula>
    </cfRule>
  </conditionalFormatting>
  <conditionalFormatting sqref="R764:R771">
    <cfRule type="cellIs" dxfId="8507" priority="13659" operator="greaterThanOrEqual">
      <formula>260</formula>
    </cfRule>
  </conditionalFormatting>
  <conditionalFormatting sqref="S764:S771">
    <cfRule type="containsText" dxfId="8506" priority="13660" operator="containsText" text="&lt;">
      <formula>NOT(ISERROR(SEARCH(("&lt;"),(S764))))</formula>
    </cfRule>
  </conditionalFormatting>
  <conditionalFormatting sqref="S764:S771">
    <cfRule type="containsText" dxfId="8505" priority="13661" operator="containsText" text="ND">
      <formula>NOT(ISERROR(SEARCH(("ND"),(S764))))</formula>
    </cfRule>
  </conditionalFormatting>
  <conditionalFormatting sqref="S764:S771">
    <cfRule type="cellIs" dxfId="8504" priority="13662" operator="greaterThanOrEqual">
      <formula>200</formula>
    </cfRule>
  </conditionalFormatting>
  <conditionalFormatting sqref="S764:S771">
    <cfRule type="cellIs" dxfId="8503" priority="13663" operator="greaterThanOrEqual">
      <formula>130</formula>
    </cfRule>
  </conditionalFormatting>
  <conditionalFormatting sqref="N764:N771">
    <cfRule type="cellIs" dxfId="8502" priority="13664" operator="greaterThanOrEqual">
      <formula>200</formula>
    </cfRule>
  </conditionalFormatting>
  <conditionalFormatting sqref="N764:N771">
    <cfRule type="cellIs" dxfId="8501" priority="13665" operator="greaterThanOrEqual">
      <formula>120</formula>
    </cfRule>
  </conditionalFormatting>
  <conditionalFormatting sqref="O764:O771">
    <cfRule type="containsText" dxfId="8500" priority="13666" operator="containsText" text="ND">
      <formula>NOT(ISERROR(SEARCH(("ND"),(O764))))</formula>
    </cfRule>
  </conditionalFormatting>
  <conditionalFormatting sqref="O764:O771">
    <cfRule type="cellIs" dxfId="8499" priority="13667" operator="greaterThanOrEqual">
      <formula>250</formula>
    </cfRule>
  </conditionalFormatting>
  <conditionalFormatting sqref="O764:O771">
    <cfRule type="cellIs" dxfId="8498" priority="13668" operator="greaterThanOrEqual">
      <formula>175</formula>
    </cfRule>
  </conditionalFormatting>
  <conditionalFormatting sqref="P764:P771">
    <cfRule type="containsText" dxfId="8497" priority="13669" operator="containsText" text="ND">
      <formula>NOT(ISERROR(SEARCH(("ND"),(P764))))</formula>
    </cfRule>
  </conditionalFormatting>
  <conditionalFormatting sqref="P764:P771">
    <cfRule type="cellIs" dxfId="8496" priority="13670" operator="greaterThanOrEqual">
      <formula>5</formula>
    </cfRule>
  </conditionalFormatting>
  <conditionalFormatting sqref="P764:P771">
    <cfRule type="cellIs" dxfId="8495" priority="13671" operator="greaterThanOrEqual">
      <formula>2.5</formula>
    </cfRule>
  </conditionalFormatting>
  <conditionalFormatting sqref="Q764:Q771">
    <cfRule type="containsText" dxfId="8494" priority="13672" operator="containsText" text="ND">
      <formula>NOT(ISERROR(SEARCH(("ND"),(Q764))))</formula>
    </cfRule>
  </conditionalFormatting>
  <conditionalFormatting sqref="Q764:Q771">
    <cfRule type="cellIs" dxfId="8493" priority="13673" operator="greaterThanOrEqual">
      <formula>500</formula>
    </cfRule>
  </conditionalFormatting>
  <conditionalFormatting sqref="Q764:Q771">
    <cfRule type="cellIs" dxfId="8492" priority="13674" operator="greaterThanOrEqual">
      <formula>300</formula>
    </cfRule>
  </conditionalFormatting>
  <conditionalFormatting sqref="V764:V771">
    <cfRule type="cellIs" dxfId="8491" priority="13653" operator="equal">
      <formula>"延長"</formula>
    </cfRule>
  </conditionalFormatting>
  <conditionalFormatting sqref="V764:V771">
    <cfRule type="cellIs" dxfId="8490" priority="13649" operator="equal">
      <formula>"退場"</formula>
    </cfRule>
    <cfRule type="cellIs" dxfId="8489" priority="13650" operator="equal">
      <formula>"持續"</formula>
    </cfRule>
    <cfRule type="cellIs" dxfId="8488" priority="13651" operator="equal">
      <formula>"延長"</formula>
    </cfRule>
    <cfRule type="cellIs" dxfId="8487" priority="13652" operator="equal">
      <formula>"尚未調查"</formula>
    </cfRule>
  </conditionalFormatting>
  <conditionalFormatting sqref="L774:L777">
    <cfRule type="cellIs" dxfId="8486" priority="13590" operator="greaterThanOrEqual">
      <formula>5</formula>
    </cfRule>
  </conditionalFormatting>
  <conditionalFormatting sqref="L774:L777">
    <cfRule type="cellIs" dxfId="8485" priority="13591" operator="greaterThanOrEqual">
      <formula>2</formula>
    </cfRule>
  </conditionalFormatting>
  <conditionalFormatting sqref="M774:M777">
    <cfRule type="cellIs" dxfId="8484" priority="13592" operator="greaterThanOrEqual">
      <formula>60</formula>
    </cfRule>
  </conditionalFormatting>
  <conditionalFormatting sqref="M774:M777">
    <cfRule type="cellIs" dxfId="8483" priority="13593" operator="greaterThanOrEqual">
      <formula>30</formula>
    </cfRule>
  </conditionalFormatting>
  <conditionalFormatting sqref="R774:R777">
    <cfRule type="cellIs" dxfId="8482" priority="13594" operator="greaterThanOrEqual">
      <formula>600</formula>
    </cfRule>
  </conditionalFormatting>
  <conditionalFormatting sqref="R774:R777">
    <cfRule type="cellIs" dxfId="8481" priority="13595" operator="greaterThanOrEqual">
      <formula>260</formula>
    </cfRule>
  </conditionalFormatting>
  <conditionalFormatting sqref="S774:S777">
    <cfRule type="containsText" dxfId="8480" priority="13596" operator="containsText" text="&lt;">
      <formula>NOT(ISERROR(SEARCH(("&lt;"),(S774))))</formula>
    </cfRule>
  </conditionalFormatting>
  <conditionalFormatting sqref="S774:S777">
    <cfRule type="containsText" dxfId="8479" priority="13597" operator="containsText" text="ND">
      <formula>NOT(ISERROR(SEARCH(("ND"),(S774))))</formula>
    </cfRule>
  </conditionalFormatting>
  <conditionalFormatting sqref="S774:S777">
    <cfRule type="cellIs" dxfId="8478" priority="13598" operator="greaterThanOrEqual">
      <formula>200</formula>
    </cfRule>
  </conditionalFormatting>
  <conditionalFormatting sqref="S774:S777">
    <cfRule type="cellIs" dxfId="8477" priority="13599" operator="greaterThanOrEqual">
      <formula>130</formula>
    </cfRule>
  </conditionalFormatting>
  <conditionalFormatting sqref="N774:N777">
    <cfRule type="cellIs" dxfId="8476" priority="13600" operator="greaterThanOrEqual">
      <formula>200</formula>
    </cfRule>
  </conditionalFormatting>
  <conditionalFormatting sqref="N774:N777">
    <cfRule type="cellIs" dxfId="8475" priority="13601" operator="greaterThanOrEqual">
      <formula>120</formula>
    </cfRule>
  </conditionalFormatting>
  <conditionalFormatting sqref="O774:O777">
    <cfRule type="containsText" dxfId="8474" priority="13602" operator="containsText" text="ND">
      <formula>NOT(ISERROR(SEARCH(("ND"),(O774))))</formula>
    </cfRule>
  </conditionalFormatting>
  <conditionalFormatting sqref="O774:O777">
    <cfRule type="cellIs" dxfId="8473" priority="13603" operator="greaterThanOrEqual">
      <formula>250</formula>
    </cfRule>
  </conditionalFormatting>
  <conditionalFormatting sqref="O774:O777">
    <cfRule type="cellIs" dxfId="8472" priority="13604" operator="greaterThanOrEqual">
      <formula>175</formula>
    </cfRule>
  </conditionalFormatting>
  <conditionalFormatting sqref="P774:P777">
    <cfRule type="containsText" dxfId="8471" priority="13605" operator="containsText" text="ND">
      <formula>NOT(ISERROR(SEARCH(("ND"),(P774))))</formula>
    </cfRule>
  </conditionalFormatting>
  <conditionalFormatting sqref="P774:P777">
    <cfRule type="cellIs" dxfId="8470" priority="13606" operator="greaterThanOrEqual">
      <formula>5</formula>
    </cfRule>
  </conditionalFormatting>
  <conditionalFormatting sqref="P774:P777">
    <cfRule type="cellIs" dxfId="8469" priority="13607" operator="greaterThanOrEqual">
      <formula>2.5</formula>
    </cfRule>
  </conditionalFormatting>
  <conditionalFormatting sqref="Q774:Q777">
    <cfRule type="containsText" dxfId="8468" priority="13608" operator="containsText" text="ND">
      <formula>NOT(ISERROR(SEARCH(("ND"),(Q774))))</formula>
    </cfRule>
  </conditionalFormatting>
  <conditionalFormatting sqref="Q774:Q777">
    <cfRule type="cellIs" dxfId="8467" priority="13609" operator="greaterThanOrEqual">
      <formula>500</formula>
    </cfRule>
  </conditionalFormatting>
  <conditionalFormatting sqref="Q774:Q777">
    <cfRule type="cellIs" dxfId="8466" priority="13610" operator="greaterThanOrEqual">
      <formula>300</formula>
    </cfRule>
  </conditionalFormatting>
  <conditionalFormatting sqref="V772">
    <cfRule type="cellIs" dxfId="8465" priority="13548" operator="equal">
      <formula>"延長"</formula>
    </cfRule>
  </conditionalFormatting>
  <conditionalFormatting sqref="V772">
    <cfRule type="cellIs" dxfId="8464" priority="13544" operator="equal">
      <formula>"退場"</formula>
    </cfRule>
    <cfRule type="cellIs" dxfId="8463" priority="13545" operator="equal">
      <formula>"持續"</formula>
    </cfRule>
    <cfRule type="cellIs" dxfId="8462" priority="13546" operator="equal">
      <formula>"延長"</formula>
    </cfRule>
    <cfRule type="cellIs" dxfId="8461" priority="13547" operator="equal">
      <formula>"尚未調查"</formula>
    </cfRule>
  </conditionalFormatting>
  <conditionalFormatting sqref="V774:V777">
    <cfRule type="cellIs" dxfId="8460" priority="13538" operator="equal">
      <formula>"延長"</formula>
    </cfRule>
  </conditionalFormatting>
  <conditionalFormatting sqref="V774:V777">
    <cfRule type="cellIs" dxfId="8459" priority="13534" operator="equal">
      <formula>"退場"</formula>
    </cfRule>
    <cfRule type="cellIs" dxfId="8458" priority="13535" operator="equal">
      <formula>"持續"</formula>
    </cfRule>
    <cfRule type="cellIs" dxfId="8457" priority="13536" operator="equal">
      <formula>"延長"</formula>
    </cfRule>
    <cfRule type="cellIs" dxfId="8456" priority="13537" operator="equal">
      <formula>"尚未調查"</formula>
    </cfRule>
  </conditionalFormatting>
  <conditionalFormatting sqref="L1602">
    <cfRule type="cellIs" dxfId="8455" priority="13509" operator="greaterThanOrEqual">
      <formula>5</formula>
    </cfRule>
  </conditionalFormatting>
  <conditionalFormatting sqref="L1602">
    <cfRule type="cellIs" dxfId="8454" priority="13510" operator="greaterThanOrEqual">
      <formula>2</formula>
    </cfRule>
  </conditionalFormatting>
  <conditionalFormatting sqref="M1602">
    <cfRule type="cellIs" dxfId="8453" priority="13511" operator="greaterThanOrEqual">
      <formula>60</formula>
    </cfRule>
  </conditionalFormatting>
  <conditionalFormatting sqref="M1602">
    <cfRule type="cellIs" dxfId="8452" priority="13512" operator="greaterThanOrEqual">
      <formula>30</formula>
    </cfRule>
  </conditionalFormatting>
  <conditionalFormatting sqref="R1602">
    <cfRule type="cellIs" dxfId="8451" priority="13513" operator="greaterThanOrEqual">
      <formula>600</formula>
    </cfRule>
  </conditionalFormatting>
  <conditionalFormatting sqref="R1602">
    <cfRule type="cellIs" dxfId="8450" priority="13514" operator="greaterThanOrEqual">
      <formula>260</formula>
    </cfRule>
  </conditionalFormatting>
  <conditionalFormatting sqref="S1602">
    <cfRule type="containsText" dxfId="8449" priority="13515" operator="containsText" text="&lt;">
      <formula>NOT(ISERROR(SEARCH(("&lt;"),(S1602))))</formula>
    </cfRule>
  </conditionalFormatting>
  <conditionalFormatting sqref="S1602">
    <cfRule type="containsText" dxfId="8448" priority="13516" operator="containsText" text="ND">
      <formula>NOT(ISERROR(SEARCH(("ND"),(S1602))))</formula>
    </cfRule>
  </conditionalFormatting>
  <conditionalFormatting sqref="S1602">
    <cfRule type="cellIs" dxfId="8447" priority="13517" operator="greaterThanOrEqual">
      <formula>200</formula>
    </cfRule>
  </conditionalFormatting>
  <conditionalFormatting sqref="S1602">
    <cfRule type="cellIs" dxfId="8446" priority="13518" operator="greaterThanOrEqual">
      <formula>130</formula>
    </cfRule>
  </conditionalFormatting>
  <conditionalFormatting sqref="N1602">
    <cfRule type="cellIs" dxfId="8445" priority="13519" operator="greaterThanOrEqual">
      <formula>200</formula>
    </cfRule>
  </conditionalFormatting>
  <conditionalFormatting sqref="N1602">
    <cfRule type="cellIs" dxfId="8444" priority="13520" operator="greaterThanOrEqual">
      <formula>120</formula>
    </cfRule>
  </conditionalFormatting>
  <conditionalFormatting sqref="O1602">
    <cfRule type="containsText" dxfId="8443" priority="13521" operator="containsText" text="ND">
      <formula>NOT(ISERROR(SEARCH(("ND"),(O1602))))</formula>
    </cfRule>
  </conditionalFormatting>
  <conditionalFormatting sqref="O1602">
    <cfRule type="cellIs" dxfId="8442" priority="13522" operator="greaterThanOrEqual">
      <formula>250</formula>
    </cfRule>
  </conditionalFormatting>
  <conditionalFormatting sqref="O1602">
    <cfRule type="cellIs" dxfId="8441" priority="13523" operator="greaterThanOrEqual">
      <formula>175</formula>
    </cfRule>
  </conditionalFormatting>
  <conditionalFormatting sqref="P1602">
    <cfRule type="containsText" dxfId="8440" priority="13524" operator="containsText" text="ND">
      <formula>NOT(ISERROR(SEARCH(("ND"),(P1602))))</formula>
    </cfRule>
  </conditionalFormatting>
  <conditionalFormatting sqref="P1602">
    <cfRule type="cellIs" dxfId="8439" priority="13525" operator="greaterThanOrEqual">
      <formula>5</formula>
    </cfRule>
  </conditionalFormatting>
  <conditionalFormatting sqref="P1602">
    <cfRule type="cellIs" dxfId="8438" priority="13526" operator="greaterThanOrEqual">
      <formula>2.5</formula>
    </cfRule>
  </conditionalFormatting>
  <conditionalFormatting sqref="Q1602">
    <cfRule type="containsText" dxfId="8437" priority="13527" operator="containsText" text="ND">
      <formula>NOT(ISERROR(SEARCH(("ND"),(Q1602))))</formula>
    </cfRule>
  </conditionalFormatting>
  <conditionalFormatting sqref="Q1602">
    <cfRule type="cellIs" dxfId="8436" priority="13528" operator="greaterThanOrEqual">
      <formula>500</formula>
    </cfRule>
  </conditionalFormatting>
  <conditionalFormatting sqref="Q1602">
    <cfRule type="cellIs" dxfId="8435" priority="13529" operator="greaterThanOrEqual">
      <formula>300</formula>
    </cfRule>
  </conditionalFormatting>
  <conditionalFormatting sqref="L778">
    <cfRule type="cellIs" dxfId="8434" priority="13480" operator="greaterThanOrEqual">
      <formula>5</formula>
    </cfRule>
  </conditionalFormatting>
  <conditionalFormatting sqref="L778">
    <cfRule type="cellIs" dxfId="8433" priority="13481" operator="greaterThanOrEqual">
      <formula>2</formula>
    </cfRule>
  </conditionalFormatting>
  <conditionalFormatting sqref="M778">
    <cfRule type="cellIs" dxfId="8432" priority="13482" operator="greaterThanOrEqual">
      <formula>60</formula>
    </cfRule>
  </conditionalFormatting>
  <conditionalFormatting sqref="M778">
    <cfRule type="cellIs" dxfId="8431" priority="13483" operator="greaterThanOrEqual">
      <formula>30</formula>
    </cfRule>
  </conditionalFormatting>
  <conditionalFormatting sqref="R778">
    <cfRule type="cellIs" dxfId="8430" priority="13484" operator="greaterThanOrEqual">
      <formula>600</formula>
    </cfRule>
  </conditionalFormatting>
  <conditionalFormatting sqref="R778">
    <cfRule type="cellIs" dxfId="8429" priority="13485" operator="greaterThanOrEqual">
      <formula>260</formula>
    </cfRule>
  </conditionalFormatting>
  <conditionalFormatting sqref="S778">
    <cfRule type="containsText" dxfId="8428" priority="13486" operator="containsText" text="&lt;">
      <formula>NOT(ISERROR(SEARCH(("&lt;"),(S778))))</formula>
    </cfRule>
  </conditionalFormatting>
  <conditionalFormatting sqref="S778">
    <cfRule type="containsText" dxfId="8427" priority="13487" operator="containsText" text="ND">
      <formula>NOT(ISERROR(SEARCH(("ND"),(S778))))</formula>
    </cfRule>
  </conditionalFormatting>
  <conditionalFormatting sqref="S778">
    <cfRule type="cellIs" dxfId="8426" priority="13488" operator="greaterThanOrEqual">
      <formula>200</formula>
    </cfRule>
  </conditionalFormatting>
  <conditionalFormatting sqref="S778">
    <cfRule type="cellIs" dxfId="8425" priority="13489" operator="greaterThanOrEqual">
      <formula>130</formula>
    </cfRule>
  </conditionalFormatting>
  <conditionalFormatting sqref="N778">
    <cfRule type="cellIs" dxfId="8424" priority="13490" operator="greaterThanOrEqual">
      <formula>200</formula>
    </cfRule>
  </conditionalFormatting>
  <conditionalFormatting sqref="N778">
    <cfRule type="cellIs" dxfId="8423" priority="13491" operator="greaterThanOrEqual">
      <formula>120</formula>
    </cfRule>
  </conditionalFormatting>
  <conditionalFormatting sqref="O778">
    <cfRule type="containsText" dxfId="8422" priority="13492" operator="containsText" text="ND">
      <formula>NOT(ISERROR(SEARCH(("ND"),(O778))))</formula>
    </cfRule>
  </conditionalFormatting>
  <conditionalFormatting sqref="O778">
    <cfRule type="cellIs" dxfId="8421" priority="13493" operator="greaterThanOrEqual">
      <formula>250</formula>
    </cfRule>
  </conditionalFormatting>
  <conditionalFormatting sqref="O778">
    <cfRule type="cellIs" dxfId="8420" priority="13494" operator="greaterThanOrEqual">
      <formula>175</formula>
    </cfRule>
  </conditionalFormatting>
  <conditionalFormatting sqref="P778">
    <cfRule type="containsText" dxfId="8419" priority="13495" operator="containsText" text="ND">
      <formula>NOT(ISERROR(SEARCH(("ND"),(P778))))</formula>
    </cfRule>
  </conditionalFormatting>
  <conditionalFormatting sqref="P778">
    <cfRule type="cellIs" dxfId="8418" priority="13496" operator="greaterThanOrEqual">
      <formula>5</formula>
    </cfRule>
  </conditionalFormatting>
  <conditionalFormatting sqref="P778">
    <cfRule type="cellIs" dxfId="8417" priority="13497" operator="greaterThanOrEqual">
      <formula>2.5</formula>
    </cfRule>
  </conditionalFormatting>
  <conditionalFormatting sqref="Q778">
    <cfRule type="containsText" dxfId="8416" priority="13498" operator="containsText" text="ND">
      <formula>NOT(ISERROR(SEARCH(("ND"),(Q778))))</formula>
    </cfRule>
  </conditionalFormatting>
  <conditionalFormatting sqref="Q778">
    <cfRule type="cellIs" dxfId="8415" priority="13499" operator="greaterThanOrEqual">
      <formula>500</formula>
    </cfRule>
  </conditionalFormatting>
  <conditionalFormatting sqref="Q778">
    <cfRule type="cellIs" dxfId="8414" priority="13500" operator="greaterThanOrEqual">
      <formula>300</formula>
    </cfRule>
  </conditionalFormatting>
  <conditionalFormatting sqref="V778">
    <cfRule type="cellIs" dxfId="8413" priority="13476" operator="equal">
      <formula>"延長"</formula>
    </cfRule>
  </conditionalFormatting>
  <conditionalFormatting sqref="V778">
    <cfRule type="cellIs" dxfId="8412" priority="13472" operator="equal">
      <formula>"退場"</formula>
    </cfRule>
    <cfRule type="cellIs" dxfId="8411" priority="13473" operator="equal">
      <formula>"持續"</formula>
    </cfRule>
    <cfRule type="cellIs" dxfId="8410" priority="13474" operator="equal">
      <formula>"延長"</formula>
    </cfRule>
    <cfRule type="cellIs" dxfId="8409" priority="13475" operator="equal">
      <formula>"尚未調查"</formula>
    </cfRule>
  </conditionalFormatting>
  <conditionalFormatting sqref="L171:L190">
    <cfRule type="cellIs" dxfId="8408" priority="13445" operator="greaterThanOrEqual">
      <formula>5</formula>
    </cfRule>
  </conditionalFormatting>
  <conditionalFormatting sqref="L171:L190">
    <cfRule type="cellIs" dxfId="8407" priority="13446" operator="greaterThanOrEqual">
      <formula>2</formula>
    </cfRule>
  </conditionalFormatting>
  <conditionalFormatting sqref="M171:M190">
    <cfRule type="cellIs" dxfId="8406" priority="13447" operator="greaterThanOrEqual">
      <formula>60</formula>
    </cfRule>
  </conditionalFormatting>
  <conditionalFormatting sqref="M171:M190">
    <cfRule type="cellIs" dxfId="8405" priority="13448" operator="greaterThanOrEqual">
      <formula>30</formula>
    </cfRule>
  </conditionalFormatting>
  <conditionalFormatting sqref="R171:R190">
    <cfRule type="cellIs" dxfId="8404" priority="13449" operator="greaterThanOrEqual">
      <formula>600</formula>
    </cfRule>
  </conditionalFormatting>
  <conditionalFormatting sqref="R171:R190">
    <cfRule type="cellIs" dxfId="8403" priority="13450" operator="greaterThanOrEqual">
      <formula>260</formula>
    </cfRule>
  </conditionalFormatting>
  <conditionalFormatting sqref="S171:S190">
    <cfRule type="containsText" dxfId="8402" priority="13451" operator="containsText" text="&lt;">
      <formula>NOT(ISERROR(SEARCH(("&lt;"),(S171))))</formula>
    </cfRule>
  </conditionalFormatting>
  <conditionalFormatting sqref="S171:S190">
    <cfRule type="containsText" dxfId="8401" priority="13452" operator="containsText" text="ND">
      <formula>NOT(ISERROR(SEARCH(("ND"),(S171))))</formula>
    </cfRule>
  </conditionalFormatting>
  <conditionalFormatting sqref="S171:S190">
    <cfRule type="cellIs" dxfId="8400" priority="13453" operator="greaterThanOrEqual">
      <formula>200</formula>
    </cfRule>
  </conditionalFormatting>
  <conditionalFormatting sqref="S171:S190">
    <cfRule type="cellIs" dxfId="8399" priority="13454" operator="greaterThanOrEqual">
      <formula>130</formula>
    </cfRule>
  </conditionalFormatting>
  <conditionalFormatting sqref="N171:N190">
    <cfRule type="cellIs" dxfId="8398" priority="13455" operator="greaterThanOrEqual">
      <formula>200</formula>
    </cfRule>
  </conditionalFormatting>
  <conditionalFormatting sqref="N171:N190">
    <cfRule type="cellIs" dxfId="8397" priority="13456" operator="greaterThanOrEqual">
      <formula>120</formula>
    </cfRule>
  </conditionalFormatting>
  <conditionalFormatting sqref="O171:O190">
    <cfRule type="containsText" dxfId="8396" priority="13457" operator="containsText" text="ND">
      <formula>NOT(ISERROR(SEARCH(("ND"),(O171))))</formula>
    </cfRule>
  </conditionalFormatting>
  <conditionalFormatting sqref="O171:O190">
    <cfRule type="cellIs" dxfId="8395" priority="13458" operator="greaterThanOrEqual">
      <formula>250</formula>
    </cfRule>
  </conditionalFormatting>
  <conditionalFormatting sqref="O171:O190">
    <cfRule type="cellIs" dxfId="8394" priority="13459" operator="greaterThanOrEqual">
      <formula>175</formula>
    </cfRule>
  </conditionalFormatting>
  <conditionalFormatting sqref="P171:P190">
    <cfRule type="containsText" dxfId="8393" priority="13460" operator="containsText" text="ND">
      <formula>NOT(ISERROR(SEARCH(("ND"),(P171))))</formula>
    </cfRule>
  </conditionalFormatting>
  <conditionalFormatting sqref="P171:P190">
    <cfRule type="cellIs" dxfId="8392" priority="13461" operator="greaterThanOrEqual">
      <formula>5</formula>
    </cfRule>
  </conditionalFormatting>
  <conditionalFormatting sqref="P171:P190">
    <cfRule type="cellIs" dxfId="8391" priority="13462" operator="greaterThanOrEqual">
      <formula>2.5</formula>
    </cfRule>
  </conditionalFormatting>
  <conditionalFormatting sqref="Q171:Q190">
    <cfRule type="containsText" dxfId="8390" priority="13463" operator="containsText" text="ND">
      <formula>NOT(ISERROR(SEARCH(("ND"),(Q171))))</formula>
    </cfRule>
  </conditionalFormatting>
  <conditionalFormatting sqref="Q171:Q190">
    <cfRule type="cellIs" dxfId="8389" priority="13464" operator="greaterThanOrEqual">
      <formula>500</formula>
    </cfRule>
  </conditionalFormatting>
  <conditionalFormatting sqref="Q171:Q190">
    <cfRule type="cellIs" dxfId="8388" priority="13465" operator="greaterThanOrEqual">
      <formula>300</formula>
    </cfRule>
  </conditionalFormatting>
  <conditionalFormatting sqref="V171:V190">
    <cfRule type="cellIs" dxfId="8387" priority="13441" operator="equal">
      <formula>"退場"</formula>
    </cfRule>
    <cfRule type="cellIs" dxfId="8386" priority="13442" operator="equal">
      <formula>"持續"</formula>
    </cfRule>
    <cfRule type="cellIs" dxfId="8385" priority="13443" operator="equal">
      <formula>"延長"</formula>
    </cfRule>
    <cfRule type="cellIs" dxfId="8384" priority="13444" operator="equal">
      <formula>"尚未調查"</formula>
    </cfRule>
  </conditionalFormatting>
  <conditionalFormatting sqref="L779:L797">
    <cfRule type="cellIs" dxfId="8383" priority="13372" operator="greaterThanOrEqual">
      <formula>5</formula>
    </cfRule>
  </conditionalFormatting>
  <conditionalFormatting sqref="L779:L797">
    <cfRule type="cellIs" dxfId="8382" priority="13373" operator="greaterThanOrEqual">
      <formula>2</formula>
    </cfRule>
  </conditionalFormatting>
  <conditionalFormatting sqref="M779:M797">
    <cfRule type="cellIs" dxfId="8381" priority="13374" operator="greaterThanOrEqual">
      <formula>60</formula>
    </cfRule>
  </conditionalFormatting>
  <conditionalFormatting sqref="M779:M797">
    <cfRule type="cellIs" dxfId="8380" priority="13375" operator="greaterThanOrEqual">
      <formula>30</formula>
    </cfRule>
  </conditionalFormatting>
  <conditionalFormatting sqref="R779:R792 R796">
    <cfRule type="cellIs" dxfId="8379" priority="13376" operator="greaterThanOrEqual">
      <formula>600</formula>
    </cfRule>
  </conditionalFormatting>
  <conditionalFormatting sqref="R779:R792 R796">
    <cfRule type="cellIs" dxfId="8378" priority="13377" operator="greaterThanOrEqual">
      <formula>260</formula>
    </cfRule>
  </conditionalFormatting>
  <conditionalFormatting sqref="S779:S792 S796">
    <cfRule type="containsText" dxfId="8377" priority="13378" operator="containsText" text="&lt;">
      <formula>NOT(ISERROR(SEARCH(("&lt;"),(S779))))</formula>
    </cfRule>
  </conditionalFormatting>
  <conditionalFormatting sqref="S779:S792 S796">
    <cfRule type="containsText" dxfId="8376" priority="13379" operator="containsText" text="ND">
      <formula>NOT(ISERROR(SEARCH(("ND"),(S779))))</formula>
    </cfRule>
  </conditionalFormatting>
  <conditionalFormatting sqref="S779:S792 S796">
    <cfRule type="cellIs" dxfId="8375" priority="13380" operator="greaterThanOrEqual">
      <formula>200</formula>
    </cfRule>
  </conditionalFormatting>
  <conditionalFormatting sqref="S779:S792 S796">
    <cfRule type="cellIs" dxfId="8374" priority="13381" operator="greaterThanOrEqual">
      <formula>130</formula>
    </cfRule>
  </conditionalFormatting>
  <conditionalFormatting sqref="N779:N792 N796">
    <cfRule type="cellIs" dxfId="8373" priority="13382" operator="greaterThanOrEqual">
      <formula>200</formula>
    </cfRule>
  </conditionalFormatting>
  <conditionalFormatting sqref="N779:N792 N796">
    <cfRule type="cellIs" dxfId="8372" priority="13383" operator="greaterThanOrEqual">
      <formula>120</formula>
    </cfRule>
  </conditionalFormatting>
  <conditionalFormatting sqref="O779:O792 O796">
    <cfRule type="containsText" dxfId="8371" priority="13384" operator="containsText" text="ND">
      <formula>NOT(ISERROR(SEARCH(("ND"),(O779))))</formula>
    </cfRule>
  </conditionalFormatting>
  <conditionalFormatting sqref="O779:O792 O796">
    <cfRule type="cellIs" dxfId="8370" priority="13385" operator="greaterThanOrEqual">
      <formula>250</formula>
    </cfRule>
  </conditionalFormatting>
  <conditionalFormatting sqref="O779:O792 O796">
    <cfRule type="cellIs" dxfId="8369" priority="13386" operator="greaterThanOrEqual">
      <formula>175</formula>
    </cfRule>
  </conditionalFormatting>
  <conditionalFormatting sqref="P779:P792 P796">
    <cfRule type="containsText" dxfId="8368" priority="13387" operator="containsText" text="ND">
      <formula>NOT(ISERROR(SEARCH(("ND"),(P779))))</formula>
    </cfRule>
  </conditionalFormatting>
  <conditionalFormatting sqref="P779:P792 P796">
    <cfRule type="cellIs" dxfId="8367" priority="13388" operator="greaterThanOrEqual">
      <formula>5</formula>
    </cfRule>
  </conditionalFormatting>
  <conditionalFormatting sqref="P779:P792 P796">
    <cfRule type="cellIs" dxfId="8366" priority="13389" operator="greaterThanOrEqual">
      <formula>2.5</formula>
    </cfRule>
  </conditionalFormatting>
  <conditionalFormatting sqref="Q779:Q792 Q796">
    <cfRule type="containsText" dxfId="8365" priority="13390" operator="containsText" text="ND">
      <formula>NOT(ISERROR(SEARCH(("ND"),(Q779))))</formula>
    </cfRule>
  </conditionalFormatting>
  <conditionalFormatting sqref="Q779:Q792 Q796">
    <cfRule type="cellIs" dxfId="8364" priority="13391" operator="greaterThanOrEqual">
      <formula>500</formula>
    </cfRule>
  </conditionalFormatting>
  <conditionalFormatting sqref="Q779:Q792 Q796">
    <cfRule type="cellIs" dxfId="8363" priority="13392" operator="greaterThanOrEqual">
      <formula>300</formula>
    </cfRule>
  </conditionalFormatting>
  <conditionalFormatting sqref="R793:R794">
    <cfRule type="cellIs" dxfId="8362" priority="13355" operator="greaterThanOrEqual">
      <formula>600</formula>
    </cfRule>
  </conditionalFormatting>
  <conditionalFormatting sqref="R793:R794">
    <cfRule type="cellIs" dxfId="8361" priority="13356" operator="greaterThanOrEqual">
      <formula>260</formula>
    </cfRule>
  </conditionalFormatting>
  <conditionalFormatting sqref="S793:S794">
    <cfRule type="containsText" dxfId="8360" priority="13357" operator="containsText" text="&lt;">
      <formula>NOT(ISERROR(SEARCH(("&lt;"),(S793))))</formula>
    </cfRule>
  </conditionalFormatting>
  <conditionalFormatting sqref="S793:S794">
    <cfRule type="containsText" dxfId="8359" priority="13358" operator="containsText" text="ND">
      <formula>NOT(ISERROR(SEARCH(("ND"),(S793))))</formula>
    </cfRule>
  </conditionalFormatting>
  <conditionalFormatting sqref="S793:S794">
    <cfRule type="cellIs" dxfId="8358" priority="13359" operator="greaterThanOrEqual">
      <formula>200</formula>
    </cfRule>
  </conditionalFormatting>
  <conditionalFormatting sqref="S793:S794">
    <cfRule type="cellIs" dxfId="8357" priority="13360" operator="greaterThanOrEqual">
      <formula>130</formula>
    </cfRule>
  </conditionalFormatting>
  <conditionalFormatting sqref="N793:N794">
    <cfRule type="cellIs" dxfId="8356" priority="13361" operator="greaterThanOrEqual">
      <formula>200</formula>
    </cfRule>
  </conditionalFormatting>
  <conditionalFormatting sqref="N793:N794">
    <cfRule type="cellIs" dxfId="8355" priority="13362" operator="greaterThanOrEqual">
      <formula>120</formula>
    </cfRule>
  </conditionalFormatting>
  <conditionalFormatting sqref="O793:O794">
    <cfRule type="containsText" dxfId="8354" priority="13363" operator="containsText" text="ND">
      <formula>NOT(ISERROR(SEARCH(("ND"),(O793))))</formula>
    </cfRule>
  </conditionalFormatting>
  <conditionalFormatting sqref="O793:O794">
    <cfRule type="cellIs" dxfId="8353" priority="13364" operator="greaterThanOrEqual">
      <formula>250</formula>
    </cfRule>
  </conditionalFormatting>
  <conditionalFormatting sqref="O793:O794">
    <cfRule type="cellIs" dxfId="8352" priority="13365" operator="greaterThanOrEqual">
      <formula>175</formula>
    </cfRule>
  </conditionalFormatting>
  <conditionalFormatting sqref="P793:P794">
    <cfRule type="containsText" dxfId="8351" priority="13366" operator="containsText" text="ND">
      <formula>NOT(ISERROR(SEARCH(("ND"),(P793))))</formula>
    </cfRule>
  </conditionalFormatting>
  <conditionalFormatting sqref="P793:P794">
    <cfRule type="cellIs" dxfId="8350" priority="13367" operator="greaterThanOrEqual">
      <formula>5</formula>
    </cfRule>
  </conditionalFormatting>
  <conditionalFormatting sqref="P793:P794">
    <cfRule type="cellIs" dxfId="8349" priority="13368" operator="greaterThanOrEqual">
      <formula>2.5</formula>
    </cfRule>
  </conditionalFormatting>
  <conditionalFormatting sqref="Q793:Q794">
    <cfRule type="containsText" dxfId="8348" priority="13369" operator="containsText" text="ND">
      <formula>NOT(ISERROR(SEARCH(("ND"),(Q793))))</formula>
    </cfRule>
  </conditionalFormatting>
  <conditionalFormatting sqref="Q793:Q794">
    <cfRule type="cellIs" dxfId="8347" priority="13370" operator="greaterThanOrEqual">
      <formula>500</formula>
    </cfRule>
  </conditionalFormatting>
  <conditionalFormatting sqref="Q793:Q794">
    <cfRule type="cellIs" dxfId="8346" priority="13371" operator="greaterThanOrEqual">
      <formula>300</formula>
    </cfRule>
  </conditionalFormatting>
  <conditionalFormatting sqref="R795">
    <cfRule type="cellIs" dxfId="8345" priority="13338" operator="greaterThanOrEqual">
      <formula>600</formula>
    </cfRule>
  </conditionalFormatting>
  <conditionalFormatting sqref="R795">
    <cfRule type="cellIs" dxfId="8344" priority="13339" operator="greaterThanOrEqual">
      <formula>260</formula>
    </cfRule>
  </conditionalFormatting>
  <conditionalFormatting sqref="S795">
    <cfRule type="containsText" dxfId="8343" priority="13340" operator="containsText" text="&lt;">
      <formula>NOT(ISERROR(SEARCH(("&lt;"),(S795))))</formula>
    </cfRule>
  </conditionalFormatting>
  <conditionalFormatting sqref="S795">
    <cfRule type="containsText" dxfId="8342" priority="13341" operator="containsText" text="ND">
      <formula>NOT(ISERROR(SEARCH(("ND"),(S795))))</formula>
    </cfRule>
  </conditionalFormatting>
  <conditionalFormatting sqref="S795">
    <cfRule type="cellIs" dxfId="8341" priority="13342" operator="greaterThanOrEqual">
      <formula>200</formula>
    </cfRule>
  </conditionalFormatting>
  <conditionalFormatting sqref="S795">
    <cfRule type="cellIs" dxfId="8340" priority="13343" operator="greaterThanOrEqual">
      <formula>130</formula>
    </cfRule>
  </conditionalFormatting>
  <conditionalFormatting sqref="N795">
    <cfRule type="cellIs" dxfId="8339" priority="13344" operator="greaterThanOrEqual">
      <formula>200</formula>
    </cfRule>
  </conditionalFormatting>
  <conditionalFormatting sqref="N795">
    <cfRule type="cellIs" dxfId="8338" priority="13345" operator="greaterThanOrEqual">
      <formula>120</formula>
    </cfRule>
  </conditionalFormatting>
  <conditionalFormatting sqref="O795">
    <cfRule type="containsText" dxfId="8337" priority="13346" operator="containsText" text="ND">
      <formula>NOT(ISERROR(SEARCH(("ND"),(O795))))</formula>
    </cfRule>
  </conditionalFormatting>
  <conditionalFormatting sqref="O795">
    <cfRule type="cellIs" dxfId="8336" priority="13347" operator="greaterThanOrEqual">
      <formula>250</formula>
    </cfRule>
  </conditionalFormatting>
  <conditionalFormatting sqref="O795">
    <cfRule type="cellIs" dxfId="8335" priority="13348" operator="greaterThanOrEqual">
      <formula>175</formula>
    </cfRule>
  </conditionalFormatting>
  <conditionalFormatting sqref="P795">
    <cfRule type="containsText" dxfId="8334" priority="13349" operator="containsText" text="ND">
      <formula>NOT(ISERROR(SEARCH(("ND"),(P795))))</formula>
    </cfRule>
  </conditionalFormatting>
  <conditionalFormatting sqref="P795">
    <cfRule type="cellIs" dxfId="8333" priority="13350" operator="greaterThanOrEqual">
      <formula>5</formula>
    </cfRule>
  </conditionalFormatting>
  <conditionalFormatting sqref="P795">
    <cfRule type="cellIs" dxfId="8332" priority="13351" operator="greaterThanOrEqual">
      <formula>2.5</formula>
    </cfRule>
  </conditionalFormatting>
  <conditionalFormatting sqref="Q795">
    <cfRule type="containsText" dxfId="8331" priority="13352" operator="containsText" text="ND">
      <formula>NOT(ISERROR(SEARCH(("ND"),(Q795))))</formula>
    </cfRule>
  </conditionalFormatting>
  <conditionalFormatting sqref="Q795">
    <cfRule type="cellIs" dxfId="8330" priority="13353" operator="greaterThanOrEqual">
      <formula>500</formula>
    </cfRule>
  </conditionalFormatting>
  <conditionalFormatting sqref="Q795">
    <cfRule type="cellIs" dxfId="8329" priority="13354" operator="greaterThanOrEqual">
      <formula>300</formula>
    </cfRule>
  </conditionalFormatting>
  <conditionalFormatting sqref="R797">
    <cfRule type="cellIs" dxfId="8328" priority="13321" operator="greaterThanOrEqual">
      <formula>600</formula>
    </cfRule>
  </conditionalFormatting>
  <conditionalFormatting sqref="R797">
    <cfRule type="cellIs" dxfId="8327" priority="13322" operator="greaterThanOrEqual">
      <formula>260</formula>
    </cfRule>
  </conditionalFormatting>
  <conditionalFormatting sqref="S797">
    <cfRule type="containsText" dxfId="8326" priority="13323" operator="containsText" text="&lt;">
      <formula>NOT(ISERROR(SEARCH(("&lt;"),(S797))))</formula>
    </cfRule>
  </conditionalFormatting>
  <conditionalFormatting sqref="S797">
    <cfRule type="containsText" dxfId="8325" priority="13324" operator="containsText" text="ND">
      <formula>NOT(ISERROR(SEARCH(("ND"),(S797))))</formula>
    </cfRule>
  </conditionalFormatting>
  <conditionalFormatting sqref="S797">
    <cfRule type="cellIs" dxfId="8324" priority="13325" operator="greaterThanOrEqual">
      <formula>200</formula>
    </cfRule>
  </conditionalFormatting>
  <conditionalFormatting sqref="S797">
    <cfRule type="cellIs" dxfId="8323" priority="13326" operator="greaterThanOrEqual">
      <formula>130</formula>
    </cfRule>
  </conditionalFormatting>
  <conditionalFormatting sqref="N797">
    <cfRule type="cellIs" dxfId="8322" priority="13327" operator="greaterThanOrEqual">
      <formula>200</formula>
    </cfRule>
  </conditionalFormatting>
  <conditionalFormatting sqref="N797">
    <cfRule type="cellIs" dxfId="8321" priority="13328" operator="greaterThanOrEqual">
      <formula>120</formula>
    </cfRule>
  </conditionalFormatting>
  <conditionalFormatting sqref="O797">
    <cfRule type="containsText" dxfId="8320" priority="13329" operator="containsText" text="ND">
      <formula>NOT(ISERROR(SEARCH(("ND"),(O797))))</formula>
    </cfRule>
  </conditionalFormatting>
  <conditionalFormatting sqref="O797">
    <cfRule type="cellIs" dxfId="8319" priority="13330" operator="greaterThanOrEqual">
      <formula>250</formula>
    </cfRule>
  </conditionalFormatting>
  <conditionalFormatting sqref="O797">
    <cfRule type="cellIs" dxfId="8318" priority="13331" operator="greaterThanOrEqual">
      <formula>175</formula>
    </cfRule>
  </conditionalFormatting>
  <conditionalFormatting sqref="P797">
    <cfRule type="containsText" dxfId="8317" priority="13332" operator="containsText" text="ND">
      <formula>NOT(ISERROR(SEARCH(("ND"),(P797))))</formula>
    </cfRule>
  </conditionalFormatting>
  <conditionalFormatting sqref="P797">
    <cfRule type="cellIs" dxfId="8316" priority="13333" operator="greaterThanOrEqual">
      <formula>5</formula>
    </cfRule>
  </conditionalFormatting>
  <conditionalFormatting sqref="P797">
    <cfRule type="cellIs" dxfId="8315" priority="13334" operator="greaterThanOrEqual">
      <formula>2.5</formula>
    </cfRule>
  </conditionalFormatting>
  <conditionalFormatting sqref="Q797">
    <cfRule type="containsText" dxfId="8314" priority="13335" operator="containsText" text="ND">
      <formula>NOT(ISERROR(SEARCH(("ND"),(Q797))))</formula>
    </cfRule>
  </conditionalFormatting>
  <conditionalFormatting sqref="Q797">
    <cfRule type="cellIs" dxfId="8313" priority="13336" operator="greaterThanOrEqual">
      <formula>500</formula>
    </cfRule>
  </conditionalFormatting>
  <conditionalFormatting sqref="Q797">
    <cfRule type="cellIs" dxfId="8312" priority="13337" operator="greaterThanOrEqual">
      <formula>300</formula>
    </cfRule>
  </conditionalFormatting>
  <conditionalFormatting sqref="L798">
    <cfRule type="cellIs" dxfId="8311" priority="13317" operator="greaterThanOrEqual">
      <formula>5</formula>
    </cfRule>
  </conditionalFormatting>
  <conditionalFormatting sqref="L798">
    <cfRule type="cellIs" dxfId="8310" priority="13318" operator="greaterThanOrEqual">
      <formula>2</formula>
    </cfRule>
  </conditionalFormatting>
  <conditionalFormatting sqref="M798">
    <cfRule type="cellIs" dxfId="8309" priority="13319" operator="greaterThanOrEqual">
      <formula>60</formula>
    </cfRule>
  </conditionalFormatting>
  <conditionalFormatting sqref="M798">
    <cfRule type="cellIs" dxfId="8308" priority="13320" operator="greaterThanOrEqual">
      <formula>30</formula>
    </cfRule>
  </conditionalFormatting>
  <conditionalFormatting sqref="R798">
    <cfRule type="cellIs" dxfId="8307" priority="13300" operator="greaterThanOrEqual">
      <formula>600</formula>
    </cfRule>
  </conditionalFormatting>
  <conditionalFormatting sqref="R798">
    <cfRule type="cellIs" dxfId="8306" priority="13301" operator="greaterThanOrEqual">
      <formula>260</formula>
    </cfRule>
  </conditionalFormatting>
  <conditionalFormatting sqref="S798">
    <cfRule type="containsText" dxfId="8305" priority="13302" operator="containsText" text="&lt;">
      <formula>NOT(ISERROR(SEARCH(("&lt;"),(S798))))</formula>
    </cfRule>
  </conditionalFormatting>
  <conditionalFormatting sqref="S798">
    <cfRule type="containsText" dxfId="8304" priority="13303" operator="containsText" text="ND">
      <formula>NOT(ISERROR(SEARCH(("ND"),(S798))))</formula>
    </cfRule>
  </conditionalFormatting>
  <conditionalFormatting sqref="S798">
    <cfRule type="cellIs" dxfId="8303" priority="13304" operator="greaterThanOrEqual">
      <formula>200</formula>
    </cfRule>
  </conditionalFormatting>
  <conditionalFormatting sqref="S798">
    <cfRule type="cellIs" dxfId="8302" priority="13305" operator="greaterThanOrEqual">
      <formula>130</formula>
    </cfRule>
  </conditionalFormatting>
  <conditionalFormatting sqref="N798">
    <cfRule type="cellIs" dxfId="8301" priority="13306" operator="greaterThanOrEqual">
      <formula>200</formula>
    </cfRule>
  </conditionalFormatting>
  <conditionalFormatting sqref="N798">
    <cfRule type="cellIs" dxfId="8300" priority="13307" operator="greaterThanOrEqual">
      <formula>120</formula>
    </cfRule>
  </conditionalFormatting>
  <conditionalFormatting sqref="O798">
    <cfRule type="containsText" dxfId="8299" priority="13308" operator="containsText" text="ND">
      <formula>NOT(ISERROR(SEARCH(("ND"),(O798))))</formula>
    </cfRule>
  </conditionalFormatting>
  <conditionalFormatting sqref="O798">
    <cfRule type="cellIs" dxfId="8298" priority="13309" operator="greaterThanOrEqual">
      <formula>250</formula>
    </cfRule>
  </conditionalFormatting>
  <conditionalFormatting sqref="O798">
    <cfRule type="cellIs" dxfId="8297" priority="13310" operator="greaterThanOrEqual">
      <formula>175</formula>
    </cfRule>
  </conditionalFormatting>
  <conditionalFormatting sqref="P798">
    <cfRule type="containsText" dxfId="8296" priority="13311" operator="containsText" text="ND">
      <formula>NOT(ISERROR(SEARCH(("ND"),(P798))))</formula>
    </cfRule>
  </conditionalFormatting>
  <conditionalFormatting sqref="P798">
    <cfRule type="cellIs" dxfId="8295" priority="13312" operator="greaterThanOrEqual">
      <formula>5</formula>
    </cfRule>
  </conditionalFormatting>
  <conditionalFormatting sqref="P798">
    <cfRule type="cellIs" dxfId="8294" priority="13313" operator="greaterThanOrEqual">
      <formula>2.5</formula>
    </cfRule>
  </conditionalFormatting>
  <conditionalFormatting sqref="Q798">
    <cfRule type="containsText" dxfId="8293" priority="13314" operator="containsText" text="ND">
      <formula>NOT(ISERROR(SEARCH(("ND"),(Q798))))</formula>
    </cfRule>
  </conditionalFormatting>
  <conditionalFormatting sqref="Q798">
    <cfRule type="cellIs" dxfId="8292" priority="13315" operator="greaterThanOrEqual">
      <formula>500</formula>
    </cfRule>
  </conditionalFormatting>
  <conditionalFormatting sqref="Q798">
    <cfRule type="cellIs" dxfId="8291" priority="13316" operator="greaterThanOrEqual">
      <formula>300</formula>
    </cfRule>
  </conditionalFormatting>
  <conditionalFormatting sqref="L799">
    <cfRule type="cellIs" dxfId="8290" priority="13296" operator="greaterThanOrEqual">
      <formula>5</formula>
    </cfRule>
  </conditionalFormatting>
  <conditionalFormatting sqref="L799">
    <cfRule type="cellIs" dxfId="8289" priority="13297" operator="greaterThanOrEqual">
      <formula>2</formula>
    </cfRule>
  </conditionalFormatting>
  <conditionalFormatting sqref="M799">
    <cfRule type="cellIs" dxfId="8288" priority="13298" operator="greaterThanOrEqual">
      <formula>60</formula>
    </cfRule>
  </conditionalFormatting>
  <conditionalFormatting sqref="M799">
    <cfRule type="cellIs" dxfId="8287" priority="13299" operator="greaterThanOrEqual">
      <formula>30</formula>
    </cfRule>
  </conditionalFormatting>
  <conditionalFormatting sqref="R799">
    <cfRule type="cellIs" dxfId="8286" priority="13279" operator="greaterThanOrEqual">
      <formula>600</formula>
    </cfRule>
  </conditionalFormatting>
  <conditionalFormatting sqref="R799">
    <cfRule type="cellIs" dxfId="8285" priority="13280" operator="greaterThanOrEqual">
      <formula>260</formula>
    </cfRule>
  </conditionalFormatting>
  <conditionalFormatting sqref="S799">
    <cfRule type="containsText" dxfId="8284" priority="13281" operator="containsText" text="&lt;">
      <formula>NOT(ISERROR(SEARCH(("&lt;"),(S799))))</formula>
    </cfRule>
  </conditionalFormatting>
  <conditionalFormatting sqref="S799">
    <cfRule type="containsText" dxfId="8283" priority="13282" operator="containsText" text="ND">
      <formula>NOT(ISERROR(SEARCH(("ND"),(S799))))</formula>
    </cfRule>
  </conditionalFormatting>
  <conditionalFormatting sqref="S799">
    <cfRule type="cellIs" dxfId="8282" priority="13283" operator="greaterThanOrEqual">
      <formula>200</formula>
    </cfRule>
  </conditionalFormatting>
  <conditionalFormatting sqref="S799">
    <cfRule type="cellIs" dxfId="8281" priority="13284" operator="greaterThanOrEqual">
      <formula>130</formula>
    </cfRule>
  </conditionalFormatting>
  <conditionalFormatting sqref="N799">
    <cfRule type="cellIs" dxfId="8280" priority="13285" operator="greaterThanOrEqual">
      <formula>200</formula>
    </cfRule>
  </conditionalFormatting>
  <conditionalFormatting sqref="N799">
    <cfRule type="cellIs" dxfId="8279" priority="13286" operator="greaterThanOrEqual">
      <formula>120</formula>
    </cfRule>
  </conditionalFormatting>
  <conditionalFormatting sqref="O799">
    <cfRule type="containsText" dxfId="8278" priority="13287" operator="containsText" text="ND">
      <formula>NOT(ISERROR(SEARCH(("ND"),(O799))))</formula>
    </cfRule>
  </conditionalFormatting>
  <conditionalFormatting sqref="O799">
    <cfRule type="cellIs" dxfId="8277" priority="13288" operator="greaterThanOrEqual">
      <formula>250</formula>
    </cfRule>
  </conditionalFormatting>
  <conditionalFormatting sqref="O799">
    <cfRule type="cellIs" dxfId="8276" priority="13289" operator="greaterThanOrEqual">
      <formula>175</formula>
    </cfRule>
  </conditionalFormatting>
  <conditionalFormatting sqref="P799">
    <cfRule type="containsText" dxfId="8275" priority="13290" operator="containsText" text="ND">
      <formula>NOT(ISERROR(SEARCH(("ND"),(P799))))</formula>
    </cfRule>
  </conditionalFormatting>
  <conditionalFormatting sqref="P799">
    <cfRule type="cellIs" dxfId="8274" priority="13291" operator="greaterThanOrEqual">
      <formula>5</formula>
    </cfRule>
  </conditionalFormatting>
  <conditionalFormatting sqref="P799">
    <cfRule type="cellIs" dxfId="8273" priority="13292" operator="greaterThanOrEqual">
      <formula>2.5</formula>
    </cfRule>
  </conditionalFormatting>
  <conditionalFormatting sqref="Q799">
    <cfRule type="containsText" dxfId="8272" priority="13293" operator="containsText" text="ND">
      <formula>NOT(ISERROR(SEARCH(("ND"),(Q799))))</formula>
    </cfRule>
  </conditionalFormatting>
  <conditionalFormatting sqref="Q799">
    <cfRule type="cellIs" dxfId="8271" priority="13294" operator="greaterThanOrEqual">
      <formula>500</formula>
    </cfRule>
  </conditionalFormatting>
  <conditionalFormatting sqref="Q799">
    <cfRule type="cellIs" dxfId="8270" priority="13295" operator="greaterThanOrEqual">
      <formula>300</formula>
    </cfRule>
  </conditionalFormatting>
  <conditionalFormatting sqref="L192 P192">
    <cfRule type="cellIs" dxfId="8269" priority="13025" operator="greaterThanOrEqual">
      <formula>5</formula>
    </cfRule>
  </conditionalFormatting>
  <conditionalFormatting sqref="L192">
    <cfRule type="cellIs" dxfId="8268" priority="13026" operator="greaterThanOrEqual">
      <formula>2</formula>
    </cfRule>
  </conditionalFormatting>
  <conditionalFormatting sqref="M192">
    <cfRule type="cellIs" dxfId="8267" priority="13027" operator="greaterThanOrEqual">
      <formula>60</formula>
    </cfRule>
  </conditionalFormatting>
  <conditionalFormatting sqref="M192">
    <cfRule type="cellIs" dxfId="8266" priority="13028" operator="greaterThanOrEqual">
      <formula>30</formula>
    </cfRule>
  </conditionalFormatting>
  <conditionalFormatting sqref="R192">
    <cfRule type="cellIs" dxfId="8265" priority="13029" operator="greaterThanOrEqual">
      <formula>600</formula>
    </cfRule>
  </conditionalFormatting>
  <conditionalFormatting sqref="R192">
    <cfRule type="cellIs" dxfId="8264" priority="13030" operator="greaterThanOrEqual">
      <formula>260</formula>
    </cfRule>
  </conditionalFormatting>
  <conditionalFormatting sqref="S192">
    <cfRule type="containsText" dxfId="8263" priority="13031" operator="containsText" text="&lt;">
      <formula>NOT(ISERROR(SEARCH(("&lt;"),(S192))))</formula>
    </cfRule>
  </conditionalFormatting>
  <conditionalFormatting sqref="S192">
    <cfRule type="containsText" dxfId="8262" priority="13032" operator="containsText" text="ND">
      <formula>NOT(ISERROR(SEARCH(("ND"),(S192))))</formula>
    </cfRule>
  </conditionalFormatting>
  <conditionalFormatting sqref="S192 N192">
    <cfRule type="cellIs" dxfId="8261" priority="13033" operator="greaterThanOrEqual">
      <formula>200</formula>
    </cfRule>
  </conditionalFormatting>
  <conditionalFormatting sqref="S192">
    <cfRule type="cellIs" dxfId="8260" priority="13034" operator="greaterThanOrEqual">
      <formula>130</formula>
    </cfRule>
  </conditionalFormatting>
  <conditionalFormatting sqref="N192">
    <cfRule type="cellIs" dxfId="8259" priority="13035" operator="greaterThanOrEqual">
      <formula>120</formula>
    </cfRule>
  </conditionalFormatting>
  <conditionalFormatting sqref="O192:Q192">
    <cfRule type="containsText" dxfId="8258" priority="13036" operator="containsText" text="ND">
      <formula>NOT(ISERROR(SEARCH(("ND"),(O192))))</formula>
    </cfRule>
  </conditionalFormatting>
  <conditionalFormatting sqref="O192">
    <cfRule type="cellIs" dxfId="8257" priority="13037" operator="greaterThanOrEqual">
      <formula>250</formula>
    </cfRule>
  </conditionalFormatting>
  <conditionalFormatting sqref="O192">
    <cfRule type="cellIs" dxfId="8256" priority="13038" operator="greaterThanOrEqual">
      <formula>175</formula>
    </cfRule>
  </conditionalFormatting>
  <conditionalFormatting sqref="P192">
    <cfRule type="cellIs" dxfId="8255" priority="13039" operator="greaterThanOrEqual">
      <formula>2.5</formula>
    </cfRule>
  </conditionalFormatting>
  <conditionalFormatting sqref="Q192">
    <cfRule type="cellIs" dxfId="8254" priority="13040" operator="greaterThanOrEqual">
      <formula>500</formula>
    </cfRule>
  </conditionalFormatting>
  <conditionalFormatting sqref="Q192">
    <cfRule type="cellIs" dxfId="8253" priority="13041" operator="greaterThanOrEqual">
      <formula>300</formula>
    </cfRule>
  </conditionalFormatting>
  <conditionalFormatting sqref="V829:V847">
    <cfRule type="cellIs" dxfId="8252" priority="12992" operator="equal">
      <formula>"延長"</formula>
    </cfRule>
  </conditionalFormatting>
  <conditionalFormatting sqref="V829:V847">
    <cfRule type="cellIs" dxfId="8251" priority="12988" operator="equal">
      <formula>"退場"</formula>
    </cfRule>
    <cfRule type="cellIs" dxfId="8250" priority="12989" operator="equal">
      <formula>"持續"</formula>
    </cfRule>
    <cfRule type="cellIs" dxfId="8249" priority="12990" operator="equal">
      <formula>"延長"</formula>
    </cfRule>
    <cfRule type="cellIs" dxfId="8248" priority="12991" operator="equal">
      <formula>"尚未調查"</formula>
    </cfRule>
  </conditionalFormatting>
  <conditionalFormatting sqref="L846:L847">
    <cfRule type="cellIs" dxfId="8247" priority="12967" operator="greaterThanOrEqual">
      <formula>5</formula>
    </cfRule>
  </conditionalFormatting>
  <conditionalFormatting sqref="L846:L847">
    <cfRule type="cellIs" dxfId="8246" priority="12968" operator="greaterThanOrEqual">
      <formula>2</formula>
    </cfRule>
  </conditionalFormatting>
  <conditionalFormatting sqref="M846:M847">
    <cfRule type="cellIs" dxfId="8245" priority="12969" operator="greaterThanOrEqual">
      <formula>60</formula>
    </cfRule>
  </conditionalFormatting>
  <conditionalFormatting sqref="M846:M847">
    <cfRule type="cellIs" dxfId="8244" priority="12970" operator="greaterThanOrEqual">
      <formula>30</formula>
    </cfRule>
  </conditionalFormatting>
  <conditionalFormatting sqref="R846:R847">
    <cfRule type="cellIs" dxfId="8243" priority="12971" operator="greaterThanOrEqual">
      <formula>600</formula>
    </cfRule>
  </conditionalFormatting>
  <conditionalFormatting sqref="R846:R847">
    <cfRule type="cellIs" dxfId="8242" priority="12972" operator="greaterThanOrEqual">
      <formula>260</formula>
    </cfRule>
  </conditionalFormatting>
  <conditionalFormatting sqref="S846:S847">
    <cfRule type="containsText" dxfId="8241" priority="12973" operator="containsText" text="&lt;">
      <formula>NOT(ISERROR(SEARCH(("&lt;"),(S846))))</formula>
    </cfRule>
  </conditionalFormatting>
  <conditionalFormatting sqref="S846:S847">
    <cfRule type="containsText" dxfId="8240" priority="12974" operator="containsText" text="ND">
      <formula>NOT(ISERROR(SEARCH(("ND"),(S846))))</formula>
    </cfRule>
  </conditionalFormatting>
  <conditionalFormatting sqref="S846:S847">
    <cfRule type="cellIs" dxfId="8239" priority="12975" operator="greaterThanOrEqual">
      <formula>200</formula>
    </cfRule>
  </conditionalFormatting>
  <conditionalFormatting sqref="S846:S847">
    <cfRule type="cellIs" dxfId="8238" priority="12976" operator="greaterThanOrEqual">
      <formula>130</formula>
    </cfRule>
  </conditionalFormatting>
  <conditionalFormatting sqref="N846:N847">
    <cfRule type="cellIs" dxfId="8237" priority="12977" operator="greaterThanOrEqual">
      <formula>200</formula>
    </cfRule>
  </conditionalFormatting>
  <conditionalFormatting sqref="N846:N847">
    <cfRule type="cellIs" dxfId="8236" priority="12978" operator="greaterThanOrEqual">
      <formula>120</formula>
    </cfRule>
  </conditionalFormatting>
  <conditionalFormatting sqref="O846:O847">
    <cfRule type="containsText" dxfId="8235" priority="12979" operator="containsText" text="ND">
      <formula>NOT(ISERROR(SEARCH(("ND"),(O846))))</formula>
    </cfRule>
  </conditionalFormatting>
  <conditionalFormatting sqref="O846:O847">
    <cfRule type="cellIs" dxfId="8234" priority="12980" operator="greaterThanOrEqual">
      <formula>250</formula>
    </cfRule>
  </conditionalFormatting>
  <conditionalFormatting sqref="O846:O847">
    <cfRule type="cellIs" dxfId="8233" priority="12981" operator="greaterThanOrEqual">
      <formula>175</formula>
    </cfRule>
  </conditionalFormatting>
  <conditionalFormatting sqref="P846:P847">
    <cfRule type="containsText" dxfId="8232" priority="12982" operator="containsText" text="ND">
      <formula>NOT(ISERROR(SEARCH(("ND"),(P846))))</formula>
    </cfRule>
  </conditionalFormatting>
  <conditionalFormatting sqref="P846:P847">
    <cfRule type="cellIs" dxfId="8231" priority="12983" operator="greaterThanOrEqual">
      <formula>5</formula>
    </cfRule>
  </conditionalFormatting>
  <conditionalFormatting sqref="P846:P847">
    <cfRule type="cellIs" dxfId="8230" priority="12984" operator="greaterThanOrEqual">
      <formula>2.5</formula>
    </cfRule>
  </conditionalFormatting>
  <conditionalFormatting sqref="Q846:Q847">
    <cfRule type="containsText" dxfId="8229" priority="12985" operator="containsText" text="ND">
      <formula>NOT(ISERROR(SEARCH(("ND"),(Q846))))</formula>
    </cfRule>
  </conditionalFormatting>
  <conditionalFormatting sqref="Q846:Q847">
    <cfRule type="cellIs" dxfId="8228" priority="12986" operator="greaterThanOrEqual">
      <formula>500</formula>
    </cfRule>
  </conditionalFormatting>
  <conditionalFormatting sqref="Q846:Q847">
    <cfRule type="cellIs" dxfId="8227" priority="12987" operator="greaterThanOrEqual">
      <formula>300</formula>
    </cfRule>
  </conditionalFormatting>
  <conditionalFormatting sqref="V848">
    <cfRule type="cellIs" dxfId="8226" priority="12946" operator="equal">
      <formula>"延長"</formula>
    </cfRule>
  </conditionalFormatting>
  <conditionalFormatting sqref="V848">
    <cfRule type="cellIs" dxfId="8225" priority="12942" operator="equal">
      <formula>"退場"</formula>
    </cfRule>
    <cfRule type="cellIs" dxfId="8224" priority="12943" operator="equal">
      <formula>"持續"</formula>
    </cfRule>
    <cfRule type="cellIs" dxfId="8223" priority="12944" operator="equal">
      <formula>"延長"</formula>
    </cfRule>
    <cfRule type="cellIs" dxfId="8222" priority="12945" operator="equal">
      <formula>"尚未調查"</formula>
    </cfRule>
  </conditionalFormatting>
  <conditionalFormatting sqref="V849:V867">
    <cfRule type="cellIs" dxfId="8221" priority="12941" operator="equal">
      <formula>"延長"</formula>
    </cfRule>
  </conditionalFormatting>
  <conditionalFormatting sqref="V849:V867">
    <cfRule type="cellIs" dxfId="8220" priority="12937" operator="equal">
      <formula>"退場"</formula>
    </cfRule>
    <cfRule type="cellIs" dxfId="8219" priority="12938" operator="equal">
      <formula>"持續"</formula>
    </cfRule>
    <cfRule type="cellIs" dxfId="8218" priority="12939" operator="equal">
      <formula>"延長"</formula>
    </cfRule>
    <cfRule type="cellIs" dxfId="8217" priority="12940" operator="equal">
      <formula>"尚未調查"</formula>
    </cfRule>
  </conditionalFormatting>
  <conditionalFormatting sqref="V868:V874">
    <cfRule type="cellIs" dxfId="8216" priority="12936" operator="equal">
      <formula>"延長"</formula>
    </cfRule>
  </conditionalFormatting>
  <conditionalFormatting sqref="V868:V874">
    <cfRule type="cellIs" dxfId="8215" priority="12932" operator="equal">
      <formula>"退場"</formula>
    </cfRule>
    <cfRule type="cellIs" dxfId="8214" priority="12933" operator="equal">
      <formula>"持續"</formula>
    </cfRule>
    <cfRule type="cellIs" dxfId="8213" priority="12934" operator="equal">
      <formula>"延長"</formula>
    </cfRule>
    <cfRule type="cellIs" dxfId="8212" priority="12935" operator="equal">
      <formula>"尚未調查"</formula>
    </cfRule>
  </conditionalFormatting>
  <conditionalFormatting sqref="V875:V880">
    <cfRule type="cellIs" dxfId="8211" priority="12931" operator="equal">
      <formula>"延長"</formula>
    </cfRule>
  </conditionalFormatting>
  <conditionalFormatting sqref="V875:V880">
    <cfRule type="cellIs" dxfId="8210" priority="12927" operator="equal">
      <formula>"退場"</formula>
    </cfRule>
    <cfRule type="cellIs" dxfId="8209" priority="12928" operator="equal">
      <formula>"持續"</formula>
    </cfRule>
    <cfRule type="cellIs" dxfId="8208" priority="12929" operator="equal">
      <formula>"延長"</formula>
    </cfRule>
    <cfRule type="cellIs" dxfId="8207" priority="12930" operator="equal">
      <formula>"尚未調查"</formula>
    </cfRule>
  </conditionalFormatting>
  <conditionalFormatting sqref="V202:V204">
    <cfRule type="cellIs" dxfId="8206" priority="12923" operator="equal">
      <formula>"退場"</formula>
    </cfRule>
    <cfRule type="cellIs" dxfId="8205" priority="12924" operator="equal">
      <formula>"持續"</formula>
    </cfRule>
    <cfRule type="cellIs" dxfId="8204" priority="12925" operator="equal">
      <formula>"延長"</formula>
    </cfRule>
    <cfRule type="cellIs" dxfId="8203" priority="12926" operator="equal">
      <formula>"尚未調查"</formula>
    </cfRule>
  </conditionalFormatting>
  <conditionalFormatting sqref="V205:V209">
    <cfRule type="cellIs" dxfId="8202" priority="12919" operator="equal">
      <formula>"退場"</formula>
    </cfRule>
    <cfRule type="cellIs" dxfId="8201" priority="12920" operator="equal">
      <formula>"持續"</formula>
    </cfRule>
    <cfRule type="cellIs" dxfId="8200" priority="12921" operator="equal">
      <formula>"延長"</formula>
    </cfRule>
    <cfRule type="cellIs" dxfId="8199" priority="12922" operator="equal">
      <formula>"尚未調查"</formula>
    </cfRule>
  </conditionalFormatting>
  <conditionalFormatting sqref="V1522:V1529">
    <cfRule type="cellIs" dxfId="8198" priority="12918" operator="equal">
      <formula>"延長"</formula>
    </cfRule>
  </conditionalFormatting>
  <conditionalFormatting sqref="V1522:V1529">
    <cfRule type="cellIs" dxfId="8197" priority="12914" operator="equal">
      <formula>"退場"</formula>
    </cfRule>
    <cfRule type="cellIs" dxfId="8196" priority="12915" operator="equal">
      <formula>"持續"</formula>
    </cfRule>
    <cfRule type="cellIs" dxfId="8195" priority="12916" operator="equal">
      <formula>"延長"</formula>
    </cfRule>
    <cfRule type="cellIs" dxfId="8194" priority="12917" operator="equal">
      <formula>"尚未調查"</formula>
    </cfRule>
  </conditionalFormatting>
  <conditionalFormatting sqref="V1514:V1515">
    <cfRule type="cellIs" dxfId="8193" priority="12727" operator="equal">
      <formula>"延長"</formula>
    </cfRule>
  </conditionalFormatting>
  <conditionalFormatting sqref="V1514:V1515">
    <cfRule type="cellIs" dxfId="8192" priority="12723" operator="equal">
      <formula>"退場"</formula>
    </cfRule>
    <cfRule type="cellIs" dxfId="8191" priority="12724" operator="equal">
      <formula>"持續"</formula>
    </cfRule>
    <cfRule type="cellIs" dxfId="8190" priority="12725" operator="equal">
      <formula>"延長"</formula>
    </cfRule>
    <cfRule type="cellIs" dxfId="8189" priority="12726" operator="equal">
      <formula>"尚未調查"</formula>
    </cfRule>
  </conditionalFormatting>
  <conditionalFormatting sqref="V1519">
    <cfRule type="cellIs" dxfId="8188" priority="12722" operator="equal">
      <formula>"延長"</formula>
    </cfRule>
  </conditionalFormatting>
  <conditionalFormatting sqref="V1519">
    <cfRule type="cellIs" dxfId="8187" priority="12718" operator="equal">
      <formula>"退場"</formula>
    </cfRule>
    <cfRule type="cellIs" dxfId="8186" priority="12719" operator="equal">
      <formula>"持續"</formula>
    </cfRule>
    <cfRule type="cellIs" dxfId="8185" priority="12720" operator="equal">
      <formula>"延長"</formula>
    </cfRule>
    <cfRule type="cellIs" dxfId="8184" priority="12721" operator="equal">
      <formula>"尚未調查"</formula>
    </cfRule>
  </conditionalFormatting>
  <conditionalFormatting sqref="V1520:V1521">
    <cfRule type="cellIs" dxfId="8183" priority="12717" operator="equal">
      <formula>"延長"</formula>
    </cfRule>
  </conditionalFormatting>
  <conditionalFormatting sqref="V1520:V1521">
    <cfRule type="cellIs" dxfId="8182" priority="12713" operator="equal">
      <formula>"退場"</formula>
    </cfRule>
    <cfRule type="cellIs" dxfId="8181" priority="12714" operator="equal">
      <formula>"持續"</formula>
    </cfRule>
    <cfRule type="cellIs" dxfId="8180" priority="12715" operator="equal">
      <formula>"延長"</formula>
    </cfRule>
    <cfRule type="cellIs" dxfId="8179" priority="12716" operator="equal">
      <formula>"尚未調查"</formula>
    </cfRule>
  </conditionalFormatting>
  <conditionalFormatting sqref="V894">
    <cfRule type="cellIs" dxfId="8178" priority="12681" operator="equal">
      <formula>"延長"</formula>
    </cfRule>
  </conditionalFormatting>
  <conditionalFormatting sqref="V894">
    <cfRule type="cellIs" dxfId="8177" priority="12677" operator="equal">
      <formula>"退場"</formula>
    </cfRule>
    <cfRule type="cellIs" dxfId="8176" priority="12678" operator="equal">
      <formula>"持續"</formula>
    </cfRule>
    <cfRule type="cellIs" dxfId="8175" priority="12679" operator="equal">
      <formula>"延長"</formula>
    </cfRule>
    <cfRule type="cellIs" dxfId="8174" priority="12680" operator="equal">
      <formula>"尚未調查"</formula>
    </cfRule>
  </conditionalFormatting>
  <conditionalFormatting sqref="V895">
    <cfRule type="cellIs" dxfId="8173" priority="12676" operator="equal">
      <formula>"延長"</formula>
    </cfRule>
  </conditionalFormatting>
  <conditionalFormatting sqref="V895">
    <cfRule type="cellIs" dxfId="8172" priority="12672" operator="equal">
      <formula>"退場"</formula>
    </cfRule>
    <cfRule type="cellIs" dxfId="8171" priority="12673" operator="equal">
      <formula>"持續"</formula>
    </cfRule>
    <cfRule type="cellIs" dxfId="8170" priority="12674" operator="equal">
      <formula>"延長"</formula>
    </cfRule>
    <cfRule type="cellIs" dxfId="8169" priority="12675" operator="equal">
      <formula>"尚未調查"</formula>
    </cfRule>
  </conditionalFormatting>
  <conditionalFormatting sqref="V896">
    <cfRule type="cellIs" dxfId="8168" priority="12671" operator="equal">
      <formula>"延長"</formula>
    </cfRule>
  </conditionalFormatting>
  <conditionalFormatting sqref="V896">
    <cfRule type="cellIs" dxfId="8167" priority="12667" operator="equal">
      <formula>"退場"</formula>
    </cfRule>
    <cfRule type="cellIs" dxfId="8166" priority="12668" operator="equal">
      <formula>"持續"</formula>
    </cfRule>
    <cfRule type="cellIs" dxfId="8165" priority="12669" operator="equal">
      <formula>"延長"</formula>
    </cfRule>
    <cfRule type="cellIs" dxfId="8164" priority="12670" operator="equal">
      <formula>"尚未調查"</formula>
    </cfRule>
  </conditionalFormatting>
  <conditionalFormatting sqref="V1530">
    <cfRule type="cellIs" dxfId="8163" priority="12659" operator="equal">
      <formula>"延長"</formula>
    </cfRule>
  </conditionalFormatting>
  <conditionalFormatting sqref="V1530">
    <cfRule type="cellIs" dxfId="8162" priority="12655" operator="equal">
      <formula>"退場"</formula>
    </cfRule>
    <cfRule type="cellIs" dxfId="8161" priority="12656" operator="equal">
      <formula>"持續"</formula>
    </cfRule>
    <cfRule type="cellIs" dxfId="8160" priority="12657" operator="equal">
      <formula>"延長"</formula>
    </cfRule>
    <cfRule type="cellIs" dxfId="8159" priority="12658" operator="equal">
      <formula>"尚未調查"</formula>
    </cfRule>
  </conditionalFormatting>
  <conditionalFormatting sqref="V1531">
    <cfRule type="cellIs" dxfId="8158" priority="12654" operator="equal">
      <formula>"延長"</formula>
    </cfRule>
  </conditionalFormatting>
  <conditionalFormatting sqref="V1531">
    <cfRule type="cellIs" dxfId="8157" priority="12650" operator="equal">
      <formula>"退場"</formula>
    </cfRule>
    <cfRule type="cellIs" dxfId="8156" priority="12651" operator="equal">
      <formula>"持續"</formula>
    </cfRule>
    <cfRule type="cellIs" dxfId="8155" priority="12652" operator="equal">
      <formula>"延長"</formula>
    </cfRule>
    <cfRule type="cellIs" dxfId="8154" priority="12653" operator="equal">
      <formula>"尚未調查"</formula>
    </cfRule>
  </conditionalFormatting>
  <conditionalFormatting sqref="V1532">
    <cfRule type="cellIs" dxfId="8153" priority="12649" operator="equal">
      <formula>"延長"</formula>
    </cfRule>
  </conditionalFormatting>
  <conditionalFormatting sqref="V1532">
    <cfRule type="cellIs" dxfId="8152" priority="12645" operator="equal">
      <formula>"退場"</formula>
    </cfRule>
    <cfRule type="cellIs" dxfId="8151" priority="12646" operator="equal">
      <formula>"持續"</formula>
    </cfRule>
    <cfRule type="cellIs" dxfId="8150" priority="12647" operator="equal">
      <formula>"延長"</formula>
    </cfRule>
    <cfRule type="cellIs" dxfId="8149" priority="12648" operator="equal">
      <formula>"尚未調查"</formula>
    </cfRule>
  </conditionalFormatting>
  <conditionalFormatting sqref="P210 L210">
    <cfRule type="cellIs" dxfId="8148" priority="12602" operator="greaterThanOrEqual">
      <formula>5</formula>
    </cfRule>
  </conditionalFormatting>
  <conditionalFormatting sqref="L210">
    <cfRule type="cellIs" dxfId="8147" priority="12603" operator="greaterThanOrEqual">
      <formula>2</formula>
    </cfRule>
  </conditionalFormatting>
  <conditionalFormatting sqref="M210">
    <cfRule type="cellIs" dxfId="8146" priority="12604" operator="greaterThanOrEqual">
      <formula>60</formula>
    </cfRule>
  </conditionalFormatting>
  <conditionalFormatting sqref="M210">
    <cfRule type="cellIs" dxfId="8145" priority="12605" operator="greaterThanOrEqual">
      <formula>30</formula>
    </cfRule>
  </conditionalFormatting>
  <conditionalFormatting sqref="R210">
    <cfRule type="cellIs" dxfId="8144" priority="12606" operator="greaterThanOrEqual">
      <formula>600</formula>
    </cfRule>
  </conditionalFormatting>
  <conditionalFormatting sqref="R210">
    <cfRule type="cellIs" dxfId="8143" priority="12607" operator="greaterThanOrEqual">
      <formula>260</formula>
    </cfRule>
  </conditionalFormatting>
  <conditionalFormatting sqref="S210">
    <cfRule type="containsText" dxfId="8142" priority="12608" operator="containsText" text="&lt;">
      <formula>NOT(ISERROR(SEARCH(("&lt;"),(S210))))</formula>
    </cfRule>
  </conditionalFormatting>
  <conditionalFormatting sqref="S210">
    <cfRule type="containsText" dxfId="8141" priority="12609" operator="containsText" text="ND">
      <formula>NOT(ISERROR(SEARCH(("ND"),(S210))))</formula>
    </cfRule>
  </conditionalFormatting>
  <conditionalFormatting sqref="N210 S210">
    <cfRule type="cellIs" dxfId="8140" priority="12610" operator="greaterThanOrEqual">
      <formula>200</formula>
    </cfRule>
  </conditionalFormatting>
  <conditionalFormatting sqref="S210">
    <cfRule type="cellIs" dxfId="8139" priority="12611" operator="greaterThanOrEqual">
      <formula>130</formula>
    </cfRule>
  </conditionalFormatting>
  <conditionalFormatting sqref="N210">
    <cfRule type="cellIs" dxfId="8138" priority="12612" operator="greaterThanOrEqual">
      <formula>120</formula>
    </cfRule>
  </conditionalFormatting>
  <conditionalFormatting sqref="O210:Q210">
    <cfRule type="containsText" dxfId="8137" priority="12613" operator="containsText" text="ND">
      <formula>NOT(ISERROR(SEARCH(("ND"),(O210))))</formula>
    </cfRule>
  </conditionalFormatting>
  <conditionalFormatting sqref="O210">
    <cfRule type="cellIs" dxfId="8136" priority="12614" operator="greaterThanOrEqual">
      <formula>250</formula>
    </cfRule>
  </conditionalFormatting>
  <conditionalFormatting sqref="O210">
    <cfRule type="cellIs" dxfId="8135" priority="12615" operator="greaterThanOrEqual">
      <formula>175</formula>
    </cfRule>
  </conditionalFormatting>
  <conditionalFormatting sqref="P210">
    <cfRule type="cellIs" dxfId="8134" priority="12616" operator="greaterThanOrEqual">
      <formula>2.5</formula>
    </cfRule>
  </conditionalFormatting>
  <conditionalFormatting sqref="Q210">
    <cfRule type="cellIs" dxfId="8133" priority="12617" operator="greaterThanOrEqual">
      <formula>500</formula>
    </cfRule>
  </conditionalFormatting>
  <conditionalFormatting sqref="Q210">
    <cfRule type="cellIs" dxfId="8132" priority="12618" operator="greaterThanOrEqual">
      <formula>300</formula>
    </cfRule>
  </conditionalFormatting>
  <conditionalFormatting sqref="V210">
    <cfRule type="cellIs" dxfId="8131" priority="12590" operator="equal">
      <formula>"退場"</formula>
    </cfRule>
    <cfRule type="cellIs" dxfId="8130" priority="12591" operator="equal">
      <formula>"持續"</formula>
    </cfRule>
    <cfRule type="cellIs" dxfId="8129" priority="12592" operator="equal">
      <formula>"延長"</formula>
    </cfRule>
    <cfRule type="cellIs" dxfId="8128" priority="12593" operator="equal">
      <formula>"尚未調查"</formula>
    </cfRule>
  </conditionalFormatting>
  <conditionalFormatting sqref="R901:R918 R921:R924">
    <cfRule type="cellIs" dxfId="8127" priority="12573" operator="greaterThanOrEqual">
      <formula>600</formula>
    </cfRule>
  </conditionalFormatting>
  <conditionalFormatting sqref="R901:R918 R921:R924">
    <cfRule type="cellIs" dxfId="8126" priority="12574" operator="greaterThanOrEqual">
      <formula>260</formula>
    </cfRule>
  </conditionalFormatting>
  <conditionalFormatting sqref="S901:S918 S921:S924">
    <cfRule type="containsText" dxfId="8125" priority="12575" operator="containsText" text="&lt;">
      <formula>NOT(ISERROR(SEARCH(("&lt;"),(S901))))</formula>
    </cfRule>
  </conditionalFormatting>
  <conditionalFormatting sqref="S901:S918 S921:S924">
    <cfRule type="containsText" dxfId="8124" priority="12576" operator="containsText" text="ND">
      <formula>NOT(ISERROR(SEARCH(("ND"),(S901))))</formula>
    </cfRule>
  </conditionalFormatting>
  <conditionalFormatting sqref="S901:S918 S921:S924">
    <cfRule type="cellIs" dxfId="8123" priority="12577" operator="greaterThanOrEqual">
      <formula>200</formula>
    </cfRule>
  </conditionalFormatting>
  <conditionalFormatting sqref="S901:S918 S921:S924">
    <cfRule type="cellIs" dxfId="8122" priority="12578" operator="greaterThanOrEqual">
      <formula>130</formula>
    </cfRule>
  </conditionalFormatting>
  <conditionalFormatting sqref="N901:N918 N921:N924">
    <cfRule type="cellIs" dxfId="8121" priority="12579" operator="greaterThanOrEqual">
      <formula>200</formula>
    </cfRule>
  </conditionalFormatting>
  <conditionalFormatting sqref="N901:N918 N921:N924">
    <cfRule type="cellIs" dxfId="8120" priority="12580" operator="greaterThanOrEqual">
      <formula>120</formula>
    </cfRule>
  </conditionalFormatting>
  <conditionalFormatting sqref="O901:O918 O921:O924">
    <cfRule type="containsText" dxfId="8119" priority="12581" operator="containsText" text="ND">
      <formula>NOT(ISERROR(SEARCH(("ND"),(O901))))</formula>
    </cfRule>
  </conditionalFormatting>
  <conditionalFormatting sqref="O901:O918 O921:O924">
    <cfRule type="cellIs" dxfId="8118" priority="12582" operator="greaterThanOrEqual">
      <formula>250</formula>
    </cfRule>
  </conditionalFormatting>
  <conditionalFormatting sqref="O901:O918 O921:O924">
    <cfRule type="cellIs" dxfId="8117" priority="12583" operator="greaterThanOrEqual">
      <formula>175</formula>
    </cfRule>
  </conditionalFormatting>
  <conditionalFormatting sqref="P901:P918 P921:P924">
    <cfRule type="containsText" dxfId="8116" priority="12584" operator="containsText" text="ND">
      <formula>NOT(ISERROR(SEARCH(("ND"),(P901))))</formula>
    </cfRule>
  </conditionalFormatting>
  <conditionalFormatting sqref="P901:P918 P921:P924">
    <cfRule type="cellIs" dxfId="8115" priority="12585" operator="greaterThanOrEqual">
      <formula>5</formula>
    </cfRule>
  </conditionalFormatting>
  <conditionalFormatting sqref="P901:P918 P921:P924">
    <cfRule type="cellIs" dxfId="8114" priority="12586" operator="greaterThanOrEqual">
      <formula>2.5</formula>
    </cfRule>
  </conditionalFormatting>
  <conditionalFormatting sqref="Q901:Q918 Q921:Q924">
    <cfRule type="containsText" dxfId="8113" priority="12587" operator="containsText" text="ND">
      <formula>NOT(ISERROR(SEARCH(("ND"),(Q901))))</formula>
    </cfRule>
  </conditionalFormatting>
  <conditionalFormatting sqref="Q901:Q918 Q921:Q924">
    <cfRule type="cellIs" dxfId="8112" priority="12588" operator="greaterThanOrEqual">
      <formula>500</formula>
    </cfRule>
  </conditionalFormatting>
  <conditionalFormatting sqref="Q901:Q918 Q921:Q924">
    <cfRule type="cellIs" dxfId="8111" priority="12589" operator="greaterThanOrEqual">
      <formula>300</formula>
    </cfRule>
  </conditionalFormatting>
  <conditionalFormatting sqref="R900">
    <cfRule type="cellIs" dxfId="8110" priority="12559" operator="greaterThanOrEqual">
      <formula>600</formula>
    </cfRule>
  </conditionalFormatting>
  <conditionalFormatting sqref="R900">
    <cfRule type="cellIs" dxfId="8109" priority="12560" operator="greaterThanOrEqual">
      <formula>260</formula>
    </cfRule>
  </conditionalFormatting>
  <conditionalFormatting sqref="S900">
    <cfRule type="containsText" dxfId="8108" priority="12561" operator="containsText" text="&lt;">
      <formula>NOT(ISERROR(SEARCH(("&lt;"),(S900))))</formula>
    </cfRule>
  </conditionalFormatting>
  <conditionalFormatting sqref="S900">
    <cfRule type="containsText" dxfId="8107" priority="12562" operator="containsText" text="ND">
      <formula>NOT(ISERROR(SEARCH(("ND"),(S900))))</formula>
    </cfRule>
  </conditionalFormatting>
  <conditionalFormatting sqref="S900">
    <cfRule type="cellIs" dxfId="8106" priority="12563" operator="greaterThanOrEqual">
      <formula>200</formula>
    </cfRule>
  </conditionalFormatting>
  <conditionalFormatting sqref="S900">
    <cfRule type="cellIs" dxfId="8105" priority="12564" operator="greaterThanOrEqual">
      <formula>130</formula>
    </cfRule>
  </conditionalFormatting>
  <conditionalFormatting sqref="N900">
    <cfRule type="cellIs" dxfId="8104" priority="12565" operator="greaterThanOrEqual">
      <formula>200</formula>
    </cfRule>
  </conditionalFormatting>
  <conditionalFormatting sqref="N900">
    <cfRule type="cellIs" dxfId="8103" priority="12566" operator="greaterThanOrEqual">
      <formula>120</formula>
    </cfRule>
  </conditionalFormatting>
  <conditionalFormatting sqref="O900">
    <cfRule type="containsText" dxfId="8102" priority="12567" operator="containsText" text="ND">
      <formula>NOT(ISERROR(SEARCH(("ND"),(O900))))</formula>
    </cfRule>
  </conditionalFormatting>
  <conditionalFormatting sqref="O900">
    <cfRule type="cellIs" dxfId="8101" priority="12568" operator="greaterThanOrEqual">
      <formula>250</formula>
    </cfRule>
  </conditionalFormatting>
  <conditionalFormatting sqref="O900">
    <cfRule type="cellIs" dxfId="8100" priority="12569" operator="greaterThanOrEqual">
      <formula>175</formula>
    </cfRule>
  </conditionalFormatting>
  <conditionalFormatting sqref="Q900">
    <cfRule type="containsText" dxfId="8099" priority="12570" operator="containsText" text="ND">
      <formula>NOT(ISERROR(SEARCH(("ND"),(Q900))))</formula>
    </cfRule>
  </conditionalFormatting>
  <conditionalFormatting sqref="Q900">
    <cfRule type="cellIs" dxfId="8098" priority="12571" operator="greaterThanOrEqual">
      <formula>500</formula>
    </cfRule>
  </conditionalFormatting>
  <conditionalFormatting sqref="Q900">
    <cfRule type="cellIs" dxfId="8097" priority="12572" operator="greaterThanOrEqual">
      <formula>300</formula>
    </cfRule>
  </conditionalFormatting>
  <conditionalFormatting sqref="P900">
    <cfRule type="containsText" dxfId="8096" priority="12556" operator="containsText" text="ND">
      <formula>NOT(ISERROR(SEARCH(("ND"),(P900))))</formula>
    </cfRule>
  </conditionalFormatting>
  <conditionalFormatting sqref="P900">
    <cfRule type="cellIs" dxfId="8095" priority="12557" operator="greaterThanOrEqual">
      <formula>5</formula>
    </cfRule>
  </conditionalFormatting>
  <conditionalFormatting sqref="P900">
    <cfRule type="cellIs" dxfId="8094" priority="12558" operator="greaterThanOrEqual">
      <formula>2.5</formula>
    </cfRule>
  </conditionalFormatting>
  <conditionalFormatting sqref="V1533:V1538">
    <cfRule type="cellIs" dxfId="8093" priority="12555" operator="equal">
      <formula>"延長"</formula>
    </cfRule>
  </conditionalFormatting>
  <conditionalFormatting sqref="V1533:V1538">
    <cfRule type="cellIs" dxfId="8092" priority="12551" operator="equal">
      <formula>"退場"</formula>
    </cfRule>
    <cfRule type="cellIs" dxfId="8091" priority="12552" operator="equal">
      <formula>"持續"</formula>
    </cfRule>
    <cfRule type="cellIs" dxfId="8090" priority="12553" operator="equal">
      <formula>"延長"</formula>
    </cfRule>
    <cfRule type="cellIs" dxfId="8089" priority="12554" operator="equal">
      <formula>"尚未調查"</formula>
    </cfRule>
  </conditionalFormatting>
  <conditionalFormatting sqref="V900:V918">
    <cfRule type="cellIs" dxfId="8088" priority="12532" operator="equal">
      <formula>"退場"</formula>
    </cfRule>
    <cfRule type="cellIs" dxfId="8087" priority="12533" operator="equal">
      <formula>"持續"</formula>
    </cfRule>
    <cfRule type="cellIs" dxfId="8086" priority="12534" operator="equal">
      <formula>"延長"</formula>
    </cfRule>
    <cfRule type="cellIs" dxfId="8085" priority="12535" operator="equal">
      <formula>"尚未調查"</formula>
    </cfRule>
  </conditionalFormatting>
  <conditionalFormatting sqref="V921:V924">
    <cfRule type="cellIs" dxfId="8084" priority="12528" operator="equal">
      <formula>"退場"</formula>
    </cfRule>
    <cfRule type="cellIs" dxfId="8083" priority="12529" operator="equal">
      <formula>"持續"</formula>
    </cfRule>
    <cfRule type="cellIs" dxfId="8082" priority="12530" operator="equal">
      <formula>"延長"</formula>
    </cfRule>
    <cfRule type="cellIs" dxfId="8081" priority="12531" operator="equal">
      <formula>"尚未調查"</formula>
    </cfRule>
  </conditionalFormatting>
  <conditionalFormatting sqref="V212:V232 V234:V237">
    <cfRule type="cellIs" dxfId="8080" priority="12527" operator="equal">
      <formula>"延長"</formula>
    </cfRule>
  </conditionalFormatting>
  <conditionalFormatting sqref="V212:V232 V234:V237">
    <cfRule type="cellIs" dxfId="8079" priority="12523" operator="equal">
      <formula>"退場"</formula>
    </cfRule>
    <cfRule type="cellIs" dxfId="8078" priority="12524" operator="equal">
      <formula>"持續"</formula>
    </cfRule>
    <cfRule type="cellIs" dxfId="8077" priority="12525" operator="equal">
      <formula>"延長"</formula>
    </cfRule>
    <cfRule type="cellIs" dxfId="8076" priority="12526" operator="equal">
      <formula>"尚未調查"</formula>
    </cfRule>
  </conditionalFormatting>
  <conditionalFormatting sqref="V925:V927">
    <cfRule type="cellIs" dxfId="8075" priority="12340" operator="equal">
      <formula>"退場"</formula>
    </cfRule>
    <cfRule type="cellIs" dxfId="8074" priority="12341" operator="equal">
      <formula>"持續"</formula>
    </cfRule>
    <cfRule type="cellIs" dxfId="8073" priority="12342" operator="equal">
      <formula>"延長"</formula>
    </cfRule>
    <cfRule type="cellIs" dxfId="8072" priority="12343" operator="equal">
      <formula>"尚未調查"</formula>
    </cfRule>
  </conditionalFormatting>
  <conditionalFormatting sqref="V928:V945">
    <cfRule type="cellIs" dxfId="8071" priority="12336" operator="equal">
      <formula>"退場"</formula>
    </cfRule>
    <cfRule type="cellIs" dxfId="8070" priority="12337" operator="equal">
      <formula>"持續"</formula>
    </cfRule>
    <cfRule type="cellIs" dxfId="8069" priority="12338" operator="equal">
      <formula>"延長"</formula>
    </cfRule>
    <cfRule type="cellIs" dxfId="8068" priority="12339" operator="equal">
      <formula>"尚未調查"</formula>
    </cfRule>
  </conditionalFormatting>
  <conditionalFormatting sqref="V1400">
    <cfRule type="cellIs" dxfId="8067" priority="12224" operator="equal">
      <formula>"退場"</formula>
    </cfRule>
    <cfRule type="cellIs" dxfId="8066" priority="12225" operator="equal">
      <formula>"持續"</formula>
    </cfRule>
    <cfRule type="cellIs" dxfId="8065" priority="12226" operator="equal">
      <formula>"延長"</formula>
    </cfRule>
    <cfRule type="cellIs" dxfId="8064" priority="12227" operator="equal">
      <formula>"尚未調查"</formula>
    </cfRule>
  </conditionalFormatting>
  <conditionalFormatting sqref="V211">
    <cfRule type="cellIs" dxfId="8063" priority="12215" operator="equal">
      <formula>"退場"</formula>
    </cfRule>
    <cfRule type="cellIs" dxfId="8062" priority="12216" operator="equal">
      <formula>"持續"</formula>
    </cfRule>
    <cfRule type="cellIs" dxfId="8061" priority="12217" operator="equal">
      <formula>"延長"</formula>
    </cfRule>
    <cfRule type="cellIs" dxfId="8060" priority="12218" operator="equal">
      <formula>"尚未調查"</formula>
    </cfRule>
  </conditionalFormatting>
  <conditionalFormatting sqref="V959:V963">
    <cfRule type="cellIs" dxfId="8059" priority="12210" operator="equal">
      <formula>"退場"</formula>
    </cfRule>
    <cfRule type="cellIs" dxfId="8058" priority="12211" operator="equal">
      <formula>"持續"</formula>
    </cfRule>
    <cfRule type="cellIs" dxfId="8057" priority="12212" operator="equal">
      <formula>"延長"</formula>
    </cfRule>
    <cfRule type="cellIs" dxfId="8056" priority="12213" operator="equal">
      <formula>"尚未調查"</formula>
    </cfRule>
  </conditionalFormatting>
  <conditionalFormatting sqref="P964 L964">
    <cfRule type="cellIs" dxfId="8055" priority="12193" operator="greaterThanOrEqual">
      <formula>5</formula>
    </cfRule>
  </conditionalFormatting>
  <conditionalFormatting sqref="L964">
    <cfRule type="cellIs" dxfId="8054" priority="12194" operator="greaterThanOrEqual">
      <formula>2</formula>
    </cfRule>
  </conditionalFormatting>
  <conditionalFormatting sqref="M964">
    <cfRule type="cellIs" dxfId="8053" priority="12195" operator="greaterThanOrEqual">
      <formula>60</formula>
    </cfRule>
  </conditionalFormatting>
  <conditionalFormatting sqref="M964">
    <cfRule type="cellIs" dxfId="8052" priority="12196" operator="greaterThanOrEqual">
      <formula>30</formula>
    </cfRule>
  </conditionalFormatting>
  <conditionalFormatting sqref="R964">
    <cfRule type="cellIs" dxfId="8051" priority="12197" operator="greaterThanOrEqual">
      <formula>600</formula>
    </cfRule>
  </conditionalFormatting>
  <conditionalFormatting sqref="R964">
    <cfRule type="cellIs" dxfId="8050" priority="12198" operator="greaterThanOrEqual">
      <formula>260</formula>
    </cfRule>
  </conditionalFormatting>
  <conditionalFormatting sqref="S964">
    <cfRule type="containsText" dxfId="8049" priority="12199" operator="containsText" text="&lt;">
      <formula>NOT(ISERROR(SEARCH(("&lt;"),(S964))))</formula>
    </cfRule>
  </conditionalFormatting>
  <conditionalFormatting sqref="S964">
    <cfRule type="containsText" dxfId="8048" priority="12200" operator="containsText" text="ND">
      <formula>NOT(ISERROR(SEARCH(("ND"),(S964))))</formula>
    </cfRule>
  </conditionalFormatting>
  <conditionalFormatting sqref="N964 S964">
    <cfRule type="cellIs" dxfId="8047" priority="12201" operator="greaterThanOrEqual">
      <formula>200</formula>
    </cfRule>
  </conditionalFormatting>
  <conditionalFormatting sqref="S964">
    <cfRule type="cellIs" dxfId="8046" priority="12202" operator="greaterThanOrEqual">
      <formula>130</formula>
    </cfRule>
  </conditionalFormatting>
  <conditionalFormatting sqref="N964">
    <cfRule type="cellIs" dxfId="8045" priority="12203" operator="greaterThanOrEqual">
      <formula>120</formula>
    </cfRule>
  </conditionalFormatting>
  <conditionalFormatting sqref="O964:Q964">
    <cfRule type="containsText" dxfId="8044" priority="12204" operator="containsText" text="ND">
      <formula>NOT(ISERROR(SEARCH(("ND"),(O964))))</formula>
    </cfRule>
  </conditionalFormatting>
  <conditionalFormatting sqref="O964">
    <cfRule type="cellIs" dxfId="8043" priority="12205" operator="greaterThanOrEqual">
      <formula>250</formula>
    </cfRule>
  </conditionalFormatting>
  <conditionalFormatting sqref="O964">
    <cfRule type="cellIs" dxfId="8042" priority="12206" operator="greaterThanOrEqual">
      <formula>175</formula>
    </cfRule>
  </conditionalFormatting>
  <conditionalFormatting sqref="P964">
    <cfRule type="cellIs" dxfId="8041" priority="12207" operator="greaterThanOrEqual">
      <formula>2.5</formula>
    </cfRule>
  </conditionalFormatting>
  <conditionalFormatting sqref="Q964">
    <cfRule type="cellIs" dxfId="8040" priority="12208" operator="greaterThanOrEqual">
      <formula>500</formula>
    </cfRule>
  </conditionalFormatting>
  <conditionalFormatting sqref="Q964">
    <cfRule type="cellIs" dxfId="8039" priority="12209" operator="greaterThanOrEqual">
      <formula>300</formula>
    </cfRule>
  </conditionalFormatting>
  <conditionalFormatting sqref="V964">
    <cfRule type="cellIs" dxfId="8038" priority="12181" operator="equal">
      <formula>"退場"</formula>
    </cfRule>
    <cfRule type="cellIs" dxfId="8037" priority="12182" operator="equal">
      <formula>"持續"</formula>
    </cfRule>
    <cfRule type="cellIs" dxfId="8036" priority="12183" operator="equal">
      <formula>"延長"</formula>
    </cfRule>
    <cfRule type="cellIs" dxfId="8035" priority="12184" operator="equal">
      <formula>"尚未調查"</formula>
    </cfRule>
  </conditionalFormatting>
  <conditionalFormatting sqref="V1539">
    <cfRule type="cellIs" dxfId="8034" priority="12034" operator="equal">
      <formula>"延長"</formula>
    </cfRule>
  </conditionalFormatting>
  <conditionalFormatting sqref="V1539">
    <cfRule type="cellIs" dxfId="8033" priority="12030" operator="equal">
      <formula>"退場"</formula>
    </cfRule>
    <cfRule type="cellIs" dxfId="8032" priority="12031" operator="equal">
      <formula>"持續"</formula>
    </cfRule>
    <cfRule type="cellIs" dxfId="8031" priority="12032" operator="equal">
      <formula>"延長"</formula>
    </cfRule>
    <cfRule type="cellIs" dxfId="8030" priority="12033" operator="equal">
      <formula>"尚未調查"</formula>
    </cfRule>
  </conditionalFormatting>
  <conditionalFormatting sqref="V993:V997">
    <cfRule type="cellIs" dxfId="8029" priority="12023" operator="equal">
      <formula>"退場"</formula>
    </cfRule>
    <cfRule type="cellIs" dxfId="8028" priority="12024" operator="equal">
      <formula>"持續"</formula>
    </cfRule>
    <cfRule type="cellIs" dxfId="8027" priority="12025" operator="equal">
      <formula>"延長"</formula>
    </cfRule>
    <cfRule type="cellIs" dxfId="8026" priority="12026" operator="equal">
      <formula>"尚未調查"</formula>
    </cfRule>
  </conditionalFormatting>
  <conditionalFormatting sqref="V971:V979">
    <cfRule type="cellIs" dxfId="8025" priority="12019" operator="equal">
      <formula>"退場"</formula>
    </cfRule>
    <cfRule type="cellIs" dxfId="8024" priority="12020" operator="equal">
      <formula>"持續"</formula>
    </cfRule>
    <cfRule type="cellIs" dxfId="8023" priority="12021" operator="equal">
      <formula>"延長"</formula>
    </cfRule>
    <cfRule type="cellIs" dxfId="8022" priority="12022" operator="equal">
      <formula>"尚未調查"</formula>
    </cfRule>
  </conditionalFormatting>
  <conditionalFormatting sqref="V999:V1000">
    <cfRule type="cellIs" dxfId="8021" priority="12015" operator="equal">
      <formula>"退場"</formula>
    </cfRule>
    <cfRule type="cellIs" dxfId="8020" priority="12016" operator="equal">
      <formula>"持續"</formula>
    </cfRule>
    <cfRule type="cellIs" dxfId="8019" priority="12017" operator="equal">
      <formula>"延長"</formula>
    </cfRule>
    <cfRule type="cellIs" dxfId="8018" priority="12018" operator="equal">
      <formula>"尚未調查"</formula>
    </cfRule>
  </conditionalFormatting>
  <conditionalFormatting sqref="V1005:V1010">
    <cfRule type="cellIs" dxfId="8017" priority="12011" operator="equal">
      <formula>"退場"</formula>
    </cfRule>
    <cfRule type="cellIs" dxfId="8016" priority="12012" operator="equal">
      <formula>"持續"</formula>
    </cfRule>
    <cfRule type="cellIs" dxfId="8015" priority="12013" operator="equal">
      <formula>"延長"</formula>
    </cfRule>
    <cfRule type="cellIs" dxfId="8014" priority="12014" operator="equal">
      <formula>"尚未調查"</formula>
    </cfRule>
  </conditionalFormatting>
  <conditionalFormatting sqref="V1001:V1003">
    <cfRule type="cellIs" dxfId="8013" priority="12007" operator="equal">
      <formula>"退場"</formula>
    </cfRule>
    <cfRule type="cellIs" dxfId="8012" priority="12008" operator="equal">
      <formula>"持續"</formula>
    </cfRule>
    <cfRule type="cellIs" dxfId="8011" priority="12009" operator="equal">
      <formula>"延長"</formula>
    </cfRule>
    <cfRule type="cellIs" dxfId="8010" priority="12010" operator="equal">
      <formula>"尚未調查"</formula>
    </cfRule>
  </conditionalFormatting>
  <conditionalFormatting sqref="V281:V294">
    <cfRule type="cellIs" dxfId="8009" priority="12006" operator="equal">
      <formula>"延長"</formula>
    </cfRule>
  </conditionalFormatting>
  <conditionalFormatting sqref="V281:V294">
    <cfRule type="cellIs" dxfId="8008" priority="12002" operator="equal">
      <formula>"退場"</formula>
    </cfRule>
    <cfRule type="cellIs" dxfId="8007" priority="12003" operator="equal">
      <formula>"持續"</formula>
    </cfRule>
    <cfRule type="cellIs" dxfId="8006" priority="12004" operator="equal">
      <formula>"延長"</formula>
    </cfRule>
    <cfRule type="cellIs" dxfId="8005" priority="12005" operator="equal">
      <formula>"尚未調查"</formula>
    </cfRule>
  </conditionalFormatting>
  <conditionalFormatting sqref="V1004">
    <cfRule type="cellIs" dxfId="8004" priority="11998" operator="equal">
      <formula>"退場"</formula>
    </cfRule>
    <cfRule type="cellIs" dxfId="8003" priority="11999" operator="equal">
      <formula>"持續"</formula>
    </cfRule>
    <cfRule type="cellIs" dxfId="8002" priority="12000" operator="equal">
      <formula>"延長"</formula>
    </cfRule>
    <cfRule type="cellIs" dxfId="8001" priority="12001" operator="equal">
      <formula>"尚未調查"</formula>
    </cfRule>
  </conditionalFormatting>
  <conditionalFormatting sqref="V1401:V1406">
    <cfRule type="cellIs" dxfId="8000" priority="11994" operator="equal">
      <formula>"退場"</formula>
    </cfRule>
    <cfRule type="cellIs" dxfId="7999" priority="11995" operator="equal">
      <formula>"持續"</formula>
    </cfRule>
    <cfRule type="cellIs" dxfId="7998" priority="11996" operator="equal">
      <formula>"延長"</formula>
    </cfRule>
    <cfRule type="cellIs" dxfId="7997" priority="11997" operator="equal">
      <formula>"尚未調查"</formula>
    </cfRule>
  </conditionalFormatting>
  <conditionalFormatting sqref="V919">
    <cfRule type="cellIs" dxfId="7996" priority="11961" operator="equal">
      <formula>"退場"</formula>
    </cfRule>
    <cfRule type="cellIs" dxfId="7995" priority="11962" operator="equal">
      <formula>"持續"</formula>
    </cfRule>
    <cfRule type="cellIs" dxfId="7994" priority="11963" operator="equal">
      <formula>"延長"</formula>
    </cfRule>
    <cfRule type="cellIs" dxfId="7993" priority="11964" operator="equal">
      <formula>"尚未調查"</formula>
    </cfRule>
  </conditionalFormatting>
  <conditionalFormatting sqref="V980:V981">
    <cfRule type="cellIs" dxfId="7992" priority="11944" operator="equal">
      <formula>"退場"</formula>
    </cfRule>
    <cfRule type="cellIs" dxfId="7991" priority="11945" operator="equal">
      <formula>"持續"</formula>
    </cfRule>
    <cfRule type="cellIs" dxfId="7990" priority="11946" operator="equal">
      <formula>"延長"</formula>
    </cfRule>
    <cfRule type="cellIs" dxfId="7989" priority="11947" operator="equal">
      <formula>"尚未調查"</formula>
    </cfRule>
  </conditionalFormatting>
  <conditionalFormatting sqref="V1407:V1409">
    <cfRule type="cellIs" dxfId="7988" priority="11930" operator="equal">
      <formula>"退場"</formula>
    </cfRule>
    <cfRule type="cellIs" dxfId="7987" priority="11931" operator="equal">
      <formula>"持續"</formula>
    </cfRule>
    <cfRule type="cellIs" dxfId="7986" priority="11932" operator="equal">
      <formula>"延長"</formula>
    </cfRule>
    <cfRule type="cellIs" dxfId="7985" priority="11933" operator="equal">
      <formula>"尚未調查"</formula>
    </cfRule>
  </conditionalFormatting>
  <conditionalFormatting sqref="V1411:V1412">
    <cfRule type="cellIs" dxfId="7984" priority="11918" operator="equal">
      <formula>"退場"</formula>
    </cfRule>
    <cfRule type="cellIs" dxfId="7983" priority="11919" operator="equal">
      <formula>"持續"</formula>
    </cfRule>
    <cfRule type="cellIs" dxfId="7982" priority="11920" operator="equal">
      <formula>"延長"</formula>
    </cfRule>
    <cfRule type="cellIs" dxfId="7981" priority="11921" operator="equal">
      <formula>"尚未調查"</formula>
    </cfRule>
  </conditionalFormatting>
  <conditionalFormatting sqref="V1011">
    <cfRule type="cellIs" dxfId="7980" priority="11550" operator="equal">
      <formula>"退場"</formula>
    </cfRule>
    <cfRule type="cellIs" dxfId="7979" priority="11551" operator="equal">
      <formula>"持續"</formula>
    </cfRule>
    <cfRule type="cellIs" dxfId="7978" priority="11552" operator="equal">
      <formula>"延長"</formula>
    </cfRule>
    <cfRule type="cellIs" dxfId="7977" priority="11553" operator="equal">
      <formula>"尚未調查"</formula>
    </cfRule>
  </conditionalFormatting>
  <conditionalFormatting sqref="V1413:V1419">
    <cfRule type="cellIs" dxfId="7976" priority="11546" operator="equal">
      <formula>"退場"</formula>
    </cfRule>
    <cfRule type="cellIs" dxfId="7975" priority="11547" operator="equal">
      <formula>"持續"</formula>
    </cfRule>
    <cfRule type="cellIs" dxfId="7974" priority="11548" operator="equal">
      <formula>"延長"</formula>
    </cfRule>
    <cfRule type="cellIs" dxfId="7973" priority="11549" operator="equal">
      <formula>"尚未調查"</formula>
    </cfRule>
  </conditionalFormatting>
  <conditionalFormatting sqref="V1012:V1024">
    <cfRule type="cellIs" dxfId="7972" priority="11525" operator="equal">
      <formula>"退場"</formula>
    </cfRule>
    <cfRule type="cellIs" dxfId="7971" priority="11526" operator="equal">
      <formula>"持續"</formula>
    </cfRule>
    <cfRule type="cellIs" dxfId="7970" priority="11527" operator="equal">
      <formula>"延長"</formula>
    </cfRule>
    <cfRule type="cellIs" dxfId="7969" priority="11528" operator="equal">
      <formula>"尚未調查"</formula>
    </cfRule>
  </conditionalFormatting>
  <conditionalFormatting sqref="V1540">
    <cfRule type="cellIs" dxfId="7968" priority="11523" operator="equal">
      <formula>"延長"</formula>
    </cfRule>
  </conditionalFormatting>
  <conditionalFormatting sqref="V1540">
    <cfRule type="cellIs" dxfId="7967" priority="11519" operator="equal">
      <formula>"退場"</formula>
    </cfRule>
    <cfRule type="cellIs" dxfId="7966" priority="11520" operator="equal">
      <formula>"持續"</formula>
    </cfRule>
    <cfRule type="cellIs" dxfId="7965" priority="11521" operator="equal">
      <formula>"延長"</formula>
    </cfRule>
    <cfRule type="cellIs" dxfId="7964" priority="11522" operator="equal">
      <formula>"尚未調查"</formula>
    </cfRule>
  </conditionalFormatting>
  <conditionalFormatting sqref="V1420:V1423">
    <cfRule type="cellIs" dxfId="7963" priority="11512" operator="equal">
      <formula>"退場"</formula>
    </cfRule>
    <cfRule type="cellIs" dxfId="7962" priority="11513" operator="equal">
      <formula>"持續"</formula>
    </cfRule>
    <cfRule type="cellIs" dxfId="7961" priority="11514" operator="equal">
      <formula>"延長"</formula>
    </cfRule>
    <cfRule type="cellIs" dxfId="7960" priority="11515" operator="equal">
      <formula>"尚未調查"</formula>
    </cfRule>
  </conditionalFormatting>
  <conditionalFormatting sqref="V1424:V1428">
    <cfRule type="cellIs" dxfId="7959" priority="11508" operator="equal">
      <formula>"退場"</formula>
    </cfRule>
    <cfRule type="cellIs" dxfId="7958" priority="11509" operator="equal">
      <formula>"持續"</formula>
    </cfRule>
    <cfRule type="cellIs" dxfId="7957" priority="11510" operator="equal">
      <formula>"延長"</formula>
    </cfRule>
    <cfRule type="cellIs" dxfId="7956" priority="11511" operator="equal">
      <formula>"尚未調查"</formula>
    </cfRule>
  </conditionalFormatting>
  <conditionalFormatting sqref="V1429:V1430">
    <cfRule type="cellIs" dxfId="7955" priority="11500" operator="equal">
      <formula>"退場"</formula>
    </cfRule>
    <cfRule type="cellIs" dxfId="7954" priority="11501" operator="equal">
      <formula>"持續"</formula>
    </cfRule>
    <cfRule type="cellIs" dxfId="7953" priority="11502" operator="equal">
      <formula>"延長"</formula>
    </cfRule>
    <cfRule type="cellIs" dxfId="7952" priority="11503" operator="equal">
      <formula>"尚未調查"</formula>
    </cfRule>
  </conditionalFormatting>
  <conditionalFormatting sqref="V295:V298">
    <cfRule type="cellIs" dxfId="7951" priority="11494" operator="equal">
      <formula>"延長"</formula>
    </cfRule>
  </conditionalFormatting>
  <conditionalFormatting sqref="V295:V298">
    <cfRule type="cellIs" dxfId="7950" priority="11490" operator="equal">
      <formula>"退場"</formula>
    </cfRule>
    <cfRule type="cellIs" dxfId="7949" priority="11491" operator="equal">
      <formula>"持續"</formula>
    </cfRule>
    <cfRule type="cellIs" dxfId="7948" priority="11492" operator="equal">
      <formula>"延長"</formula>
    </cfRule>
    <cfRule type="cellIs" dxfId="7947" priority="11493" operator="equal">
      <formula>"尚未調查"</formula>
    </cfRule>
  </conditionalFormatting>
  <conditionalFormatting sqref="V1541">
    <cfRule type="cellIs" dxfId="7946" priority="11488" operator="equal">
      <formula>"延長"</formula>
    </cfRule>
  </conditionalFormatting>
  <conditionalFormatting sqref="V1541">
    <cfRule type="cellIs" dxfId="7945" priority="11484" operator="equal">
      <formula>"退場"</formula>
    </cfRule>
    <cfRule type="cellIs" dxfId="7944" priority="11485" operator="equal">
      <formula>"持續"</formula>
    </cfRule>
    <cfRule type="cellIs" dxfId="7943" priority="11486" operator="equal">
      <formula>"延長"</formula>
    </cfRule>
    <cfRule type="cellIs" dxfId="7942" priority="11487" operator="equal">
      <formula>"尚未調查"</formula>
    </cfRule>
  </conditionalFormatting>
  <conditionalFormatting sqref="V299:V300">
    <cfRule type="cellIs" dxfId="7941" priority="11483" operator="equal">
      <formula>"延長"</formula>
    </cfRule>
  </conditionalFormatting>
  <conditionalFormatting sqref="V299:V300">
    <cfRule type="cellIs" dxfId="7940" priority="11479" operator="equal">
      <formula>"退場"</formula>
    </cfRule>
    <cfRule type="cellIs" dxfId="7939" priority="11480" operator="equal">
      <formula>"持續"</formula>
    </cfRule>
    <cfRule type="cellIs" dxfId="7938" priority="11481" operator="equal">
      <formula>"延長"</formula>
    </cfRule>
    <cfRule type="cellIs" dxfId="7937" priority="11482" operator="equal">
      <formula>"尚未調查"</formula>
    </cfRule>
  </conditionalFormatting>
  <conditionalFormatting sqref="V1542:V1543">
    <cfRule type="cellIs" dxfId="7936" priority="11476" operator="equal">
      <formula>"延長"</formula>
    </cfRule>
  </conditionalFormatting>
  <conditionalFormatting sqref="V1542:V1543">
    <cfRule type="cellIs" dxfId="7935" priority="11472" operator="equal">
      <formula>"退場"</formula>
    </cfRule>
    <cfRule type="cellIs" dxfId="7934" priority="11473" operator="equal">
      <formula>"持續"</formula>
    </cfRule>
    <cfRule type="cellIs" dxfId="7933" priority="11474" operator="equal">
      <formula>"延長"</formula>
    </cfRule>
    <cfRule type="cellIs" dxfId="7932" priority="11475" operator="equal">
      <formula>"尚未調查"</formula>
    </cfRule>
  </conditionalFormatting>
  <conditionalFormatting sqref="V301:V302">
    <cfRule type="cellIs" dxfId="7931" priority="11470" operator="equal">
      <formula>"延長"</formula>
    </cfRule>
  </conditionalFormatting>
  <conditionalFormatting sqref="V301:V302">
    <cfRule type="cellIs" dxfId="7930" priority="11466" operator="equal">
      <formula>"退場"</formula>
    </cfRule>
    <cfRule type="cellIs" dxfId="7929" priority="11467" operator="equal">
      <formula>"持續"</formula>
    </cfRule>
    <cfRule type="cellIs" dxfId="7928" priority="11468" operator="equal">
      <formula>"延長"</formula>
    </cfRule>
    <cfRule type="cellIs" dxfId="7927" priority="11469" operator="equal">
      <formula>"尚未調查"</formula>
    </cfRule>
  </conditionalFormatting>
  <conditionalFormatting sqref="V1026:V1027">
    <cfRule type="cellIs" dxfId="7926" priority="11456" operator="equal">
      <formula>"退場"</formula>
    </cfRule>
    <cfRule type="cellIs" dxfId="7925" priority="11457" operator="equal">
      <formula>"持續"</formula>
    </cfRule>
    <cfRule type="cellIs" dxfId="7924" priority="11458" operator="equal">
      <formula>"延長"</formula>
    </cfRule>
    <cfRule type="cellIs" dxfId="7923" priority="11459" operator="equal">
      <formula>"尚未調查"</formula>
    </cfRule>
  </conditionalFormatting>
  <conditionalFormatting sqref="V308:V312">
    <cfRule type="cellIs" dxfId="7922" priority="11455" operator="equal">
      <formula>"延長"</formula>
    </cfRule>
  </conditionalFormatting>
  <conditionalFormatting sqref="V308:V312">
    <cfRule type="cellIs" dxfId="7921" priority="11451" operator="equal">
      <formula>"退場"</formula>
    </cfRule>
    <cfRule type="cellIs" dxfId="7920" priority="11452" operator="equal">
      <formula>"持續"</formula>
    </cfRule>
    <cfRule type="cellIs" dxfId="7919" priority="11453" operator="equal">
      <formula>"延長"</formula>
    </cfRule>
    <cfRule type="cellIs" dxfId="7918" priority="11454" operator="equal">
      <formula>"尚未調查"</formula>
    </cfRule>
  </conditionalFormatting>
  <conditionalFormatting sqref="V1028">
    <cfRule type="cellIs" dxfId="7917" priority="11443" operator="equal">
      <formula>"退場"</formula>
    </cfRule>
    <cfRule type="cellIs" dxfId="7916" priority="11444" operator="equal">
      <formula>"持續"</formula>
    </cfRule>
    <cfRule type="cellIs" dxfId="7915" priority="11445" operator="equal">
      <formula>"延長"</formula>
    </cfRule>
    <cfRule type="cellIs" dxfId="7914" priority="11446" operator="equal">
      <formula>"尚未調查"</formula>
    </cfRule>
  </conditionalFormatting>
  <conditionalFormatting sqref="V313:V317">
    <cfRule type="cellIs" dxfId="7913" priority="11442" operator="equal">
      <formula>"延長"</formula>
    </cfRule>
  </conditionalFormatting>
  <conditionalFormatting sqref="V313:V317">
    <cfRule type="cellIs" dxfId="7912" priority="11438" operator="equal">
      <formula>"退場"</formula>
    </cfRule>
    <cfRule type="cellIs" dxfId="7911" priority="11439" operator="equal">
      <formula>"持續"</formula>
    </cfRule>
    <cfRule type="cellIs" dxfId="7910" priority="11440" operator="equal">
      <formula>"延長"</formula>
    </cfRule>
    <cfRule type="cellIs" dxfId="7909" priority="11441" operator="equal">
      <formula>"尚未調查"</formula>
    </cfRule>
  </conditionalFormatting>
  <conditionalFormatting sqref="V1029:V1035">
    <cfRule type="cellIs" dxfId="7908" priority="11432" operator="equal">
      <formula>"退場"</formula>
    </cfRule>
    <cfRule type="cellIs" dxfId="7907" priority="11433" operator="equal">
      <formula>"持續"</formula>
    </cfRule>
    <cfRule type="cellIs" dxfId="7906" priority="11434" operator="equal">
      <formula>"延長"</formula>
    </cfRule>
    <cfRule type="cellIs" dxfId="7905" priority="11435" operator="equal">
      <formula>"尚未調查"</formula>
    </cfRule>
  </conditionalFormatting>
  <conditionalFormatting sqref="V1025">
    <cfRule type="cellIs" dxfId="7904" priority="11422" operator="equal">
      <formula>"退場"</formula>
    </cfRule>
    <cfRule type="cellIs" dxfId="7903" priority="11423" operator="equal">
      <formula>"持續"</formula>
    </cfRule>
    <cfRule type="cellIs" dxfId="7902" priority="11424" operator="equal">
      <formula>"延長"</formula>
    </cfRule>
    <cfRule type="cellIs" dxfId="7901" priority="11425" operator="equal">
      <formula>"尚未調查"</formula>
    </cfRule>
  </conditionalFormatting>
  <conditionalFormatting sqref="V1036:V1040">
    <cfRule type="cellIs" dxfId="7900" priority="11414" operator="equal">
      <formula>"退場"</formula>
    </cfRule>
    <cfRule type="cellIs" dxfId="7899" priority="11415" operator="equal">
      <formula>"持續"</formula>
    </cfRule>
    <cfRule type="cellIs" dxfId="7898" priority="11416" operator="equal">
      <formula>"延長"</formula>
    </cfRule>
    <cfRule type="cellIs" dxfId="7897" priority="11417" operator="equal">
      <formula>"尚未調查"</formula>
    </cfRule>
  </conditionalFormatting>
  <conditionalFormatting sqref="V1041:V1042">
    <cfRule type="cellIs" dxfId="7896" priority="11409" operator="equal">
      <formula>"退場"</formula>
    </cfRule>
    <cfRule type="cellIs" dxfId="7895" priority="11410" operator="equal">
      <formula>"持續"</formula>
    </cfRule>
    <cfRule type="cellIs" dxfId="7894" priority="11411" operator="equal">
      <formula>"延長"</formula>
    </cfRule>
    <cfRule type="cellIs" dxfId="7893" priority="11412" operator="equal">
      <formula>"尚未調查"</formula>
    </cfRule>
  </conditionalFormatting>
  <conditionalFormatting sqref="V319:V322">
    <cfRule type="cellIs" dxfId="7892" priority="11404" operator="equal">
      <formula>"延長"</formula>
    </cfRule>
  </conditionalFormatting>
  <conditionalFormatting sqref="V319:V322">
    <cfRule type="cellIs" dxfId="7891" priority="11400" operator="equal">
      <formula>"退場"</formula>
    </cfRule>
    <cfRule type="cellIs" dxfId="7890" priority="11401" operator="equal">
      <formula>"持續"</formula>
    </cfRule>
    <cfRule type="cellIs" dxfId="7889" priority="11402" operator="equal">
      <formula>"延長"</formula>
    </cfRule>
    <cfRule type="cellIs" dxfId="7888" priority="11403" operator="equal">
      <formula>"尚未調查"</formula>
    </cfRule>
  </conditionalFormatting>
  <conditionalFormatting sqref="V1043:V1045">
    <cfRule type="cellIs" dxfId="7887" priority="11061" operator="equal">
      <formula>"退場"</formula>
    </cfRule>
    <cfRule type="cellIs" dxfId="7886" priority="11062" operator="equal">
      <formula>"持續"</formula>
    </cfRule>
    <cfRule type="cellIs" dxfId="7885" priority="11063" operator="equal">
      <formula>"延長"</formula>
    </cfRule>
    <cfRule type="cellIs" dxfId="7884" priority="11064" operator="equal">
      <formula>"尚未調查"</formula>
    </cfRule>
  </conditionalFormatting>
  <conditionalFormatting sqref="V1046:V1049">
    <cfRule type="cellIs" dxfId="7883" priority="11053" operator="equal">
      <formula>"退場"</formula>
    </cfRule>
    <cfRule type="cellIs" dxfId="7882" priority="11054" operator="equal">
      <formula>"持續"</formula>
    </cfRule>
    <cfRule type="cellIs" dxfId="7881" priority="11055" operator="equal">
      <formula>"延長"</formula>
    </cfRule>
    <cfRule type="cellIs" dxfId="7880" priority="11056" operator="equal">
      <formula>"尚未調查"</formula>
    </cfRule>
  </conditionalFormatting>
  <conditionalFormatting sqref="V1051:V1052">
    <cfRule type="cellIs" dxfId="7879" priority="11042" operator="equal">
      <formula>"退場"</formula>
    </cfRule>
    <cfRule type="cellIs" dxfId="7878" priority="11043" operator="equal">
      <formula>"持續"</formula>
    </cfRule>
    <cfRule type="cellIs" dxfId="7877" priority="11044" operator="equal">
      <formula>"延長"</formula>
    </cfRule>
    <cfRule type="cellIs" dxfId="7876" priority="11045" operator="equal">
      <formula>"尚未調查"</formula>
    </cfRule>
  </conditionalFormatting>
  <conditionalFormatting sqref="V1431">
    <cfRule type="cellIs" dxfId="7875" priority="11036" operator="equal">
      <formula>"退場"</formula>
    </cfRule>
    <cfRule type="cellIs" dxfId="7874" priority="11037" operator="equal">
      <formula>"持續"</formula>
    </cfRule>
    <cfRule type="cellIs" dxfId="7873" priority="11038" operator="equal">
      <formula>"延長"</formula>
    </cfRule>
    <cfRule type="cellIs" dxfId="7872" priority="11039" operator="equal">
      <formula>"尚未調查"</formula>
    </cfRule>
  </conditionalFormatting>
  <conditionalFormatting sqref="V1432:V1434">
    <cfRule type="cellIs" dxfId="7871" priority="11023" operator="equal">
      <formula>"退場"</formula>
    </cfRule>
    <cfRule type="cellIs" dxfId="7870" priority="11024" operator="equal">
      <formula>"持續"</formula>
    </cfRule>
    <cfRule type="cellIs" dxfId="7869" priority="11025" operator="equal">
      <formula>"延長"</formula>
    </cfRule>
    <cfRule type="cellIs" dxfId="7868" priority="11026" operator="equal">
      <formula>"尚未調查"</formula>
    </cfRule>
  </conditionalFormatting>
  <conditionalFormatting sqref="V1053:V1055">
    <cfRule type="cellIs" dxfId="7867" priority="11017" operator="equal">
      <formula>"退場"</formula>
    </cfRule>
    <cfRule type="cellIs" dxfId="7866" priority="11018" operator="equal">
      <formula>"持續"</formula>
    </cfRule>
    <cfRule type="cellIs" dxfId="7865" priority="11019" operator="equal">
      <formula>"延長"</formula>
    </cfRule>
    <cfRule type="cellIs" dxfId="7864" priority="11020" operator="equal">
      <formula>"尚未調查"</formula>
    </cfRule>
  </conditionalFormatting>
  <conditionalFormatting sqref="V1056:V1057">
    <cfRule type="cellIs" dxfId="7863" priority="11012" operator="equal">
      <formula>"退場"</formula>
    </cfRule>
    <cfRule type="cellIs" dxfId="7862" priority="11013" operator="equal">
      <formula>"持續"</formula>
    </cfRule>
    <cfRule type="cellIs" dxfId="7861" priority="11014" operator="equal">
      <formula>"延長"</formula>
    </cfRule>
    <cfRule type="cellIs" dxfId="7860" priority="11015" operator="equal">
      <formula>"尚未調查"</formula>
    </cfRule>
  </conditionalFormatting>
  <conditionalFormatting sqref="V1050">
    <cfRule type="cellIs" dxfId="7859" priority="11008" operator="equal">
      <formula>"退場"</formula>
    </cfRule>
    <cfRule type="cellIs" dxfId="7858" priority="11009" operator="equal">
      <formula>"持續"</formula>
    </cfRule>
    <cfRule type="cellIs" dxfId="7857" priority="11010" operator="equal">
      <formula>"延長"</formula>
    </cfRule>
    <cfRule type="cellIs" dxfId="7856" priority="11011" operator="equal">
      <formula>"尚未調查"</formula>
    </cfRule>
  </conditionalFormatting>
  <conditionalFormatting sqref="V1544">
    <cfRule type="cellIs" dxfId="7855" priority="11006" operator="equal">
      <formula>"延長"</formula>
    </cfRule>
  </conditionalFormatting>
  <conditionalFormatting sqref="V1544">
    <cfRule type="cellIs" dxfId="7854" priority="11002" operator="equal">
      <formula>"退場"</formula>
    </cfRule>
    <cfRule type="cellIs" dxfId="7853" priority="11003" operator="equal">
      <formula>"持續"</formula>
    </cfRule>
    <cfRule type="cellIs" dxfId="7852" priority="11004" operator="equal">
      <formula>"延長"</formula>
    </cfRule>
    <cfRule type="cellIs" dxfId="7851" priority="11005" operator="equal">
      <formula>"尚未調查"</formula>
    </cfRule>
  </conditionalFormatting>
  <conditionalFormatting sqref="V1058:V1059">
    <cfRule type="cellIs" dxfId="7850" priority="10996" operator="equal">
      <formula>"退場"</formula>
    </cfRule>
    <cfRule type="cellIs" dxfId="7849" priority="10997" operator="equal">
      <formula>"持續"</formula>
    </cfRule>
    <cfRule type="cellIs" dxfId="7848" priority="10998" operator="equal">
      <formula>"延長"</formula>
    </cfRule>
    <cfRule type="cellIs" dxfId="7847" priority="10999" operator="equal">
      <formula>"尚未調查"</formula>
    </cfRule>
  </conditionalFormatting>
  <conditionalFormatting sqref="V323">
    <cfRule type="cellIs" dxfId="7846" priority="10993" operator="equal">
      <formula>"延長"</formula>
    </cfRule>
  </conditionalFormatting>
  <conditionalFormatting sqref="V323">
    <cfRule type="cellIs" dxfId="7845" priority="10989" operator="equal">
      <formula>"退場"</formula>
    </cfRule>
    <cfRule type="cellIs" dxfId="7844" priority="10990" operator="equal">
      <formula>"持續"</formula>
    </cfRule>
    <cfRule type="cellIs" dxfId="7843" priority="10991" operator="equal">
      <formula>"延長"</formula>
    </cfRule>
    <cfRule type="cellIs" dxfId="7842" priority="10992" operator="equal">
      <formula>"尚未調查"</formula>
    </cfRule>
  </conditionalFormatting>
  <conditionalFormatting sqref="V325:V326 V328:V329">
    <cfRule type="cellIs" dxfId="7841" priority="10988" operator="equal">
      <formula>"延長"</formula>
    </cfRule>
  </conditionalFormatting>
  <conditionalFormatting sqref="V325:V326 V328:V329">
    <cfRule type="cellIs" dxfId="7840" priority="10984" operator="equal">
      <formula>"退場"</formula>
    </cfRule>
    <cfRule type="cellIs" dxfId="7839" priority="10985" operator="equal">
      <formula>"持續"</formula>
    </cfRule>
    <cfRule type="cellIs" dxfId="7838" priority="10986" operator="equal">
      <formula>"延長"</formula>
    </cfRule>
    <cfRule type="cellIs" dxfId="7837" priority="10987" operator="equal">
      <formula>"尚未調查"</formula>
    </cfRule>
  </conditionalFormatting>
  <conditionalFormatting sqref="V1060:V1067">
    <cfRule type="cellIs" dxfId="7836" priority="10976" operator="equal">
      <formula>"退場"</formula>
    </cfRule>
    <cfRule type="cellIs" dxfId="7835" priority="10977" operator="equal">
      <formula>"持續"</formula>
    </cfRule>
    <cfRule type="cellIs" dxfId="7834" priority="10978" operator="equal">
      <formula>"延長"</formula>
    </cfRule>
    <cfRule type="cellIs" dxfId="7833" priority="10979" operator="equal">
      <formula>"尚未調查"</formula>
    </cfRule>
  </conditionalFormatting>
  <conditionalFormatting sqref="V1545">
    <cfRule type="cellIs" dxfId="7832" priority="10952" operator="equal">
      <formula>"延長"</formula>
    </cfRule>
  </conditionalFormatting>
  <conditionalFormatting sqref="V1545">
    <cfRule type="cellIs" dxfId="7831" priority="10948" operator="equal">
      <formula>"退場"</formula>
    </cfRule>
    <cfRule type="cellIs" dxfId="7830" priority="10949" operator="equal">
      <formula>"持續"</formula>
    </cfRule>
    <cfRule type="cellIs" dxfId="7829" priority="10950" operator="equal">
      <formula>"延長"</formula>
    </cfRule>
    <cfRule type="cellIs" dxfId="7828" priority="10951" operator="equal">
      <formula>"尚未調查"</formula>
    </cfRule>
  </conditionalFormatting>
  <conditionalFormatting sqref="V1092:V1098">
    <cfRule type="cellIs" dxfId="7827" priority="10940" operator="equal">
      <formula>"退場"</formula>
    </cfRule>
    <cfRule type="cellIs" dxfId="7826" priority="10941" operator="equal">
      <formula>"持續"</formula>
    </cfRule>
    <cfRule type="cellIs" dxfId="7825" priority="10942" operator="equal">
      <formula>"延長"</formula>
    </cfRule>
    <cfRule type="cellIs" dxfId="7824" priority="10943" operator="equal">
      <formula>"尚未調查"</formula>
    </cfRule>
  </conditionalFormatting>
  <conditionalFormatting sqref="V330:V332">
    <cfRule type="cellIs" dxfId="7823" priority="10926" operator="equal">
      <formula>"延長"</formula>
    </cfRule>
  </conditionalFormatting>
  <conditionalFormatting sqref="V330:V332">
    <cfRule type="cellIs" dxfId="7822" priority="10922" operator="equal">
      <formula>"退場"</formula>
    </cfRule>
    <cfRule type="cellIs" dxfId="7821" priority="10923" operator="equal">
      <formula>"持續"</formula>
    </cfRule>
    <cfRule type="cellIs" dxfId="7820" priority="10924" operator="equal">
      <formula>"延長"</formula>
    </cfRule>
    <cfRule type="cellIs" dxfId="7819" priority="10925" operator="equal">
      <formula>"尚未調查"</formula>
    </cfRule>
  </conditionalFormatting>
  <conditionalFormatting sqref="V1435:V1437">
    <cfRule type="cellIs" dxfId="7818" priority="10916" operator="equal">
      <formula>"退場"</formula>
    </cfRule>
    <cfRule type="cellIs" dxfId="7817" priority="10917" operator="equal">
      <formula>"持續"</formula>
    </cfRule>
    <cfRule type="cellIs" dxfId="7816" priority="10918" operator="equal">
      <formula>"延長"</formula>
    </cfRule>
    <cfRule type="cellIs" dxfId="7815" priority="10919" operator="equal">
      <formula>"尚未調查"</formula>
    </cfRule>
  </conditionalFormatting>
  <conditionalFormatting sqref="V335:V338">
    <cfRule type="cellIs" dxfId="7814" priority="10914" operator="equal">
      <formula>"延長"</formula>
    </cfRule>
  </conditionalFormatting>
  <conditionalFormatting sqref="V335:V338">
    <cfRule type="cellIs" dxfId="7813" priority="10910" operator="equal">
      <formula>"退場"</formula>
    </cfRule>
    <cfRule type="cellIs" dxfId="7812" priority="10911" operator="equal">
      <formula>"持續"</formula>
    </cfRule>
    <cfRule type="cellIs" dxfId="7811" priority="10912" operator="equal">
      <formula>"延長"</formula>
    </cfRule>
    <cfRule type="cellIs" dxfId="7810" priority="10913" operator="equal">
      <formula>"尚未調查"</formula>
    </cfRule>
  </conditionalFormatting>
  <conditionalFormatting sqref="V343:V351">
    <cfRule type="cellIs" dxfId="7809" priority="10905" operator="equal">
      <formula>"延長"</formula>
    </cfRule>
  </conditionalFormatting>
  <conditionalFormatting sqref="V343:V351">
    <cfRule type="cellIs" dxfId="7808" priority="10901" operator="equal">
      <formula>"退場"</formula>
    </cfRule>
    <cfRule type="cellIs" dxfId="7807" priority="10902" operator="equal">
      <formula>"持續"</formula>
    </cfRule>
    <cfRule type="cellIs" dxfId="7806" priority="10903" operator="equal">
      <formula>"延長"</formula>
    </cfRule>
    <cfRule type="cellIs" dxfId="7805" priority="10904" operator="equal">
      <formula>"尚未調查"</formula>
    </cfRule>
  </conditionalFormatting>
  <conditionalFormatting sqref="V1546:V1549">
    <cfRule type="cellIs" dxfId="7804" priority="10893" operator="equal">
      <formula>"延長"</formula>
    </cfRule>
  </conditionalFormatting>
  <conditionalFormatting sqref="V1546:V1549">
    <cfRule type="cellIs" dxfId="7803" priority="10889" operator="equal">
      <formula>"退場"</formula>
    </cfRule>
    <cfRule type="cellIs" dxfId="7802" priority="10890" operator="equal">
      <formula>"持續"</formula>
    </cfRule>
    <cfRule type="cellIs" dxfId="7801" priority="10891" operator="equal">
      <formula>"延長"</formula>
    </cfRule>
    <cfRule type="cellIs" dxfId="7800" priority="10892" operator="equal">
      <formula>"尚未調查"</formula>
    </cfRule>
  </conditionalFormatting>
  <conditionalFormatting sqref="V1099:V1101">
    <cfRule type="cellIs" dxfId="7799" priority="10884" operator="equal">
      <formula>"退場"</formula>
    </cfRule>
    <cfRule type="cellIs" dxfId="7798" priority="10885" operator="equal">
      <formula>"持續"</formula>
    </cfRule>
    <cfRule type="cellIs" dxfId="7797" priority="10886" operator="equal">
      <formula>"延長"</formula>
    </cfRule>
    <cfRule type="cellIs" dxfId="7796" priority="10887" operator="equal">
      <formula>"尚未調查"</formula>
    </cfRule>
  </conditionalFormatting>
  <conditionalFormatting sqref="V1102:V1104">
    <cfRule type="cellIs" dxfId="7795" priority="10870" operator="equal">
      <formula>"退場"</formula>
    </cfRule>
    <cfRule type="cellIs" dxfId="7794" priority="10871" operator="equal">
      <formula>"持續"</formula>
    </cfRule>
    <cfRule type="cellIs" dxfId="7793" priority="10872" operator="equal">
      <formula>"延長"</formula>
    </cfRule>
    <cfRule type="cellIs" dxfId="7792" priority="10873" operator="equal">
      <formula>"尚未調查"</formula>
    </cfRule>
  </conditionalFormatting>
  <conditionalFormatting sqref="V372:V373">
    <cfRule type="cellIs" dxfId="7791" priority="10869" operator="equal">
      <formula>"延長"</formula>
    </cfRule>
  </conditionalFormatting>
  <conditionalFormatting sqref="V372:V373">
    <cfRule type="cellIs" dxfId="7790" priority="10865" operator="equal">
      <formula>"退場"</formula>
    </cfRule>
    <cfRule type="cellIs" dxfId="7789" priority="10866" operator="equal">
      <formula>"持續"</formula>
    </cfRule>
    <cfRule type="cellIs" dxfId="7788" priority="10867" operator="equal">
      <formula>"延長"</formula>
    </cfRule>
    <cfRule type="cellIs" dxfId="7787" priority="10868" operator="equal">
      <formula>"尚未調查"</formula>
    </cfRule>
  </conditionalFormatting>
  <conditionalFormatting sqref="V1551">
    <cfRule type="cellIs" dxfId="7786" priority="10864" operator="equal">
      <formula>"延長"</formula>
    </cfRule>
  </conditionalFormatting>
  <conditionalFormatting sqref="V1551">
    <cfRule type="cellIs" dxfId="7785" priority="10860" operator="equal">
      <formula>"退場"</formula>
    </cfRule>
    <cfRule type="cellIs" dxfId="7784" priority="10861" operator="equal">
      <formula>"持續"</formula>
    </cfRule>
    <cfRule type="cellIs" dxfId="7783" priority="10862" operator="equal">
      <formula>"延長"</formula>
    </cfRule>
    <cfRule type="cellIs" dxfId="7782" priority="10863" operator="equal">
      <formula>"尚未調查"</formula>
    </cfRule>
  </conditionalFormatting>
  <conditionalFormatting sqref="V1438:V1439">
    <cfRule type="cellIs" dxfId="7781" priority="10554" operator="equal">
      <formula>"退場"</formula>
    </cfRule>
    <cfRule type="cellIs" dxfId="7780" priority="10555" operator="equal">
      <formula>"持續"</formula>
    </cfRule>
    <cfRule type="cellIs" dxfId="7779" priority="10556" operator="equal">
      <formula>"延長"</formula>
    </cfRule>
    <cfRule type="cellIs" dxfId="7778" priority="10557" operator="equal">
      <formula>"尚未調查"</formula>
    </cfRule>
  </conditionalFormatting>
  <conditionalFormatting sqref="V363">
    <cfRule type="cellIs" dxfId="7777" priority="10552" operator="equal">
      <formula>"延長"</formula>
    </cfRule>
  </conditionalFormatting>
  <conditionalFormatting sqref="V363">
    <cfRule type="cellIs" dxfId="7776" priority="10548" operator="equal">
      <formula>"退場"</formula>
    </cfRule>
    <cfRule type="cellIs" dxfId="7775" priority="10549" operator="equal">
      <formula>"持續"</formula>
    </cfRule>
    <cfRule type="cellIs" dxfId="7774" priority="10550" operator="equal">
      <formula>"延長"</formula>
    </cfRule>
    <cfRule type="cellIs" dxfId="7773" priority="10551" operator="equal">
      <formula>"尚未調查"</formula>
    </cfRule>
  </conditionalFormatting>
  <conditionalFormatting sqref="V1440:V1441">
    <cfRule type="cellIs" dxfId="7772" priority="10524" operator="equal">
      <formula>"退場"</formula>
    </cfRule>
    <cfRule type="cellIs" dxfId="7771" priority="10525" operator="equal">
      <formula>"持續"</formula>
    </cfRule>
    <cfRule type="cellIs" dxfId="7770" priority="10526" operator="equal">
      <formula>"延長"</formula>
    </cfRule>
    <cfRule type="cellIs" dxfId="7769" priority="10527" operator="equal">
      <formula>"尚未調查"</formula>
    </cfRule>
  </conditionalFormatting>
  <conditionalFormatting sqref="V1124">
    <cfRule type="cellIs" dxfId="7768" priority="10488" operator="equal">
      <formula>"退場"</formula>
    </cfRule>
    <cfRule type="cellIs" dxfId="7767" priority="10489" operator="equal">
      <formula>"持續"</formula>
    </cfRule>
    <cfRule type="cellIs" dxfId="7766" priority="10490" operator="equal">
      <formula>"延長"</formula>
    </cfRule>
    <cfRule type="cellIs" dxfId="7765" priority="10491" operator="equal">
      <formula>"尚未調查"</formula>
    </cfRule>
  </conditionalFormatting>
  <conditionalFormatting sqref="V340">
    <cfRule type="cellIs" dxfId="7764" priority="10484" operator="equal">
      <formula>"延長"</formula>
    </cfRule>
  </conditionalFormatting>
  <conditionalFormatting sqref="V340">
    <cfRule type="cellIs" dxfId="7763" priority="10480" operator="equal">
      <formula>"退場"</formula>
    </cfRule>
    <cfRule type="cellIs" dxfId="7762" priority="10481" operator="equal">
      <formula>"持續"</formula>
    </cfRule>
    <cfRule type="cellIs" dxfId="7761" priority="10482" operator="equal">
      <formula>"延長"</formula>
    </cfRule>
    <cfRule type="cellIs" dxfId="7760" priority="10483" operator="equal">
      <formula>"尚未調查"</formula>
    </cfRule>
  </conditionalFormatting>
  <conditionalFormatting sqref="V341">
    <cfRule type="cellIs" dxfId="7759" priority="10479" operator="equal">
      <formula>"延長"</formula>
    </cfRule>
  </conditionalFormatting>
  <conditionalFormatting sqref="V341">
    <cfRule type="cellIs" dxfId="7758" priority="10475" operator="equal">
      <formula>"退場"</formula>
    </cfRule>
    <cfRule type="cellIs" dxfId="7757" priority="10476" operator="equal">
      <formula>"持續"</formula>
    </cfRule>
    <cfRule type="cellIs" dxfId="7756" priority="10477" operator="equal">
      <formula>"延長"</formula>
    </cfRule>
    <cfRule type="cellIs" dxfId="7755" priority="10478" operator="equal">
      <formula>"尚未調查"</formula>
    </cfRule>
  </conditionalFormatting>
  <conditionalFormatting sqref="L1343">
    <cfRule type="cellIs" dxfId="7754" priority="9223" operator="greaterThanOrEqual">
      <formula>5</formula>
    </cfRule>
  </conditionalFormatting>
  <conditionalFormatting sqref="L1343">
    <cfRule type="cellIs" dxfId="7753" priority="9224" operator="greaterThanOrEqual">
      <formula>2</formula>
    </cfRule>
  </conditionalFormatting>
  <conditionalFormatting sqref="M1343">
    <cfRule type="cellIs" dxfId="7752" priority="9225" operator="greaterThanOrEqual">
      <formula>60</formula>
    </cfRule>
  </conditionalFormatting>
  <conditionalFormatting sqref="M1343">
    <cfRule type="cellIs" dxfId="7751" priority="9226" operator="greaterThanOrEqual">
      <formula>30</formula>
    </cfRule>
  </conditionalFormatting>
  <conditionalFormatting sqref="R1343">
    <cfRule type="cellIs" dxfId="7750" priority="9227" operator="greaterThanOrEqual">
      <formula>600</formula>
    </cfRule>
  </conditionalFormatting>
  <conditionalFormatting sqref="R1343">
    <cfRule type="cellIs" dxfId="7749" priority="9228" operator="greaterThanOrEqual">
      <formula>260</formula>
    </cfRule>
  </conditionalFormatting>
  <conditionalFormatting sqref="S1343">
    <cfRule type="containsText" dxfId="7748" priority="9229" operator="containsText" text="&lt;">
      <formula>NOT(ISERROR(SEARCH(("&lt;"),(S1343))))</formula>
    </cfRule>
  </conditionalFormatting>
  <conditionalFormatting sqref="S1343">
    <cfRule type="containsText" dxfId="7747" priority="9230" operator="containsText" text="ND">
      <formula>NOT(ISERROR(SEARCH(("ND"),(S1343))))</formula>
    </cfRule>
  </conditionalFormatting>
  <conditionalFormatting sqref="S1343">
    <cfRule type="cellIs" dxfId="7746" priority="9231" operator="greaterThanOrEqual">
      <formula>200</formula>
    </cfRule>
  </conditionalFormatting>
  <conditionalFormatting sqref="S1343">
    <cfRule type="cellIs" dxfId="7745" priority="9232" operator="greaterThanOrEqual">
      <formula>130</formula>
    </cfRule>
  </conditionalFormatting>
  <conditionalFormatting sqref="N1343">
    <cfRule type="cellIs" dxfId="7744" priority="9233" operator="greaterThanOrEqual">
      <formula>200</formula>
    </cfRule>
  </conditionalFormatting>
  <conditionalFormatting sqref="N1343">
    <cfRule type="cellIs" dxfId="7743" priority="9234" operator="greaterThanOrEqual">
      <formula>120</formula>
    </cfRule>
  </conditionalFormatting>
  <conditionalFormatting sqref="O1343">
    <cfRule type="containsText" dxfId="7742" priority="9235" operator="containsText" text="ND">
      <formula>NOT(ISERROR(SEARCH(("ND"),(O1343))))</formula>
    </cfRule>
  </conditionalFormatting>
  <conditionalFormatting sqref="O1343">
    <cfRule type="cellIs" dxfId="7741" priority="9236" operator="greaterThanOrEqual">
      <formula>250</formula>
    </cfRule>
  </conditionalFormatting>
  <conditionalFormatting sqref="O1343">
    <cfRule type="cellIs" dxfId="7740" priority="9237" operator="greaterThanOrEqual">
      <formula>175</formula>
    </cfRule>
  </conditionalFormatting>
  <conditionalFormatting sqref="P1343">
    <cfRule type="containsText" dxfId="7739" priority="9238" operator="containsText" text="ND">
      <formula>NOT(ISERROR(SEARCH(("ND"),(P1343))))</formula>
    </cfRule>
  </conditionalFormatting>
  <conditionalFormatting sqref="P1343">
    <cfRule type="cellIs" dxfId="7738" priority="9239" operator="greaterThanOrEqual">
      <formula>5</formula>
    </cfRule>
  </conditionalFormatting>
  <conditionalFormatting sqref="P1343">
    <cfRule type="cellIs" dxfId="7737" priority="9240" operator="greaterThanOrEqual">
      <formula>2.5</formula>
    </cfRule>
  </conditionalFormatting>
  <conditionalFormatting sqref="Q1343">
    <cfRule type="containsText" dxfId="7736" priority="9241" operator="containsText" text="ND">
      <formula>NOT(ISERROR(SEARCH(("ND"),(Q1343))))</formula>
    </cfRule>
  </conditionalFormatting>
  <conditionalFormatting sqref="Q1343">
    <cfRule type="cellIs" dxfId="7735" priority="9242" operator="greaterThanOrEqual">
      <formula>500</formula>
    </cfRule>
  </conditionalFormatting>
  <conditionalFormatting sqref="Q1343">
    <cfRule type="cellIs" dxfId="7734" priority="9243" operator="greaterThanOrEqual">
      <formula>300</formula>
    </cfRule>
  </conditionalFormatting>
  <conditionalFormatting sqref="L1344">
    <cfRule type="cellIs" dxfId="7733" priority="9244" operator="greaterThanOrEqual">
      <formula>5</formula>
    </cfRule>
  </conditionalFormatting>
  <conditionalFormatting sqref="L1344">
    <cfRule type="cellIs" dxfId="7732" priority="9245" operator="greaterThanOrEqual">
      <formula>2</formula>
    </cfRule>
  </conditionalFormatting>
  <conditionalFormatting sqref="M1344">
    <cfRule type="cellIs" dxfId="7731" priority="9246" operator="greaterThanOrEqual">
      <formula>60</formula>
    </cfRule>
  </conditionalFormatting>
  <conditionalFormatting sqref="M1344">
    <cfRule type="cellIs" dxfId="7730" priority="9247" operator="greaterThanOrEqual">
      <formula>30</formula>
    </cfRule>
  </conditionalFormatting>
  <conditionalFormatting sqref="R1344">
    <cfRule type="cellIs" dxfId="7729" priority="9248" operator="greaterThanOrEqual">
      <formula>600</formula>
    </cfRule>
  </conditionalFormatting>
  <conditionalFormatting sqref="R1344">
    <cfRule type="cellIs" dxfId="7728" priority="9249" operator="greaterThanOrEqual">
      <formula>260</formula>
    </cfRule>
  </conditionalFormatting>
  <conditionalFormatting sqref="S1344">
    <cfRule type="containsText" dxfId="7727" priority="9250" operator="containsText" text="&lt;">
      <formula>NOT(ISERROR(SEARCH(("&lt;"),(S1344))))</formula>
    </cfRule>
  </conditionalFormatting>
  <conditionalFormatting sqref="S1344">
    <cfRule type="containsText" dxfId="7726" priority="9251" operator="containsText" text="ND">
      <formula>NOT(ISERROR(SEARCH(("ND"),(S1344))))</formula>
    </cfRule>
  </conditionalFormatting>
  <conditionalFormatting sqref="S1344">
    <cfRule type="cellIs" dxfId="7725" priority="9252" operator="greaterThanOrEqual">
      <formula>200</formula>
    </cfRule>
  </conditionalFormatting>
  <conditionalFormatting sqref="S1344">
    <cfRule type="cellIs" dxfId="7724" priority="9253" operator="greaterThanOrEqual">
      <formula>130</formula>
    </cfRule>
  </conditionalFormatting>
  <conditionalFormatting sqref="N1344">
    <cfRule type="cellIs" dxfId="7723" priority="9254" operator="greaterThanOrEqual">
      <formula>200</formula>
    </cfRule>
  </conditionalFormatting>
  <conditionalFormatting sqref="N1344">
    <cfRule type="cellIs" dxfId="7722" priority="9255" operator="greaterThanOrEqual">
      <formula>120</formula>
    </cfRule>
  </conditionalFormatting>
  <conditionalFormatting sqref="O1344">
    <cfRule type="containsText" dxfId="7721" priority="9256" operator="containsText" text="ND">
      <formula>NOT(ISERROR(SEARCH(("ND"),(O1344))))</formula>
    </cfRule>
  </conditionalFormatting>
  <conditionalFormatting sqref="O1344">
    <cfRule type="cellIs" dxfId="7720" priority="9257" operator="greaterThanOrEqual">
      <formula>250</formula>
    </cfRule>
  </conditionalFormatting>
  <conditionalFormatting sqref="O1344">
    <cfRule type="cellIs" dxfId="7719" priority="9258" operator="greaterThanOrEqual">
      <formula>175</formula>
    </cfRule>
  </conditionalFormatting>
  <conditionalFormatting sqref="P1344">
    <cfRule type="containsText" dxfId="7718" priority="9259" operator="containsText" text="ND">
      <formula>NOT(ISERROR(SEARCH(("ND"),(P1344))))</formula>
    </cfRule>
  </conditionalFormatting>
  <conditionalFormatting sqref="P1344">
    <cfRule type="cellIs" dxfId="7717" priority="9260" operator="greaterThanOrEqual">
      <formula>5</formula>
    </cfRule>
  </conditionalFormatting>
  <conditionalFormatting sqref="P1344">
    <cfRule type="cellIs" dxfId="7716" priority="9261" operator="greaterThanOrEqual">
      <formula>2.5</formula>
    </cfRule>
  </conditionalFormatting>
  <conditionalFormatting sqref="Q1344">
    <cfRule type="containsText" dxfId="7715" priority="9262" operator="containsText" text="ND">
      <formula>NOT(ISERROR(SEARCH(("ND"),(Q1344))))</formula>
    </cfRule>
  </conditionalFormatting>
  <conditionalFormatting sqref="Q1344">
    <cfRule type="cellIs" dxfId="7714" priority="9263" operator="greaterThanOrEqual">
      <formula>500</formula>
    </cfRule>
  </conditionalFormatting>
  <conditionalFormatting sqref="Q1344">
    <cfRule type="cellIs" dxfId="7713" priority="9264" operator="greaterThanOrEqual">
      <formula>300</formula>
    </cfRule>
  </conditionalFormatting>
  <conditionalFormatting sqref="L1345">
    <cfRule type="cellIs" dxfId="7712" priority="9265" operator="greaterThanOrEqual">
      <formula>5</formula>
    </cfRule>
  </conditionalFormatting>
  <conditionalFormatting sqref="L1345">
    <cfRule type="cellIs" dxfId="7711" priority="9266" operator="greaterThanOrEqual">
      <formula>2</formula>
    </cfRule>
  </conditionalFormatting>
  <conditionalFormatting sqref="M1345">
    <cfRule type="cellIs" dxfId="7710" priority="9267" operator="greaterThanOrEqual">
      <formula>60</formula>
    </cfRule>
  </conditionalFormatting>
  <conditionalFormatting sqref="M1345">
    <cfRule type="cellIs" dxfId="7709" priority="9268" operator="greaterThanOrEqual">
      <formula>30</formula>
    </cfRule>
  </conditionalFormatting>
  <conditionalFormatting sqref="R1345">
    <cfRule type="cellIs" dxfId="7708" priority="9269" operator="greaterThanOrEqual">
      <formula>600</formula>
    </cfRule>
  </conditionalFormatting>
  <conditionalFormatting sqref="R1345">
    <cfRule type="cellIs" dxfId="7707" priority="9270" operator="greaterThanOrEqual">
      <formula>260</formula>
    </cfRule>
  </conditionalFormatting>
  <conditionalFormatting sqref="S1345">
    <cfRule type="containsText" dxfId="7706" priority="9271" operator="containsText" text="&lt;">
      <formula>NOT(ISERROR(SEARCH(("&lt;"),(S1345))))</formula>
    </cfRule>
  </conditionalFormatting>
  <conditionalFormatting sqref="S1345">
    <cfRule type="containsText" dxfId="7705" priority="9272" operator="containsText" text="ND">
      <formula>NOT(ISERROR(SEARCH(("ND"),(S1345))))</formula>
    </cfRule>
  </conditionalFormatting>
  <conditionalFormatting sqref="S1345">
    <cfRule type="cellIs" dxfId="7704" priority="9273" operator="greaterThanOrEqual">
      <formula>200</formula>
    </cfRule>
  </conditionalFormatting>
  <conditionalFormatting sqref="S1345">
    <cfRule type="cellIs" dxfId="7703" priority="9274" operator="greaterThanOrEqual">
      <formula>130</formula>
    </cfRule>
  </conditionalFormatting>
  <conditionalFormatting sqref="N1345">
    <cfRule type="cellIs" dxfId="7702" priority="9275" operator="greaterThanOrEqual">
      <formula>200</formula>
    </cfRule>
  </conditionalFormatting>
  <conditionalFormatting sqref="N1345">
    <cfRule type="cellIs" dxfId="7701" priority="9276" operator="greaterThanOrEqual">
      <formula>120</formula>
    </cfRule>
  </conditionalFormatting>
  <conditionalFormatting sqref="O1345">
    <cfRule type="containsText" dxfId="7700" priority="9277" operator="containsText" text="ND">
      <formula>NOT(ISERROR(SEARCH(("ND"),(O1345))))</formula>
    </cfRule>
  </conditionalFormatting>
  <conditionalFormatting sqref="O1345">
    <cfRule type="cellIs" dxfId="7699" priority="9278" operator="greaterThanOrEqual">
      <formula>250</formula>
    </cfRule>
  </conditionalFormatting>
  <conditionalFormatting sqref="O1345">
    <cfRule type="cellIs" dxfId="7698" priority="9279" operator="greaterThanOrEqual">
      <formula>175</formula>
    </cfRule>
  </conditionalFormatting>
  <conditionalFormatting sqref="P1345">
    <cfRule type="containsText" dxfId="7697" priority="9280" operator="containsText" text="ND">
      <formula>NOT(ISERROR(SEARCH(("ND"),(P1345))))</formula>
    </cfRule>
  </conditionalFormatting>
  <conditionalFormatting sqref="P1345">
    <cfRule type="cellIs" dxfId="7696" priority="9281" operator="greaterThanOrEqual">
      <formula>5</formula>
    </cfRule>
  </conditionalFormatting>
  <conditionalFormatting sqref="P1345">
    <cfRule type="cellIs" dxfId="7695" priority="9282" operator="greaterThanOrEqual">
      <formula>2.5</formula>
    </cfRule>
  </conditionalFormatting>
  <conditionalFormatting sqref="Q1345">
    <cfRule type="containsText" dxfId="7694" priority="9283" operator="containsText" text="ND">
      <formula>NOT(ISERROR(SEARCH(("ND"),(Q1345))))</formula>
    </cfRule>
  </conditionalFormatting>
  <conditionalFormatting sqref="Q1345">
    <cfRule type="cellIs" dxfId="7693" priority="9284" operator="greaterThanOrEqual">
      <formula>500</formula>
    </cfRule>
  </conditionalFormatting>
  <conditionalFormatting sqref="Q1345">
    <cfRule type="cellIs" dxfId="7692" priority="9285" operator="greaterThanOrEqual">
      <formula>300</formula>
    </cfRule>
  </conditionalFormatting>
  <conditionalFormatting sqref="L1590">
    <cfRule type="cellIs" dxfId="7691" priority="9286" operator="greaterThanOrEqual">
      <formula>5</formula>
    </cfRule>
  </conditionalFormatting>
  <conditionalFormatting sqref="L1590">
    <cfRule type="cellIs" dxfId="7690" priority="9287" operator="greaterThanOrEqual">
      <formula>2</formula>
    </cfRule>
  </conditionalFormatting>
  <conditionalFormatting sqref="M1590">
    <cfRule type="cellIs" dxfId="7689" priority="9288" operator="greaterThanOrEqual">
      <formula>60</formula>
    </cfRule>
  </conditionalFormatting>
  <conditionalFormatting sqref="M1590">
    <cfRule type="cellIs" dxfId="7688" priority="9289" operator="greaterThanOrEqual">
      <formula>30</formula>
    </cfRule>
  </conditionalFormatting>
  <conditionalFormatting sqref="R1590">
    <cfRule type="cellIs" dxfId="7687" priority="9290" operator="greaterThanOrEqual">
      <formula>600</formula>
    </cfRule>
  </conditionalFormatting>
  <conditionalFormatting sqref="R1590">
    <cfRule type="cellIs" dxfId="7686" priority="9291" operator="greaterThanOrEqual">
      <formula>260</formula>
    </cfRule>
  </conditionalFormatting>
  <conditionalFormatting sqref="S1590">
    <cfRule type="containsText" dxfId="7685" priority="9292" operator="containsText" text="&lt;">
      <formula>NOT(ISERROR(SEARCH(("&lt;"),(S1590))))</formula>
    </cfRule>
  </conditionalFormatting>
  <conditionalFormatting sqref="S1590">
    <cfRule type="containsText" dxfId="7684" priority="9293" operator="containsText" text="ND">
      <formula>NOT(ISERROR(SEARCH(("ND"),(S1590))))</formula>
    </cfRule>
  </conditionalFormatting>
  <conditionalFormatting sqref="S1590">
    <cfRule type="cellIs" dxfId="7683" priority="9294" operator="greaterThanOrEqual">
      <formula>200</formula>
    </cfRule>
  </conditionalFormatting>
  <conditionalFormatting sqref="S1590">
    <cfRule type="cellIs" dxfId="7682" priority="9295" operator="greaterThanOrEqual">
      <formula>130</formula>
    </cfRule>
  </conditionalFormatting>
  <conditionalFormatting sqref="N1590">
    <cfRule type="cellIs" dxfId="7681" priority="9296" operator="greaterThanOrEqual">
      <formula>200</formula>
    </cfRule>
  </conditionalFormatting>
  <conditionalFormatting sqref="N1590">
    <cfRule type="cellIs" dxfId="7680" priority="9297" operator="greaterThanOrEqual">
      <formula>120</formula>
    </cfRule>
  </conditionalFormatting>
  <conditionalFormatting sqref="O1590">
    <cfRule type="containsText" dxfId="7679" priority="9298" operator="containsText" text="ND">
      <formula>NOT(ISERROR(SEARCH(("ND"),(O1590))))</formula>
    </cfRule>
  </conditionalFormatting>
  <conditionalFormatting sqref="O1590">
    <cfRule type="cellIs" dxfId="7678" priority="9299" operator="greaterThanOrEqual">
      <formula>250</formula>
    </cfRule>
  </conditionalFormatting>
  <conditionalFormatting sqref="O1590">
    <cfRule type="cellIs" dxfId="7677" priority="9300" operator="greaterThanOrEqual">
      <formula>175</formula>
    </cfRule>
  </conditionalFormatting>
  <conditionalFormatting sqref="P1590">
    <cfRule type="containsText" dxfId="7676" priority="9301" operator="containsText" text="ND">
      <formula>NOT(ISERROR(SEARCH(("ND"),(P1590))))</formula>
    </cfRule>
  </conditionalFormatting>
  <conditionalFormatting sqref="P1590">
    <cfRule type="cellIs" dxfId="7675" priority="9302" operator="greaterThanOrEqual">
      <formula>5</formula>
    </cfRule>
  </conditionalFormatting>
  <conditionalFormatting sqref="P1590">
    <cfRule type="cellIs" dxfId="7674" priority="9303" operator="greaterThanOrEqual">
      <formula>2.5</formula>
    </cfRule>
  </conditionalFormatting>
  <conditionalFormatting sqref="Q1590">
    <cfRule type="containsText" dxfId="7673" priority="9304" operator="containsText" text="ND">
      <formula>NOT(ISERROR(SEARCH(("ND"),(Q1590))))</formula>
    </cfRule>
  </conditionalFormatting>
  <conditionalFormatting sqref="Q1590">
    <cfRule type="cellIs" dxfId="7672" priority="9305" operator="greaterThanOrEqual">
      <formula>500</formula>
    </cfRule>
  </conditionalFormatting>
  <conditionalFormatting sqref="Q1590">
    <cfRule type="cellIs" dxfId="7671" priority="9306" operator="greaterThanOrEqual">
      <formula>300</formula>
    </cfRule>
  </conditionalFormatting>
  <conditionalFormatting sqref="L1347">
    <cfRule type="cellIs" dxfId="7670" priority="9307" operator="greaterThanOrEqual">
      <formula>5</formula>
    </cfRule>
  </conditionalFormatting>
  <conditionalFormatting sqref="L1347">
    <cfRule type="cellIs" dxfId="7669" priority="9308" operator="greaterThanOrEqual">
      <formula>2</formula>
    </cfRule>
  </conditionalFormatting>
  <conditionalFormatting sqref="M1347">
    <cfRule type="cellIs" dxfId="7668" priority="9309" operator="greaterThanOrEqual">
      <formula>60</formula>
    </cfRule>
  </conditionalFormatting>
  <conditionalFormatting sqref="M1347">
    <cfRule type="cellIs" dxfId="7667" priority="9310" operator="greaterThanOrEqual">
      <formula>30</formula>
    </cfRule>
  </conditionalFormatting>
  <conditionalFormatting sqref="R1347">
    <cfRule type="cellIs" dxfId="7666" priority="9311" operator="greaterThanOrEqual">
      <formula>600</formula>
    </cfRule>
  </conditionalFormatting>
  <conditionalFormatting sqref="R1347">
    <cfRule type="cellIs" dxfId="7665" priority="9312" operator="greaterThanOrEqual">
      <formula>260</formula>
    </cfRule>
  </conditionalFormatting>
  <conditionalFormatting sqref="S1347">
    <cfRule type="containsText" dxfId="7664" priority="9313" operator="containsText" text="&lt;">
      <formula>NOT(ISERROR(SEARCH(("&lt;"),(S1347))))</formula>
    </cfRule>
  </conditionalFormatting>
  <conditionalFormatting sqref="S1347">
    <cfRule type="containsText" dxfId="7663" priority="9314" operator="containsText" text="ND">
      <formula>NOT(ISERROR(SEARCH(("ND"),(S1347))))</formula>
    </cfRule>
  </conditionalFormatting>
  <conditionalFormatting sqref="S1347">
    <cfRule type="cellIs" dxfId="7662" priority="9315" operator="greaterThanOrEqual">
      <formula>200</formula>
    </cfRule>
  </conditionalFormatting>
  <conditionalFormatting sqref="S1347">
    <cfRule type="cellIs" dxfId="7661" priority="9316" operator="greaterThanOrEqual">
      <formula>130</formula>
    </cfRule>
  </conditionalFormatting>
  <conditionalFormatting sqref="N1347">
    <cfRule type="cellIs" dxfId="7660" priority="9317" operator="greaterThanOrEqual">
      <formula>200</formula>
    </cfRule>
  </conditionalFormatting>
  <conditionalFormatting sqref="N1347">
    <cfRule type="cellIs" dxfId="7659" priority="9318" operator="greaterThanOrEqual">
      <formula>120</formula>
    </cfRule>
  </conditionalFormatting>
  <conditionalFormatting sqref="O1347">
    <cfRule type="containsText" dxfId="7658" priority="9319" operator="containsText" text="ND">
      <formula>NOT(ISERROR(SEARCH(("ND"),(O1347))))</formula>
    </cfRule>
  </conditionalFormatting>
  <conditionalFormatting sqref="O1347">
    <cfRule type="cellIs" dxfId="7657" priority="9320" operator="greaterThanOrEqual">
      <formula>250</formula>
    </cfRule>
  </conditionalFormatting>
  <conditionalFormatting sqref="O1347">
    <cfRule type="cellIs" dxfId="7656" priority="9321" operator="greaterThanOrEqual">
      <formula>175</formula>
    </cfRule>
  </conditionalFormatting>
  <conditionalFormatting sqref="P1347">
    <cfRule type="containsText" dxfId="7655" priority="9322" operator="containsText" text="ND">
      <formula>NOT(ISERROR(SEARCH(("ND"),(P1347))))</formula>
    </cfRule>
  </conditionalFormatting>
  <conditionalFormatting sqref="P1347">
    <cfRule type="cellIs" dxfId="7654" priority="9323" operator="greaterThanOrEqual">
      <formula>5</formula>
    </cfRule>
  </conditionalFormatting>
  <conditionalFormatting sqref="P1347">
    <cfRule type="cellIs" dxfId="7653" priority="9324" operator="greaterThanOrEqual">
      <formula>2.5</formula>
    </cfRule>
  </conditionalFormatting>
  <conditionalFormatting sqref="Q1347">
    <cfRule type="containsText" dxfId="7652" priority="9325" operator="containsText" text="ND">
      <formula>NOT(ISERROR(SEARCH(("ND"),(Q1347))))</formula>
    </cfRule>
  </conditionalFormatting>
  <conditionalFormatting sqref="Q1347">
    <cfRule type="cellIs" dxfId="7651" priority="9326" operator="greaterThanOrEqual">
      <formula>500</formula>
    </cfRule>
  </conditionalFormatting>
  <conditionalFormatting sqref="Q1347">
    <cfRule type="cellIs" dxfId="7650" priority="9327" operator="greaterThanOrEqual">
      <formula>300</formula>
    </cfRule>
  </conditionalFormatting>
  <conditionalFormatting sqref="L536">
    <cfRule type="cellIs" dxfId="7649" priority="9328" operator="greaterThanOrEqual">
      <formula>5</formula>
    </cfRule>
  </conditionalFormatting>
  <conditionalFormatting sqref="L536">
    <cfRule type="cellIs" dxfId="7648" priority="9329" operator="greaterThanOrEqual">
      <formula>2</formula>
    </cfRule>
  </conditionalFormatting>
  <conditionalFormatting sqref="M536">
    <cfRule type="cellIs" dxfId="7647" priority="9330" operator="greaterThanOrEqual">
      <formula>60</formula>
    </cfRule>
  </conditionalFormatting>
  <conditionalFormatting sqref="M536">
    <cfRule type="cellIs" dxfId="7646" priority="9331" operator="greaterThanOrEqual">
      <formula>30</formula>
    </cfRule>
  </conditionalFormatting>
  <conditionalFormatting sqref="R536">
    <cfRule type="cellIs" dxfId="7645" priority="9332" operator="greaterThanOrEqual">
      <formula>600</formula>
    </cfRule>
  </conditionalFormatting>
  <conditionalFormatting sqref="R536">
    <cfRule type="cellIs" dxfId="7644" priority="9333" operator="greaterThanOrEqual">
      <formula>260</formula>
    </cfRule>
  </conditionalFormatting>
  <conditionalFormatting sqref="S536">
    <cfRule type="containsText" dxfId="7643" priority="9334" operator="containsText" text="&lt;">
      <formula>NOT(ISERROR(SEARCH(("&lt;"),(S536))))</formula>
    </cfRule>
  </conditionalFormatting>
  <conditionalFormatting sqref="S536">
    <cfRule type="containsText" dxfId="7642" priority="9335" operator="containsText" text="ND">
      <formula>NOT(ISERROR(SEARCH(("ND"),(S536))))</formula>
    </cfRule>
  </conditionalFormatting>
  <conditionalFormatting sqref="S536">
    <cfRule type="cellIs" dxfId="7641" priority="9336" operator="greaterThanOrEqual">
      <formula>200</formula>
    </cfRule>
  </conditionalFormatting>
  <conditionalFormatting sqref="S536">
    <cfRule type="cellIs" dxfId="7640" priority="9337" operator="greaterThanOrEqual">
      <formula>130</formula>
    </cfRule>
  </conditionalFormatting>
  <conditionalFormatting sqref="N536">
    <cfRule type="cellIs" dxfId="7639" priority="9338" operator="greaterThanOrEqual">
      <formula>200</formula>
    </cfRule>
  </conditionalFormatting>
  <conditionalFormatting sqref="N536">
    <cfRule type="cellIs" dxfId="7638" priority="9339" operator="greaterThanOrEqual">
      <formula>120</formula>
    </cfRule>
  </conditionalFormatting>
  <conditionalFormatting sqref="O536">
    <cfRule type="containsText" dxfId="7637" priority="9340" operator="containsText" text="ND">
      <formula>NOT(ISERROR(SEARCH(("ND"),(O536))))</formula>
    </cfRule>
  </conditionalFormatting>
  <conditionalFormatting sqref="O536">
    <cfRule type="cellIs" dxfId="7636" priority="9341" operator="greaterThanOrEqual">
      <formula>250</formula>
    </cfRule>
  </conditionalFormatting>
  <conditionalFormatting sqref="O536">
    <cfRule type="cellIs" dxfId="7635" priority="9342" operator="greaterThanOrEqual">
      <formula>175</formula>
    </cfRule>
  </conditionalFormatting>
  <conditionalFormatting sqref="P536">
    <cfRule type="containsText" dxfId="7634" priority="9343" operator="containsText" text="ND">
      <formula>NOT(ISERROR(SEARCH(("ND"),(P536))))</formula>
    </cfRule>
  </conditionalFormatting>
  <conditionalFormatting sqref="P536">
    <cfRule type="cellIs" dxfId="7633" priority="9344" operator="greaterThanOrEqual">
      <formula>5</formula>
    </cfRule>
  </conditionalFormatting>
  <conditionalFormatting sqref="P536">
    <cfRule type="cellIs" dxfId="7632" priority="9345" operator="greaterThanOrEqual">
      <formula>2.5</formula>
    </cfRule>
  </conditionalFormatting>
  <conditionalFormatting sqref="Q536">
    <cfRule type="containsText" dxfId="7631" priority="9346" operator="containsText" text="ND">
      <formula>NOT(ISERROR(SEARCH(("ND"),(Q536))))</formula>
    </cfRule>
  </conditionalFormatting>
  <conditionalFormatting sqref="Q536">
    <cfRule type="cellIs" dxfId="7630" priority="9347" operator="greaterThanOrEqual">
      <formula>500</formula>
    </cfRule>
  </conditionalFormatting>
  <conditionalFormatting sqref="Q536">
    <cfRule type="cellIs" dxfId="7629" priority="9348" operator="greaterThanOrEqual">
      <formula>300</formula>
    </cfRule>
  </conditionalFormatting>
  <conditionalFormatting sqref="L537">
    <cfRule type="cellIs" dxfId="7628" priority="9349" operator="greaterThanOrEqual">
      <formula>5</formula>
    </cfRule>
  </conditionalFormatting>
  <conditionalFormatting sqref="L537">
    <cfRule type="cellIs" dxfId="7627" priority="9350" operator="greaterThanOrEqual">
      <formula>2</formula>
    </cfRule>
  </conditionalFormatting>
  <conditionalFormatting sqref="M537">
    <cfRule type="cellIs" dxfId="7626" priority="9351" operator="greaterThanOrEqual">
      <formula>60</formula>
    </cfRule>
  </conditionalFormatting>
  <conditionalFormatting sqref="M537">
    <cfRule type="cellIs" dxfId="7625" priority="9352" operator="greaterThanOrEqual">
      <formula>30</formula>
    </cfRule>
  </conditionalFormatting>
  <conditionalFormatting sqref="R537">
    <cfRule type="cellIs" dxfId="7624" priority="9353" operator="greaterThanOrEqual">
      <formula>600</formula>
    </cfRule>
  </conditionalFormatting>
  <conditionalFormatting sqref="R537">
    <cfRule type="cellIs" dxfId="7623" priority="9354" operator="greaterThanOrEqual">
      <formula>260</formula>
    </cfRule>
  </conditionalFormatting>
  <conditionalFormatting sqref="S537">
    <cfRule type="containsText" dxfId="7622" priority="9355" operator="containsText" text="&lt;">
      <formula>NOT(ISERROR(SEARCH(("&lt;"),(S537))))</formula>
    </cfRule>
  </conditionalFormatting>
  <conditionalFormatting sqref="S537">
    <cfRule type="containsText" dxfId="7621" priority="9356" operator="containsText" text="ND">
      <formula>NOT(ISERROR(SEARCH(("ND"),(S537))))</formula>
    </cfRule>
  </conditionalFormatting>
  <conditionalFormatting sqref="S537">
    <cfRule type="cellIs" dxfId="7620" priority="9357" operator="greaterThanOrEqual">
      <formula>200</formula>
    </cfRule>
  </conditionalFormatting>
  <conditionalFormatting sqref="S537">
    <cfRule type="cellIs" dxfId="7619" priority="9358" operator="greaterThanOrEqual">
      <formula>130</formula>
    </cfRule>
  </conditionalFormatting>
  <conditionalFormatting sqref="N537">
    <cfRule type="cellIs" dxfId="7618" priority="9359" operator="greaterThanOrEqual">
      <formula>200</formula>
    </cfRule>
  </conditionalFormatting>
  <conditionalFormatting sqref="N537">
    <cfRule type="cellIs" dxfId="7617" priority="9360" operator="greaterThanOrEqual">
      <formula>120</formula>
    </cfRule>
  </conditionalFormatting>
  <conditionalFormatting sqref="O537">
    <cfRule type="containsText" dxfId="7616" priority="9361" operator="containsText" text="ND">
      <formula>NOT(ISERROR(SEARCH(("ND"),(O537))))</formula>
    </cfRule>
  </conditionalFormatting>
  <conditionalFormatting sqref="O537">
    <cfRule type="cellIs" dxfId="7615" priority="9362" operator="greaterThanOrEqual">
      <formula>250</formula>
    </cfRule>
  </conditionalFormatting>
  <conditionalFormatting sqref="O537">
    <cfRule type="cellIs" dxfId="7614" priority="9363" operator="greaterThanOrEqual">
      <formula>175</formula>
    </cfRule>
  </conditionalFormatting>
  <conditionalFormatting sqref="P537">
    <cfRule type="containsText" dxfId="7613" priority="9364" operator="containsText" text="ND">
      <formula>NOT(ISERROR(SEARCH(("ND"),(P537))))</formula>
    </cfRule>
  </conditionalFormatting>
  <conditionalFormatting sqref="P537">
    <cfRule type="cellIs" dxfId="7612" priority="9365" operator="greaterThanOrEqual">
      <formula>5</formula>
    </cfRule>
  </conditionalFormatting>
  <conditionalFormatting sqref="P537">
    <cfRule type="cellIs" dxfId="7611" priority="9366" operator="greaterThanOrEqual">
      <formula>2.5</formula>
    </cfRule>
  </conditionalFormatting>
  <conditionalFormatting sqref="Q537">
    <cfRule type="containsText" dxfId="7610" priority="9367" operator="containsText" text="ND">
      <formula>NOT(ISERROR(SEARCH(("ND"),(Q537))))</formula>
    </cfRule>
  </conditionalFormatting>
  <conditionalFormatting sqref="Q537">
    <cfRule type="cellIs" dxfId="7609" priority="9368" operator="greaterThanOrEqual">
      <formula>500</formula>
    </cfRule>
  </conditionalFormatting>
  <conditionalFormatting sqref="Q537">
    <cfRule type="cellIs" dxfId="7608" priority="9369" operator="greaterThanOrEqual">
      <formula>300</formula>
    </cfRule>
  </conditionalFormatting>
  <conditionalFormatting sqref="L538">
    <cfRule type="cellIs" dxfId="7607" priority="9370" operator="greaterThanOrEqual">
      <formula>5</formula>
    </cfRule>
  </conditionalFormatting>
  <conditionalFormatting sqref="L538">
    <cfRule type="cellIs" dxfId="7606" priority="9371" operator="greaterThanOrEqual">
      <formula>2</formula>
    </cfRule>
  </conditionalFormatting>
  <conditionalFormatting sqref="M538">
    <cfRule type="cellIs" dxfId="7605" priority="9372" operator="greaterThanOrEqual">
      <formula>60</formula>
    </cfRule>
  </conditionalFormatting>
  <conditionalFormatting sqref="M538">
    <cfRule type="cellIs" dxfId="7604" priority="9373" operator="greaterThanOrEqual">
      <formula>30</formula>
    </cfRule>
  </conditionalFormatting>
  <conditionalFormatting sqref="R538">
    <cfRule type="cellIs" dxfId="7603" priority="9374" operator="greaterThanOrEqual">
      <formula>600</formula>
    </cfRule>
  </conditionalFormatting>
  <conditionalFormatting sqref="R538">
    <cfRule type="cellIs" dxfId="7602" priority="9375" operator="greaterThanOrEqual">
      <formula>260</formula>
    </cfRule>
  </conditionalFormatting>
  <conditionalFormatting sqref="S538">
    <cfRule type="containsText" dxfId="7601" priority="9376" operator="containsText" text="&lt;">
      <formula>NOT(ISERROR(SEARCH(("&lt;"),(S538))))</formula>
    </cfRule>
  </conditionalFormatting>
  <conditionalFormatting sqref="S538">
    <cfRule type="containsText" dxfId="7600" priority="9377" operator="containsText" text="ND">
      <formula>NOT(ISERROR(SEARCH(("ND"),(S538))))</formula>
    </cfRule>
  </conditionalFormatting>
  <conditionalFormatting sqref="S538">
    <cfRule type="cellIs" dxfId="7599" priority="9378" operator="greaterThanOrEqual">
      <formula>200</formula>
    </cfRule>
  </conditionalFormatting>
  <conditionalFormatting sqref="S538">
    <cfRule type="cellIs" dxfId="7598" priority="9379" operator="greaterThanOrEqual">
      <formula>130</formula>
    </cfRule>
  </conditionalFormatting>
  <conditionalFormatting sqref="N538">
    <cfRule type="cellIs" dxfId="7597" priority="9380" operator="greaterThanOrEqual">
      <formula>200</formula>
    </cfRule>
  </conditionalFormatting>
  <conditionalFormatting sqref="N538">
    <cfRule type="cellIs" dxfId="7596" priority="9381" operator="greaterThanOrEqual">
      <formula>120</formula>
    </cfRule>
  </conditionalFormatting>
  <conditionalFormatting sqref="O538">
    <cfRule type="containsText" dxfId="7595" priority="9382" operator="containsText" text="ND">
      <formula>NOT(ISERROR(SEARCH(("ND"),(O538))))</formula>
    </cfRule>
  </conditionalFormatting>
  <conditionalFormatting sqref="O538">
    <cfRule type="cellIs" dxfId="7594" priority="9383" operator="greaterThanOrEqual">
      <formula>250</formula>
    </cfRule>
  </conditionalFormatting>
  <conditionalFormatting sqref="O538">
    <cfRule type="cellIs" dxfId="7593" priority="9384" operator="greaterThanOrEqual">
      <formula>175</formula>
    </cfRule>
  </conditionalFormatting>
  <conditionalFormatting sqref="P538">
    <cfRule type="containsText" dxfId="7592" priority="9385" operator="containsText" text="ND">
      <formula>NOT(ISERROR(SEARCH(("ND"),(P538))))</formula>
    </cfRule>
  </conditionalFormatting>
  <conditionalFormatting sqref="P538">
    <cfRule type="cellIs" dxfId="7591" priority="9386" operator="greaterThanOrEqual">
      <formula>5</formula>
    </cfRule>
  </conditionalFormatting>
  <conditionalFormatting sqref="P538">
    <cfRule type="cellIs" dxfId="7590" priority="9387" operator="greaterThanOrEqual">
      <formula>2.5</formula>
    </cfRule>
  </conditionalFormatting>
  <conditionalFormatting sqref="Q538">
    <cfRule type="containsText" dxfId="7589" priority="9388" operator="containsText" text="ND">
      <formula>NOT(ISERROR(SEARCH(("ND"),(Q538))))</formula>
    </cfRule>
  </conditionalFormatting>
  <conditionalFormatting sqref="Q538">
    <cfRule type="cellIs" dxfId="7588" priority="9389" operator="greaterThanOrEqual">
      <formula>500</formula>
    </cfRule>
  </conditionalFormatting>
  <conditionalFormatting sqref="Q538">
    <cfRule type="cellIs" dxfId="7587" priority="9390" operator="greaterThanOrEqual">
      <formula>300</formula>
    </cfRule>
  </conditionalFormatting>
  <conditionalFormatting sqref="L533">
    <cfRule type="cellIs" dxfId="7586" priority="9391" operator="greaterThanOrEqual">
      <formula>5</formula>
    </cfRule>
  </conditionalFormatting>
  <conditionalFormatting sqref="L533">
    <cfRule type="cellIs" dxfId="7585" priority="9392" operator="greaterThanOrEqual">
      <formula>2</formula>
    </cfRule>
  </conditionalFormatting>
  <conditionalFormatting sqref="M533">
    <cfRule type="cellIs" dxfId="7584" priority="9393" operator="greaterThanOrEqual">
      <formula>60</formula>
    </cfRule>
  </conditionalFormatting>
  <conditionalFormatting sqref="M533">
    <cfRule type="cellIs" dxfId="7583" priority="9394" operator="greaterThanOrEqual">
      <formula>30</formula>
    </cfRule>
  </conditionalFormatting>
  <conditionalFormatting sqref="R533">
    <cfRule type="cellIs" dxfId="7582" priority="9395" operator="greaterThanOrEqual">
      <formula>600</formula>
    </cfRule>
  </conditionalFormatting>
  <conditionalFormatting sqref="R533">
    <cfRule type="cellIs" dxfId="7581" priority="9396" operator="greaterThanOrEqual">
      <formula>260</formula>
    </cfRule>
  </conditionalFormatting>
  <conditionalFormatting sqref="S533">
    <cfRule type="containsText" dxfId="7580" priority="9397" operator="containsText" text="&lt;">
      <formula>NOT(ISERROR(SEARCH(("&lt;"),(S533))))</formula>
    </cfRule>
  </conditionalFormatting>
  <conditionalFormatting sqref="S533">
    <cfRule type="containsText" dxfId="7579" priority="9398" operator="containsText" text="ND">
      <formula>NOT(ISERROR(SEARCH(("ND"),(S533))))</formula>
    </cfRule>
  </conditionalFormatting>
  <conditionalFormatting sqref="S533">
    <cfRule type="cellIs" dxfId="7578" priority="9399" operator="greaterThanOrEqual">
      <formula>200</formula>
    </cfRule>
  </conditionalFormatting>
  <conditionalFormatting sqref="S533">
    <cfRule type="cellIs" dxfId="7577" priority="9400" operator="greaterThanOrEqual">
      <formula>130</formula>
    </cfRule>
  </conditionalFormatting>
  <conditionalFormatting sqref="N533">
    <cfRule type="cellIs" dxfId="7576" priority="9401" operator="greaterThanOrEqual">
      <formula>200</formula>
    </cfRule>
  </conditionalFormatting>
  <conditionalFormatting sqref="N533">
    <cfRule type="cellIs" dxfId="7575" priority="9402" operator="greaterThanOrEqual">
      <formula>120</formula>
    </cfRule>
  </conditionalFormatting>
  <conditionalFormatting sqref="O533">
    <cfRule type="containsText" dxfId="7574" priority="9403" operator="containsText" text="ND">
      <formula>NOT(ISERROR(SEARCH(("ND"),(O533))))</formula>
    </cfRule>
  </conditionalFormatting>
  <conditionalFormatting sqref="O533">
    <cfRule type="cellIs" dxfId="7573" priority="9404" operator="greaterThanOrEqual">
      <formula>250</formula>
    </cfRule>
  </conditionalFormatting>
  <conditionalFormatting sqref="O533">
    <cfRule type="cellIs" dxfId="7572" priority="9405" operator="greaterThanOrEqual">
      <formula>175</formula>
    </cfRule>
  </conditionalFormatting>
  <conditionalFormatting sqref="P533">
    <cfRule type="containsText" dxfId="7571" priority="9406" operator="containsText" text="ND">
      <formula>NOT(ISERROR(SEARCH(("ND"),(P533))))</formula>
    </cfRule>
  </conditionalFormatting>
  <conditionalFormatting sqref="P533">
    <cfRule type="cellIs" dxfId="7570" priority="9407" operator="greaterThanOrEqual">
      <formula>5</formula>
    </cfRule>
  </conditionalFormatting>
  <conditionalFormatting sqref="P533">
    <cfRule type="cellIs" dxfId="7569" priority="9408" operator="greaterThanOrEqual">
      <formula>2.5</formula>
    </cfRule>
  </conditionalFormatting>
  <conditionalFormatting sqref="Q533">
    <cfRule type="containsText" dxfId="7568" priority="9409" operator="containsText" text="ND">
      <formula>NOT(ISERROR(SEARCH(("ND"),(Q533))))</formula>
    </cfRule>
  </conditionalFormatting>
  <conditionalFormatting sqref="Q533">
    <cfRule type="cellIs" dxfId="7567" priority="9410" operator="greaterThanOrEqual">
      <formula>500</formula>
    </cfRule>
  </conditionalFormatting>
  <conditionalFormatting sqref="Q533">
    <cfRule type="cellIs" dxfId="7566" priority="9411" operator="greaterThanOrEqual">
      <formula>300</formula>
    </cfRule>
  </conditionalFormatting>
  <conditionalFormatting sqref="L535">
    <cfRule type="cellIs" dxfId="7565" priority="9412" operator="greaterThanOrEqual">
      <formula>5</formula>
    </cfRule>
  </conditionalFormatting>
  <conditionalFormatting sqref="L535">
    <cfRule type="cellIs" dxfId="7564" priority="9413" operator="greaterThanOrEqual">
      <formula>2</formula>
    </cfRule>
  </conditionalFormatting>
  <conditionalFormatting sqref="M535">
    <cfRule type="cellIs" dxfId="7563" priority="9414" operator="greaterThanOrEqual">
      <formula>60</formula>
    </cfRule>
  </conditionalFormatting>
  <conditionalFormatting sqref="M535">
    <cfRule type="cellIs" dxfId="7562" priority="9415" operator="greaterThanOrEqual">
      <formula>30</formula>
    </cfRule>
  </conditionalFormatting>
  <conditionalFormatting sqref="R535">
    <cfRule type="cellIs" dxfId="7561" priority="9416" operator="greaterThanOrEqual">
      <formula>600</formula>
    </cfRule>
  </conditionalFormatting>
  <conditionalFormatting sqref="R535">
    <cfRule type="cellIs" dxfId="7560" priority="9417" operator="greaterThanOrEqual">
      <formula>260</formula>
    </cfRule>
  </conditionalFormatting>
  <conditionalFormatting sqref="S535">
    <cfRule type="containsText" dxfId="7559" priority="9418" operator="containsText" text="&lt;">
      <formula>NOT(ISERROR(SEARCH(("&lt;"),(S535))))</formula>
    </cfRule>
  </conditionalFormatting>
  <conditionalFormatting sqref="S535">
    <cfRule type="containsText" dxfId="7558" priority="9419" operator="containsText" text="ND">
      <formula>NOT(ISERROR(SEARCH(("ND"),(S535))))</formula>
    </cfRule>
  </conditionalFormatting>
  <conditionalFormatting sqref="S535">
    <cfRule type="cellIs" dxfId="7557" priority="9420" operator="greaterThanOrEqual">
      <formula>200</formula>
    </cfRule>
  </conditionalFormatting>
  <conditionalFormatting sqref="S535">
    <cfRule type="cellIs" dxfId="7556" priority="9421" operator="greaterThanOrEqual">
      <formula>130</formula>
    </cfRule>
  </conditionalFormatting>
  <conditionalFormatting sqref="N535">
    <cfRule type="cellIs" dxfId="7555" priority="9422" operator="greaterThanOrEqual">
      <formula>200</formula>
    </cfRule>
  </conditionalFormatting>
  <conditionalFormatting sqref="N535">
    <cfRule type="cellIs" dxfId="7554" priority="9423" operator="greaterThanOrEqual">
      <formula>120</formula>
    </cfRule>
  </conditionalFormatting>
  <conditionalFormatting sqref="O535">
    <cfRule type="containsText" dxfId="7553" priority="9424" operator="containsText" text="ND">
      <formula>NOT(ISERROR(SEARCH(("ND"),(O535))))</formula>
    </cfRule>
  </conditionalFormatting>
  <conditionalFormatting sqref="O535">
    <cfRule type="cellIs" dxfId="7552" priority="9425" operator="greaterThanOrEqual">
      <formula>250</formula>
    </cfRule>
  </conditionalFormatting>
  <conditionalFormatting sqref="O535">
    <cfRule type="cellIs" dxfId="7551" priority="9426" operator="greaterThanOrEqual">
      <formula>175</formula>
    </cfRule>
  </conditionalFormatting>
  <conditionalFormatting sqref="P535">
    <cfRule type="containsText" dxfId="7550" priority="9427" operator="containsText" text="ND">
      <formula>NOT(ISERROR(SEARCH(("ND"),(P535))))</formula>
    </cfRule>
  </conditionalFormatting>
  <conditionalFormatting sqref="P535">
    <cfRule type="cellIs" dxfId="7549" priority="9428" operator="greaterThanOrEqual">
      <formula>5</formula>
    </cfRule>
  </conditionalFormatting>
  <conditionalFormatting sqref="P535">
    <cfRule type="cellIs" dxfId="7548" priority="9429" operator="greaterThanOrEqual">
      <formula>2.5</formula>
    </cfRule>
  </conditionalFormatting>
  <conditionalFormatting sqref="Q535">
    <cfRule type="containsText" dxfId="7547" priority="9430" operator="containsText" text="ND">
      <formula>NOT(ISERROR(SEARCH(("ND"),(Q535))))</formula>
    </cfRule>
  </conditionalFormatting>
  <conditionalFormatting sqref="Q535">
    <cfRule type="cellIs" dxfId="7546" priority="9431" operator="greaterThanOrEqual">
      <formula>500</formula>
    </cfRule>
  </conditionalFormatting>
  <conditionalFormatting sqref="Q535">
    <cfRule type="cellIs" dxfId="7545" priority="9432" operator="greaterThanOrEqual">
      <formula>300</formula>
    </cfRule>
  </conditionalFormatting>
  <conditionalFormatting sqref="L1591">
    <cfRule type="cellIs" dxfId="7544" priority="9433" operator="greaterThanOrEqual">
      <formula>5</formula>
    </cfRule>
  </conditionalFormatting>
  <conditionalFormatting sqref="L1591">
    <cfRule type="cellIs" dxfId="7543" priority="9434" operator="greaterThanOrEqual">
      <formula>2</formula>
    </cfRule>
  </conditionalFormatting>
  <conditionalFormatting sqref="M1591">
    <cfRule type="cellIs" dxfId="7542" priority="9435" operator="greaterThanOrEqual">
      <formula>60</formula>
    </cfRule>
  </conditionalFormatting>
  <conditionalFormatting sqref="M1591">
    <cfRule type="cellIs" dxfId="7541" priority="9436" operator="greaterThanOrEqual">
      <formula>30</formula>
    </cfRule>
  </conditionalFormatting>
  <conditionalFormatting sqref="R1591">
    <cfRule type="cellIs" dxfId="7540" priority="9437" operator="greaterThanOrEqual">
      <formula>600</formula>
    </cfRule>
  </conditionalFormatting>
  <conditionalFormatting sqref="R1591">
    <cfRule type="cellIs" dxfId="7539" priority="9438" operator="greaterThanOrEqual">
      <formula>260</formula>
    </cfRule>
  </conditionalFormatting>
  <conditionalFormatting sqref="S1591">
    <cfRule type="containsText" dxfId="7538" priority="9439" operator="containsText" text="&lt;">
      <formula>NOT(ISERROR(SEARCH(("&lt;"),(S1591))))</formula>
    </cfRule>
  </conditionalFormatting>
  <conditionalFormatting sqref="S1591">
    <cfRule type="containsText" dxfId="7537" priority="9440" operator="containsText" text="ND">
      <formula>NOT(ISERROR(SEARCH(("ND"),(S1591))))</formula>
    </cfRule>
  </conditionalFormatting>
  <conditionalFormatting sqref="S1591">
    <cfRule type="cellIs" dxfId="7536" priority="9441" operator="greaterThanOrEqual">
      <formula>200</formula>
    </cfRule>
  </conditionalFormatting>
  <conditionalFormatting sqref="S1591">
    <cfRule type="cellIs" dxfId="7535" priority="9442" operator="greaterThanOrEqual">
      <formula>130</formula>
    </cfRule>
  </conditionalFormatting>
  <conditionalFormatting sqref="N1591">
    <cfRule type="cellIs" dxfId="7534" priority="9443" operator="greaterThanOrEqual">
      <formula>200</formula>
    </cfRule>
  </conditionalFormatting>
  <conditionalFormatting sqref="N1591">
    <cfRule type="cellIs" dxfId="7533" priority="9444" operator="greaterThanOrEqual">
      <formula>120</formula>
    </cfRule>
  </conditionalFormatting>
  <conditionalFormatting sqref="O1591">
    <cfRule type="containsText" dxfId="7532" priority="9445" operator="containsText" text="ND">
      <formula>NOT(ISERROR(SEARCH(("ND"),(O1591))))</formula>
    </cfRule>
  </conditionalFormatting>
  <conditionalFormatting sqref="O1591">
    <cfRule type="cellIs" dxfId="7531" priority="9446" operator="greaterThanOrEqual">
      <formula>250</formula>
    </cfRule>
  </conditionalFormatting>
  <conditionalFormatting sqref="O1591">
    <cfRule type="cellIs" dxfId="7530" priority="9447" operator="greaterThanOrEqual">
      <formula>175</formula>
    </cfRule>
  </conditionalFormatting>
  <conditionalFormatting sqref="P1591">
    <cfRule type="containsText" dxfId="7529" priority="9448" operator="containsText" text="ND">
      <formula>NOT(ISERROR(SEARCH(("ND"),(P1591))))</formula>
    </cfRule>
  </conditionalFormatting>
  <conditionalFormatting sqref="P1591">
    <cfRule type="cellIs" dxfId="7528" priority="9449" operator="greaterThanOrEqual">
      <formula>5</formula>
    </cfRule>
  </conditionalFormatting>
  <conditionalFormatting sqref="P1591">
    <cfRule type="cellIs" dxfId="7527" priority="9450" operator="greaterThanOrEqual">
      <formula>2.5</formula>
    </cfRule>
  </conditionalFormatting>
  <conditionalFormatting sqref="Q1591">
    <cfRule type="containsText" dxfId="7526" priority="9451" operator="containsText" text="ND">
      <formula>NOT(ISERROR(SEARCH(("ND"),(Q1591))))</formula>
    </cfRule>
  </conditionalFormatting>
  <conditionalFormatting sqref="Q1591">
    <cfRule type="cellIs" dxfId="7525" priority="9452" operator="greaterThanOrEqual">
      <formula>500</formula>
    </cfRule>
  </conditionalFormatting>
  <conditionalFormatting sqref="Q1591">
    <cfRule type="cellIs" dxfId="7524" priority="9453" operator="greaterThanOrEqual">
      <formula>300</formula>
    </cfRule>
  </conditionalFormatting>
  <conditionalFormatting sqref="L1354">
    <cfRule type="cellIs" dxfId="7523" priority="9454" operator="greaterThanOrEqual">
      <formula>5</formula>
    </cfRule>
  </conditionalFormatting>
  <conditionalFormatting sqref="L1354">
    <cfRule type="cellIs" dxfId="7522" priority="9455" operator="greaterThanOrEqual">
      <formula>2</formula>
    </cfRule>
  </conditionalFormatting>
  <conditionalFormatting sqref="M1354">
    <cfRule type="cellIs" dxfId="7521" priority="9456" operator="greaterThanOrEqual">
      <formula>60</formula>
    </cfRule>
  </conditionalFormatting>
  <conditionalFormatting sqref="M1354">
    <cfRule type="cellIs" dxfId="7520" priority="9457" operator="greaterThanOrEqual">
      <formula>30</formula>
    </cfRule>
  </conditionalFormatting>
  <conditionalFormatting sqref="R1354">
    <cfRule type="cellIs" dxfId="7519" priority="9458" operator="greaterThanOrEqual">
      <formula>600</formula>
    </cfRule>
  </conditionalFormatting>
  <conditionalFormatting sqref="R1354">
    <cfRule type="cellIs" dxfId="7518" priority="9459" operator="greaterThanOrEqual">
      <formula>260</formula>
    </cfRule>
  </conditionalFormatting>
  <conditionalFormatting sqref="S1354">
    <cfRule type="containsText" dxfId="7517" priority="9460" operator="containsText" text="&lt;">
      <formula>NOT(ISERROR(SEARCH(("&lt;"),(S1354))))</formula>
    </cfRule>
  </conditionalFormatting>
  <conditionalFormatting sqref="S1354">
    <cfRule type="containsText" dxfId="7516" priority="9461" operator="containsText" text="ND">
      <formula>NOT(ISERROR(SEARCH(("ND"),(S1354))))</formula>
    </cfRule>
  </conditionalFormatting>
  <conditionalFormatting sqref="S1354">
    <cfRule type="cellIs" dxfId="7515" priority="9462" operator="greaterThanOrEqual">
      <formula>200</formula>
    </cfRule>
  </conditionalFormatting>
  <conditionalFormatting sqref="S1354">
    <cfRule type="cellIs" dxfId="7514" priority="9463" operator="greaterThanOrEqual">
      <formula>130</formula>
    </cfRule>
  </conditionalFormatting>
  <conditionalFormatting sqref="N1354">
    <cfRule type="cellIs" dxfId="7513" priority="9464" operator="greaterThanOrEqual">
      <formula>200</formula>
    </cfRule>
  </conditionalFormatting>
  <conditionalFormatting sqref="N1354">
    <cfRule type="cellIs" dxfId="7512" priority="9465" operator="greaterThanOrEqual">
      <formula>120</formula>
    </cfRule>
  </conditionalFormatting>
  <conditionalFormatting sqref="O1354">
    <cfRule type="containsText" dxfId="7511" priority="9466" operator="containsText" text="ND">
      <formula>NOT(ISERROR(SEARCH(("ND"),(O1354))))</formula>
    </cfRule>
  </conditionalFormatting>
  <conditionalFormatting sqref="O1354">
    <cfRule type="cellIs" dxfId="7510" priority="9467" operator="greaterThanOrEqual">
      <formula>250</formula>
    </cfRule>
  </conditionalFormatting>
  <conditionalFormatting sqref="O1354">
    <cfRule type="cellIs" dxfId="7509" priority="9468" operator="greaterThanOrEqual">
      <formula>175</formula>
    </cfRule>
  </conditionalFormatting>
  <conditionalFormatting sqref="P1354">
    <cfRule type="containsText" dxfId="7508" priority="9469" operator="containsText" text="ND">
      <formula>NOT(ISERROR(SEARCH(("ND"),(P1354))))</formula>
    </cfRule>
  </conditionalFormatting>
  <conditionalFormatting sqref="P1354">
    <cfRule type="cellIs" dxfId="7507" priority="9470" operator="greaterThanOrEqual">
      <formula>5</formula>
    </cfRule>
  </conditionalFormatting>
  <conditionalFormatting sqref="P1354">
    <cfRule type="cellIs" dxfId="7506" priority="9471" operator="greaterThanOrEqual">
      <formula>2.5</formula>
    </cfRule>
  </conditionalFormatting>
  <conditionalFormatting sqref="Q1354">
    <cfRule type="containsText" dxfId="7505" priority="9472" operator="containsText" text="ND">
      <formula>NOT(ISERROR(SEARCH(("ND"),(Q1354))))</formula>
    </cfRule>
  </conditionalFormatting>
  <conditionalFormatting sqref="Q1354">
    <cfRule type="cellIs" dxfId="7504" priority="9473" operator="greaterThanOrEqual">
      <formula>500</formula>
    </cfRule>
  </conditionalFormatting>
  <conditionalFormatting sqref="Q1354">
    <cfRule type="cellIs" dxfId="7503" priority="9474" operator="greaterThanOrEqual">
      <formula>300</formula>
    </cfRule>
  </conditionalFormatting>
  <conditionalFormatting sqref="M1349">
    <cfRule type="cellIs" dxfId="7502" priority="9475" operator="greaterThanOrEqual">
      <formula>60</formula>
    </cfRule>
  </conditionalFormatting>
  <conditionalFormatting sqref="M1349">
    <cfRule type="cellIs" dxfId="7501" priority="9476" operator="greaterThanOrEqual">
      <formula>30</formula>
    </cfRule>
  </conditionalFormatting>
  <conditionalFormatting sqref="O1349">
    <cfRule type="cellIs" dxfId="7500" priority="9477" operator="greaterThanOrEqual">
      <formula>250</formula>
    </cfRule>
  </conditionalFormatting>
  <conditionalFormatting sqref="O1349">
    <cfRule type="cellIs" dxfId="7499" priority="9478" operator="greaterThanOrEqual">
      <formula>175</formula>
    </cfRule>
  </conditionalFormatting>
  <conditionalFormatting sqref="P1349">
    <cfRule type="cellIs" dxfId="7498" priority="9479" operator="greaterThanOrEqual">
      <formula>5</formula>
    </cfRule>
  </conditionalFormatting>
  <conditionalFormatting sqref="P1349">
    <cfRule type="cellIs" dxfId="7497" priority="9480" operator="greaterThanOrEqual">
      <formula>2.5</formula>
    </cfRule>
  </conditionalFormatting>
  <conditionalFormatting sqref="Q1349">
    <cfRule type="cellIs" dxfId="7496" priority="9481" operator="greaterThanOrEqual">
      <formula>500</formula>
    </cfRule>
  </conditionalFormatting>
  <conditionalFormatting sqref="Q1349">
    <cfRule type="cellIs" dxfId="7495" priority="9482" operator="greaterThanOrEqual">
      <formula>300</formula>
    </cfRule>
  </conditionalFormatting>
  <conditionalFormatting sqref="R1349">
    <cfRule type="cellIs" dxfId="7494" priority="9483" operator="greaterThanOrEqual">
      <formula>600</formula>
    </cfRule>
  </conditionalFormatting>
  <conditionalFormatting sqref="R1349">
    <cfRule type="cellIs" dxfId="7493" priority="9484" operator="greaterThanOrEqual">
      <formula>260</formula>
    </cfRule>
  </conditionalFormatting>
  <conditionalFormatting sqref="S1349">
    <cfRule type="cellIs" dxfId="7492" priority="9485" operator="greaterThanOrEqual">
      <formula>200</formula>
    </cfRule>
  </conditionalFormatting>
  <conditionalFormatting sqref="S1349">
    <cfRule type="cellIs" dxfId="7491" priority="9486" operator="greaterThanOrEqual">
      <formula>130</formula>
    </cfRule>
  </conditionalFormatting>
  <conditionalFormatting sqref="N1349">
    <cfRule type="cellIs" dxfId="7490" priority="9487" operator="greaterThanOrEqual">
      <formula>200</formula>
    </cfRule>
  </conditionalFormatting>
  <conditionalFormatting sqref="N1349">
    <cfRule type="cellIs" dxfId="7489" priority="9488" operator="greaterThanOrEqual">
      <formula>120</formula>
    </cfRule>
  </conditionalFormatting>
  <conditionalFormatting sqref="L1350">
    <cfRule type="cellIs" dxfId="7488" priority="9489" operator="greaterThanOrEqual">
      <formula>5</formula>
    </cfRule>
  </conditionalFormatting>
  <conditionalFormatting sqref="L1350">
    <cfRule type="cellIs" dxfId="7487" priority="9490" operator="greaterThanOrEqual">
      <formula>2</formula>
    </cfRule>
  </conditionalFormatting>
  <conditionalFormatting sqref="M1350">
    <cfRule type="cellIs" dxfId="7486" priority="9491" operator="greaterThanOrEqual">
      <formula>60</formula>
    </cfRule>
  </conditionalFormatting>
  <conditionalFormatting sqref="M1350">
    <cfRule type="cellIs" dxfId="7485" priority="9492" operator="greaterThanOrEqual">
      <formula>30</formula>
    </cfRule>
  </conditionalFormatting>
  <conditionalFormatting sqref="R1350">
    <cfRule type="cellIs" dxfId="7484" priority="9493" operator="greaterThanOrEqual">
      <formula>600</formula>
    </cfRule>
  </conditionalFormatting>
  <conditionalFormatting sqref="R1350">
    <cfRule type="cellIs" dxfId="7483" priority="9494" operator="greaterThanOrEqual">
      <formula>260</formula>
    </cfRule>
  </conditionalFormatting>
  <conditionalFormatting sqref="S1350">
    <cfRule type="containsText" dxfId="7482" priority="9495" operator="containsText" text="&lt;">
      <formula>NOT(ISERROR(SEARCH(("&lt;"),(S1350))))</formula>
    </cfRule>
  </conditionalFormatting>
  <conditionalFormatting sqref="S1350">
    <cfRule type="containsText" dxfId="7481" priority="9496" operator="containsText" text="ND">
      <formula>NOT(ISERROR(SEARCH(("ND"),(S1350))))</formula>
    </cfRule>
  </conditionalFormatting>
  <conditionalFormatting sqref="S1350">
    <cfRule type="cellIs" dxfId="7480" priority="9497" operator="greaterThanOrEqual">
      <formula>200</formula>
    </cfRule>
  </conditionalFormatting>
  <conditionalFormatting sqref="S1350">
    <cfRule type="cellIs" dxfId="7479" priority="9498" operator="greaterThanOrEqual">
      <formula>130</formula>
    </cfRule>
  </conditionalFormatting>
  <conditionalFormatting sqref="N1350">
    <cfRule type="cellIs" dxfId="7478" priority="9499" operator="greaterThanOrEqual">
      <formula>200</formula>
    </cfRule>
  </conditionalFormatting>
  <conditionalFormatting sqref="N1350">
    <cfRule type="cellIs" dxfId="7477" priority="9500" operator="greaterThanOrEqual">
      <formula>120</formula>
    </cfRule>
  </conditionalFormatting>
  <conditionalFormatting sqref="O1350">
    <cfRule type="containsText" dxfId="7476" priority="9501" operator="containsText" text="ND">
      <formula>NOT(ISERROR(SEARCH(("ND"),(O1350))))</formula>
    </cfRule>
  </conditionalFormatting>
  <conditionalFormatting sqref="O1350">
    <cfRule type="cellIs" dxfId="7475" priority="9502" operator="greaterThanOrEqual">
      <formula>250</formula>
    </cfRule>
  </conditionalFormatting>
  <conditionalFormatting sqref="O1350">
    <cfRule type="cellIs" dxfId="7474" priority="9503" operator="greaterThanOrEqual">
      <formula>175</formula>
    </cfRule>
  </conditionalFormatting>
  <conditionalFormatting sqref="P1350">
    <cfRule type="containsText" dxfId="7473" priority="9504" operator="containsText" text="ND">
      <formula>NOT(ISERROR(SEARCH(("ND"),(P1350))))</formula>
    </cfRule>
  </conditionalFormatting>
  <conditionalFormatting sqref="P1350">
    <cfRule type="cellIs" dxfId="7472" priority="9505" operator="greaterThanOrEqual">
      <formula>5</formula>
    </cfRule>
  </conditionalFormatting>
  <conditionalFormatting sqref="P1350">
    <cfRule type="cellIs" dxfId="7471" priority="9506" operator="greaterThanOrEqual">
      <formula>2.5</formula>
    </cfRule>
  </conditionalFormatting>
  <conditionalFormatting sqref="Q1350">
    <cfRule type="containsText" dxfId="7470" priority="9507" operator="containsText" text="ND">
      <formula>NOT(ISERROR(SEARCH(("ND"),(Q1350))))</formula>
    </cfRule>
  </conditionalFormatting>
  <conditionalFormatting sqref="Q1350">
    <cfRule type="cellIs" dxfId="7469" priority="9508" operator="greaterThanOrEqual">
      <formula>500</formula>
    </cfRule>
  </conditionalFormatting>
  <conditionalFormatting sqref="Q1350">
    <cfRule type="cellIs" dxfId="7468" priority="9509" operator="greaterThanOrEqual">
      <formula>300</formula>
    </cfRule>
  </conditionalFormatting>
  <conditionalFormatting sqref="L1351">
    <cfRule type="cellIs" dxfId="7467" priority="9510" operator="greaterThanOrEqual">
      <formula>5</formula>
    </cfRule>
  </conditionalFormatting>
  <conditionalFormatting sqref="L1351">
    <cfRule type="cellIs" dxfId="7466" priority="9511" operator="greaterThanOrEqual">
      <formula>2</formula>
    </cfRule>
  </conditionalFormatting>
  <conditionalFormatting sqref="M1351">
    <cfRule type="cellIs" dxfId="7465" priority="9512" operator="greaterThanOrEqual">
      <formula>60</formula>
    </cfRule>
  </conditionalFormatting>
  <conditionalFormatting sqref="M1351">
    <cfRule type="cellIs" dxfId="7464" priority="9513" operator="greaterThanOrEqual">
      <formula>30</formula>
    </cfRule>
  </conditionalFormatting>
  <conditionalFormatting sqref="R1351">
    <cfRule type="cellIs" dxfId="7463" priority="9514" operator="greaterThanOrEqual">
      <formula>600</formula>
    </cfRule>
  </conditionalFormatting>
  <conditionalFormatting sqref="R1351">
    <cfRule type="cellIs" dxfId="7462" priority="9515" operator="greaterThanOrEqual">
      <formula>260</formula>
    </cfRule>
  </conditionalFormatting>
  <conditionalFormatting sqref="S1351">
    <cfRule type="containsText" dxfId="7461" priority="9516" operator="containsText" text="&lt;">
      <formula>NOT(ISERROR(SEARCH(("&lt;"),(S1351))))</formula>
    </cfRule>
  </conditionalFormatting>
  <conditionalFormatting sqref="S1351">
    <cfRule type="containsText" dxfId="7460" priority="9517" operator="containsText" text="ND">
      <formula>NOT(ISERROR(SEARCH(("ND"),(S1351))))</formula>
    </cfRule>
  </conditionalFormatting>
  <conditionalFormatting sqref="S1351">
    <cfRule type="cellIs" dxfId="7459" priority="9518" operator="greaterThanOrEqual">
      <formula>200</formula>
    </cfRule>
  </conditionalFormatting>
  <conditionalFormatting sqref="S1351">
    <cfRule type="cellIs" dxfId="7458" priority="9519" operator="greaterThanOrEqual">
      <formula>130</formula>
    </cfRule>
  </conditionalFormatting>
  <conditionalFormatting sqref="N1351">
    <cfRule type="cellIs" dxfId="7457" priority="9520" operator="greaterThanOrEqual">
      <formula>200</formula>
    </cfRule>
  </conditionalFormatting>
  <conditionalFormatting sqref="N1351">
    <cfRule type="cellIs" dxfId="7456" priority="9521" operator="greaterThanOrEqual">
      <formula>120</formula>
    </cfRule>
  </conditionalFormatting>
  <conditionalFormatting sqref="O1351">
    <cfRule type="containsText" dxfId="7455" priority="9522" operator="containsText" text="ND">
      <formula>NOT(ISERROR(SEARCH(("ND"),(O1351))))</formula>
    </cfRule>
  </conditionalFormatting>
  <conditionalFormatting sqref="O1351">
    <cfRule type="cellIs" dxfId="7454" priority="9523" operator="greaterThanOrEqual">
      <formula>250</formula>
    </cfRule>
  </conditionalFormatting>
  <conditionalFormatting sqref="O1351">
    <cfRule type="cellIs" dxfId="7453" priority="9524" operator="greaterThanOrEqual">
      <formula>175</formula>
    </cfRule>
  </conditionalFormatting>
  <conditionalFormatting sqref="P1351">
    <cfRule type="containsText" dxfId="7452" priority="9525" operator="containsText" text="ND">
      <formula>NOT(ISERROR(SEARCH(("ND"),(P1351))))</formula>
    </cfRule>
  </conditionalFormatting>
  <conditionalFormatting sqref="P1351">
    <cfRule type="cellIs" dxfId="7451" priority="9526" operator="greaterThanOrEqual">
      <formula>5</formula>
    </cfRule>
  </conditionalFormatting>
  <conditionalFormatting sqref="P1351">
    <cfRule type="cellIs" dxfId="7450" priority="9527" operator="greaterThanOrEqual">
      <formula>2.5</formula>
    </cfRule>
  </conditionalFormatting>
  <conditionalFormatting sqref="Q1351">
    <cfRule type="containsText" dxfId="7449" priority="9528" operator="containsText" text="ND">
      <formula>NOT(ISERROR(SEARCH(("ND"),(Q1351))))</formula>
    </cfRule>
  </conditionalFormatting>
  <conditionalFormatting sqref="Q1351">
    <cfRule type="cellIs" dxfId="7448" priority="9529" operator="greaterThanOrEqual">
      <formula>500</formula>
    </cfRule>
  </conditionalFormatting>
  <conditionalFormatting sqref="Q1351">
    <cfRule type="cellIs" dxfId="7447" priority="9530" operator="greaterThanOrEqual">
      <formula>300</formula>
    </cfRule>
  </conditionalFormatting>
  <conditionalFormatting sqref="L1352">
    <cfRule type="cellIs" dxfId="7446" priority="9531" operator="greaterThanOrEqual">
      <formula>5</formula>
    </cfRule>
  </conditionalFormatting>
  <conditionalFormatting sqref="L1352">
    <cfRule type="cellIs" dxfId="7445" priority="9532" operator="greaterThanOrEqual">
      <formula>2</formula>
    </cfRule>
  </conditionalFormatting>
  <conditionalFormatting sqref="M1352">
    <cfRule type="cellIs" dxfId="7444" priority="9533" operator="greaterThanOrEqual">
      <formula>60</formula>
    </cfRule>
  </conditionalFormatting>
  <conditionalFormatting sqref="M1352">
    <cfRule type="cellIs" dxfId="7443" priority="9534" operator="greaterThanOrEqual">
      <formula>30</formula>
    </cfRule>
  </conditionalFormatting>
  <conditionalFormatting sqref="R1352">
    <cfRule type="cellIs" dxfId="7442" priority="9535" operator="greaterThanOrEqual">
      <formula>600</formula>
    </cfRule>
  </conditionalFormatting>
  <conditionalFormatting sqref="R1352">
    <cfRule type="cellIs" dxfId="7441" priority="9536" operator="greaterThanOrEqual">
      <formula>260</formula>
    </cfRule>
  </conditionalFormatting>
  <conditionalFormatting sqref="S1352">
    <cfRule type="containsText" dxfId="7440" priority="9537" operator="containsText" text="&lt;">
      <formula>NOT(ISERROR(SEARCH(("&lt;"),(S1352))))</formula>
    </cfRule>
  </conditionalFormatting>
  <conditionalFormatting sqref="S1352">
    <cfRule type="containsText" dxfId="7439" priority="9538" operator="containsText" text="ND">
      <formula>NOT(ISERROR(SEARCH(("ND"),(S1352))))</formula>
    </cfRule>
  </conditionalFormatting>
  <conditionalFormatting sqref="S1352">
    <cfRule type="cellIs" dxfId="7438" priority="9539" operator="greaterThanOrEqual">
      <formula>200</formula>
    </cfRule>
  </conditionalFormatting>
  <conditionalFormatting sqref="S1352">
    <cfRule type="cellIs" dxfId="7437" priority="9540" operator="greaterThanOrEqual">
      <formula>130</formula>
    </cfRule>
  </conditionalFormatting>
  <conditionalFormatting sqref="N1352">
    <cfRule type="cellIs" dxfId="7436" priority="9541" operator="greaterThanOrEqual">
      <formula>200</formula>
    </cfRule>
  </conditionalFormatting>
  <conditionalFormatting sqref="N1352">
    <cfRule type="cellIs" dxfId="7435" priority="9542" operator="greaterThanOrEqual">
      <formula>120</formula>
    </cfRule>
  </conditionalFormatting>
  <conditionalFormatting sqref="O1352">
    <cfRule type="containsText" dxfId="7434" priority="9543" operator="containsText" text="ND">
      <formula>NOT(ISERROR(SEARCH(("ND"),(O1352))))</formula>
    </cfRule>
  </conditionalFormatting>
  <conditionalFormatting sqref="O1352">
    <cfRule type="cellIs" dxfId="7433" priority="9544" operator="greaterThanOrEqual">
      <formula>250</formula>
    </cfRule>
  </conditionalFormatting>
  <conditionalFormatting sqref="O1352">
    <cfRule type="cellIs" dxfId="7432" priority="9545" operator="greaterThanOrEqual">
      <formula>175</formula>
    </cfRule>
  </conditionalFormatting>
  <conditionalFormatting sqref="P1352">
    <cfRule type="containsText" dxfId="7431" priority="9546" operator="containsText" text="ND">
      <formula>NOT(ISERROR(SEARCH(("ND"),(P1352))))</formula>
    </cfRule>
  </conditionalFormatting>
  <conditionalFormatting sqref="P1352">
    <cfRule type="cellIs" dxfId="7430" priority="9547" operator="greaterThanOrEqual">
      <formula>5</formula>
    </cfRule>
  </conditionalFormatting>
  <conditionalFormatting sqref="P1352">
    <cfRule type="cellIs" dxfId="7429" priority="9548" operator="greaterThanOrEqual">
      <formula>2.5</formula>
    </cfRule>
  </conditionalFormatting>
  <conditionalFormatting sqref="Q1352">
    <cfRule type="containsText" dxfId="7428" priority="9549" operator="containsText" text="ND">
      <formula>NOT(ISERROR(SEARCH(("ND"),(Q1352))))</formula>
    </cfRule>
  </conditionalFormatting>
  <conditionalFormatting sqref="Q1352">
    <cfRule type="cellIs" dxfId="7427" priority="9550" operator="greaterThanOrEqual">
      <formula>500</formula>
    </cfRule>
  </conditionalFormatting>
  <conditionalFormatting sqref="Q1352">
    <cfRule type="cellIs" dxfId="7426" priority="9551" operator="greaterThanOrEqual">
      <formula>300</formula>
    </cfRule>
  </conditionalFormatting>
  <conditionalFormatting sqref="L1353">
    <cfRule type="cellIs" dxfId="7425" priority="9552" operator="greaterThanOrEqual">
      <formula>5</formula>
    </cfRule>
  </conditionalFormatting>
  <conditionalFormatting sqref="L1353">
    <cfRule type="cellIs" dxfId="7424" priority="9553" operator="greaterThanOrEqual">
      <formula>2</formula>
    </cfRule>
  </conditionalFormatting>
  <conditionalFormatting sqref="M1353">
    <cfRule type="cellIs" dxfId="7423" priority="9554" operator="greaterThanOrEqual">
      <formula>60</formula>
    </cfRule>
  </conditionalFormatting>
  <conditionalFormatting sqref="M1353">
    <cfRule type="cellIs" dxfId="7422" priority="9555" operator="greaterThanOrEqual">
      <formula>30</formula>
    </cfRule>
  </conditionalFormatting>
  <conditionalFormatting sqref="R1353">
    <cfRule type="cellIs" dxfId="7421" priority="9556" operator="greaterThanOrEqual">
      <formula>600</formula>
    </cfRule>
  </conditionalFormatting>
  <conditionalFormatting sqref="R1353">
    <cfRule type="cellIs" dxfId="7420" priority="9557" operator="greaterThanOrEqual">
      <formula>260</formula>
    </cfRule>
  </conditionalFormatting>
  <conditionalFormatting sqref="S1353">
    <cfRule type="containsText" dxfId="7419" priority="9558" operator="containsText" text="&lt;">
      <formula>NOT(ISERROR(SEARCH(("&lt;"),(S1353))))</formula>
    </cfRule>
  </conditionalFormatting>
  <conditionalFormatting sqref="S1353">
    <cfRule type="containsText" dxfId="7418" priority="9559" operator="containsText" text="ND">
      <formula>NOT(ISERROR(SEARCH(("ND"),(S1353))))</formula>
    </cfRule>
  </conditionalFormatting>
  <conditionalFormatting sqref="S1353">
    <cfRule type="cellIs" dxfId="7417" priority="9560" operator="greaterThanOrEqual">
      <formula>200</formula>
    </cfRule>
  </conditionalFormatting>
  <conditionalFormatting sqref="S1353">
    <cfRule type="cellIs" dxfId="7416" priority="9561" operator="greaterThanOrEqual">
      <formula>130</formula>
    </cfRule>
  </conditionalFormatting>
  <conditionalFormatting sqref="N1353">
    <cfRule type="cellIs" dxfId="7415" priority="9562" operator="greaterThanOrEqual">
      <formula>200</formula>
    </cfRule>
  </conditionalFormatting>
  <conditionalFormatting sqref="N1353">
    <cfRule type="cellIs" dxfId="7414" priority="9563" operator="greaterThanOrEqual">
      <formula>120</formula>
    </cfRule>
  </conditionalFormatting>
  <conditionalFormatting sqref="O1353">
    <cfRule type="containsText" dxfId="7413" priority="9564" operator="containsText" text="ND">
      <formula>NOT(ISERROR(SEARCH(("ND"),(O1353))))</formula>
    </cfRule>
  </conditionalFormatting>
  <conditionalFormatting sqref="O1353">
    <cfRule type="cellIs" dxfId="7412" priority="9565" operator="greaterThanOrEqual">
      <formula>250</formula>
    </cfRule>
  </conditionalFormatting>
  <conditionalFormatting sqref="O1353">
    <cfRule type="cellIs" dxfId="7411" priority="9566" operator="greaterThanOrEqual">
      <formula>175</formula>
    </cfRule>
  </conditionalFormatting>
  <conditionalFormatting sqref="P1353">
    <cfRule type="containsText" dxfId="7410" priority="9567" operator="containsText" text="ND">
      <formula>NOT(ISERROR(SEARCH(("ND"),(P1353))))</formula>
    </cfRule>
  </conditionalFormatting>
  <conditionalFormatting sqref="P1353">
    <cfRule type="cellIs" dxfId="7409" priority="9568" operator="greaterThanOrEqual">
      <formula>5</formula>
    </cfRule>
  </conditionalFormatting>
  <conditionalFormatting sqref="P1353">
    <cfRule type="cellIs" dxfId="7408" priority="9569" operator="greaterThanOrEqual">
      <formula>2.5</formula>
    </cfRule>
  </conditionalFormatting>
  <conditionalFormatting sqref="Q1353">
    <cfRule type="containsText" dxfId="7407" priority="9570" operator="containsText" text="ND">
      <formula>NOT(ISERROR(SEARCH(("ND"),(Q1353))))</formula>
    </cfRule>
  </conditionalFormatting>
  <conditionalFormatting sqref="Q1353">
    <cfRule type="cellIs" dxfId="7406" priority="9571" operator="greaterThanOrEqual">
      <formula>500</formula>
    </cfRule>
  </conditionalFormatting>
  <conditionalFormatting sqref="Q1353">
    <cfRule type="cellIs" dxfId="7405" priority="9572" operator="greaterThanOrEqual">
      <formula>300</formula>
    </cfRule>
  </conditionalFormatting>
  <conditionalFormatting sqref="L1355">
    <cfRule type="cellIs" dxfId="7404" priority="9573" operator="greaterThanOrEqual">
      <formula>5</formula>
    </cfRule>
  </conditionalFormatting>
  <conditionalFormatting sqref="L1355">
    <cfRule type="cellIs" dxfId="7403" priority="9574" operator="greaterThanOrEqual">
      <formula>2</formula>
    </cfRule>
  </conditionalFormatting>
  <conditionalFormatting sqref="M1355">
    <cfRule type="cellIs" dxfId="7402" priority="9575" operator="greaterThanOrEqual">
      <formula>60</formula>
    </cfRule>
  </conditionalFormatting>
  <conditionalFormatting sqref="M1355">
    <cfRule type="cellIs" dxfId="7401" priority="9576" operator="greaterThanOrEqual">
      <formula>30</formula>
    </cfRule>
  </conditionalFormatting>
  <conditionalFormatting sqref="R1355">
    <cfRule type="cellIs" dxfId="7400" priority="9577" operator="greaterThanOrEqual">
      <formula>600</formula>
    </cfRule>
  </conditionalFormatting>
  <conditionalFormatting sqref="R1355">
    <cfRule type="cellIs" dxfId="7399" priority="9578" operator="greaterThanOrEqual">
      <formula>260</formula>
    </cfRule>
  </conditionalFormatting>
  <conditionalFormatting sqref="S1355">
    <cfRule type="containsText" dxfId="7398" priority="9579" operator="containsText" text="&lt;">
      <formula>NOT(ISERROR(SEARCH(("&lt;"),(S1355))))</formula>
    </cfRule>
  </conditionalFormatting>
  <conditionalFormatting sqref="S1355">
    <cfRule type="containsText" dxfId="7397" priority="9580" operator="containsText" text="ND">
      <formula>NOT(ISERROR(SEARCH(("ND"),(S1355))))</formula>
    </cfRule>
  </conditionalFormatting>
  <conditionalFormatting sqref="S1355">
    <cfRule type="cellIs" dxfId="7396" priority="9581" operator="greaterThanOrEqual">
      <formula>200</formula>
    </cfRule>
  </conditionalFormatting>
  <conditionalFormatting sqref="S1355">
    <cfRule type="cellIs" dxfId="7395" priority="9582" operator="greaterThanOrEqual">
      <formula>130</formula>
    </cfRule>
  </conditionalFormatting>
  <conditionalFormatting sqref="N1355">
    <cfRule type="cellIs" dxfId="7394" priority="9583" operator="greaterThanOrEqual">
      <formula>200</formula>
    </cfRule>
  </conditionalFormatting>
  <conditionalFormatting sqref="N1355">
    <cfRule type="cellIs" dxfId="7393" priority="9584" operator="greaterThanOrEqual">
      <formula>120</formula>
    </cfRule>
  </conditionalFormatting>
  <conditionalFormatting sqref="O1355">
    <cfRule type="containsText" dxfId="7392" priority="9585" operator="containsText" text="ND">
      <formula>NOT(ISERROR(SEARCH(("ND"),(O1355))))</formula>
    </cfRule>
  </conditionalFormatting>
  <conditionalFormatting sqref="O1355">
    <cfRule type="cellIs" dxfId="7391" priority="9586" operator="greaterThanOrEqual">
      <formula>250</formula>
    </cfRule>
  </conditionalFormatting>
  <conditionalFormatting sqref="O1355">
    <cfRule type="cellIs" dxfId="7390" priority="9587" operator="greaterThanOrEqual">
      <formula>175</formula>
    </cfRule>
  </conditionalFormatting>
  <conditionalFormatting sqref="P1355">
    <cfRule type="containsText" dxfId="7389" priority="9588" operator="containsText" text="ND">
      <formula>NOT(ISERROR(SEARCH(("ND"),(P1355))))</formula>
    </cfRule>
  </conditionalFormatting>
  <conditionalFormatting sqref="P1355">
    <cfRule type="cellIs" dxfId="7388" priority="9589" operator="greaterThanOrEqual">
      <formula>5</formula>
    </cfRule>
  </conditionalFormatting>
  <conditionalFormatting sqref="P1355">
    <cfRule type="cellIs" dxfId="7387" priority="9590" operator="greaterThanOrEqual">
      <formula>2.5</formula>
    </cfRule>
  </conditionalFormatting>
  <conditionalFormatting sqref="Q1355">
    <cfRule type="containsText" dxfId="7386" priority="9591" operator="containsText" text="ND">
      <formula>NOT(ISERROR(SEARCH(("ND"),(Q1355))))</formula>
    </cfRule>
  </conditionalFormatting>
  <conditionalFormatting sqref="Q1355">
    <cfRule type="cellIs" dxfId="7385" priority="9592" operator="greaterThanOrEqual">
      <formula>500</formula>
    </cfRule>
  </conditionalFormatting>
  <conditionalFormatting sqref="Q1355">
    <cfRule type="cellIs" dxfId="7384" priority="9593" operator="greaterThanOrEqual">
      <formula>300</formula>
    </cfRule>
  </conditionalFormatting>
  <conditionalFormatting sqref="L1356">
    <cfRule type="cellIs" dxfId="7383" priority="9594" operator="greaterThanOrEqual">
      <formula>5</formula>
    </cfRule>
  </conditionalFormatting>
  <conditionalFormatting sqref="L1356">
    <cfRule type="cellIs" dxfId="7382" priority="9595" operator="greaterThanOrEqual">
      <formula>2</formula>
    </cfRule>
  </conditionalFormatting>
  <conditionalFormatting sqref="M1356">
    <cfRule type="cellIs" dxfId="7381" priority="9596" operator="greaterThanOrEqual">
      <formula>60</formula>
    </cfRule>
  </conditionalFormatting>
  <conditionalFormatting sqref="M1356">
    <cfRule type="cellIs" dxfId="7380" priority="9597" operator="greaterThanOrEqual">
      <formula>30</formula>
    </cfRule>
  </conditionalFormatting>
  <conditionalFormatting sqref="R1356">
    <cfRule type="cellIs" dxfId="7379" priority="9598" operator="greaterThanOrEqual">
      <formula>600</formula>
    </cfRule>
  </conditionalFormatting>
  <conditionalFormatting sqref="R1356">
    <cfRule type="cellIs" dxfId="7378" priority="9599" operator="greaterThanOrEqual">
      <formula>260</formula>
    </cfRule>
  </conditionalFormatting>
  <conditionalFormatting sqref="S1356">
    <cfRule type="containsText" dxfId="7377" priority="9600" operator="containsText" text="&lt;">
      <formula>NOT(ISERROR(SEARCH(("&lt;"),(S1356))))</formula>
    </cfRule>
  </conditionalFormatting>
  <conditionalFormatting sqref="S1356">
    <cfRule type="containsText" dxfId="7376" priority="9601" operator="containsText" text="ND">
      <formula>NOT(ISERROR(SEARCH(("ND"),(S1356))))</formula>
    </cfRule>
  </conditionalFormatting>
  <conditionalFormatting sqref="S1356">
    <cfRule type="cellIs" dxfId="7375" priority="9602" operator="greaterThanOrEqual">
      <formula>200</formula>
    </cfRule>
  </conditionalFormatting>
  <conditionalFormatting sqref="S1356">
    <cfRule type="cellIs" dxfId="7374" priority="9603" operator="greaterThanOrEqual">
      <formula>130</formula>
    </cfRule>
  </conditionalFormatting>
  <conditionalFormatting sqref="N1356">
    <cfRule type="cellIs" dxfId="7373" priority="9604" operator="greaterThanOrEqual">
      <formula>200</formula>
    </cfRule>
  </conditionalFormatting>
  <conditionalFormatting sqref="N1356">
    <cfRule type="cellIs" dxfId="7372" priority="9605" operator="greaterThanOrEqual">
      <formula>120</formula>
    </cfRule>
  </conditionalFormatting>
  <conditionalFormatting sqref="O1356">
    <cfRule type="containsText" dxfId="7371" priority="9606" operator="containsText" text="ND">
      <formula>NOT(ISERROR(SEARCH(("ND"),(O1356))))</formula>
    </cfRule>
  </conditionalFormatting>
  <conditionalFormatting sqref="O1356">
    <cfRule type="cellIs" dxfId="7370" priority="9607" operator="greaterThanOrEqual">
      <formula>250</formula>
    </cfRule>
  </conditionalFormatting>
  <conditionalFormatting sqref="O1356">
    <cfRule type="cellIs" dxfId="7369" priority="9608" operator="greaterThanOrEqual">
      <formula>175</formula>
    </cfRule>
  </conditionalFormatting>
  <conditionalFormatting sqref="P1356">
    <cfRule type="containsText" dxfId="7368" priority="9609" operator="containsText" text="ND">
      <formula>NOT(ISERROR(SEARCH(("ND"),(P1356))))</formula>
    </cfRule>
  </conditionalFormatting>
  <conditionalFormatting sqref="P1356">
    <cfRule type="cellIs" dxfId="7367" priority="9610" operator="greaterThanOrEqual">
      <formula>5</formula>
    </cfRule>
  </conditionalFormatting>
  <conditionalFormatting sqref="P1356">
    <cfRule type="cellIs" dxfId="7366" priority="9611" operator="greaterThanOrEqual">
      <formula>2.5</formula>
    </cfRule>
  </conditionalFormatting>
  <conditionalFormatting sqref="Q1356">
    <cfRule type="containsText" dxfId="7365" priority="9612" operator="containsText" text="ND">
      <formula>NOT(ISERROR(SEARCH(("ND"),(Q1356))))</formula>
    </cfRule>
  </conditionalFormatting>
  <conditionalFormatting sqref="Q1356">
    <cfRule type="cellIs" dxfId="7364" priority="9613" operator="greaterThanOrEqual">
      <formula>500</formula>
    </cfRule>
  </conditionalFormatting>
  <conditionalFormatting sqref="Q1356">
    <cfRule type="cellIs" dxfId="7363" priority="9614" operator="greaterThanOrEqual">
      <formula>300</formula>
    </cfRule>
  </conditionalFormatting>
  <conditionalFormatting sqref="L1357">
    <cfRule type="cellIs" dxfId="7362" priority="9615" operator="greaterThanOrEqual">
      <formula>5</formula>
    </cfRule>
  </conditionalFormatting>
  <conditionalFormatting sqref="L1357">
    <cfRule type="cellIs" dxfId="7361" priority="9616" operator="greaterThanOrEqual">
      <formula>2</formula>
    </cfRule>
  </conditionalFormatting>
  <conditionalFormatting sqref="M1357">
    <cfRule type="cellIs" dxfId="7360" priority="9617" operator="greaterThanOrEqual">
      <formula>60</formula>
    </cfRule>
  </conditionalFormatting>
  <conditionalFormatting sqref="M1357">
    <cfRule type="cellIs" dxfId="7359" priority="9618" operator="greaterThanOrEqual">
      <formula>30</formula>
    </cfRule>
  </conditionalFormatting>
  <conditionalFormatting sqref="R1357">
    <cfRule type="cellIs" dxfId="7358" priority="9619" operator="greaterThanOrEqual">
      <formula>600</formula>
    </cfRule>
  </conditionalFormatting>
  <conditionalFormatting sqref="R1357">
    <cfRule type="cellIs" dxfId="7357" priority="9620" operator="greaterThanOrEqual">
      <formula>260</formula>
    </cfRule>
  </conditionalFormatting>
  <conditionalFormatting sqref="S1357">
    <cfRule type="containsText" dxfId="7356" priority="9621" operator="containsText" text="&lt;">
      <formula>NOT(ISERROR(SEARCH(("&lt;"),(S1357))))</formula>
    </cfRule>
  </conditionalFormatting>
  <conditionalFormatting sqref="S1357">
    <cfRule type="containsText" dxfId="7355" priority="9622" operator="containsText" text="ND">
      <formula>NOT(ISERROR(SEARCH(("ND"),(S1357))))</formula>
    </cfRule>
  </conditionalFormatting>
  <conditionalFormatting sqref="S1357">
    <cfRule type="cellIs" dxfId="7354" priority="9623" operator="greaterThanOrEqual">
      <formula>200</formula>
    </cfRule>
  </conditionalFormatting>
  <conditionalFormatting sqref="S1357">
    <cfRule type="cellIs" dxfId="7353" priority="9624" operator="greaterThanOrEqual">
      <formula>130</formula>
    </cfRule>
  </conditionalFormatting>
  <conditionalFormatting sqref="N1357">
    <cfRule type="cellIs" dxfId="7352" priority="9625" operator="greaterThanOrEqual">
      <formula>200</formula>
    </cfRule>
  </conditionalFormatting>
  <conditionalFormatting sqref="N1357">
    <cfRule type="cellIs" dxfId="7351" priority="9626" operator="greaterThanOrEqual">
      <formula>120</formula>
    </cfRule>
  </conditionalFormatting>
  <conditionalFormatting sqref="O1357">
    <cfRule type="containsText" dxfId="7350" priority="9627" operator="containsText" text="ND">
      <formula>NOT(ISERROR(SEARCH(("ND"),(O1357))))</formula>
    </cfRule>
  </conditionalFormatting>
  <conditionalFormatting sqref="O1357">
    <cfRule type="cellIs" dxfId="7349" priority="9628" operator="greaterThanOrEqual">
      <formula>250</formula>
    </cfRule>
  </conditionalFormatting>
  <conditionalFormatting sqref="O1357">
    <cfRule type="cellIs" dxfId="7348" priority="9629" operator="greaterThanOrEqual">
      <formula>175</formula>
    </cfRule>
  </conditionalFormatting>
  <conditionalFormatting sqref="P1357">
    <cfRule type="containsText" dxfId="7347" priority="9630" operator="containsText" text="ND">
      <formula>NOT(ISERROR(SEARCH(("ND"),(P1357))))</formula>
    </cfRule>
  </conditionalFormatting>
  <conditionalFormatting sqref="P1357">
    <cfRule type="cellIs" dxfId="7346" priority="9631" operator="greaterThanOrEqual">
      <formula>5</formula>
    </cfRule>
  </conditionalFormatting>
  <conditionalFormatting sqref="P1357">
    <cfRule type="cellIs" dxfId="7345" priority="9632" operator="greaterThanOrEqual">
      <formula>2.5</formula>
    </cfRule>
  </conditionalFormatting>
  <conditionalFormatting sqref="Q1357">
    <cfRule type="containsText" dxfId="7344" priority="9633" operator="containsText" text="ND">
      <formula>NOT(ISERROR(SEARCH(("ND"),(Q1357))))</formula>
    </cfRule>
  </conditionalFormatting>
  <conditionalFormatting sqref="Q1357">
    <cfRule type="cellIs" dxfId="7343" priority="9634" operator="greaterThanOrEqual">
      <formula>500</formula>
    </cfRule>
  </conditionalFormatting>
  <conditionalFormatting sqref="Q1357">
    <cfRule type="cellIs" dxfId="7342" priority="9635" operator="greaterThanOrEqual">
      <formula>300</formula>
    </cfRule>
  </conditionalFormatting>
  <conditionalFormatting sqref="L1358">
    <cfRule type="cellIs" dxfId="7341" priority="9636" operator="greaterThan">
      <formula>2</formula>
    </cfRule>
  </conditionalFormatting>
  <conditionalFormatting sqref="L1358">
    <cfRule type="cellIs" dxfId="7340" priority="9637" operator="greaterThan">
      <formula>5</formula>
    </cfRule>
  </conditionalFormatting>
  <conditionalFormatting sqref="M1358">
    <cfRule type="cellIs" dxfId="7339" priority="9638" operator="greaterThanOrEqual">
      <formula>60</formula>
    </cfRule>
  </conditionalFormatting>
  <conditionalFormatting sqref="M1358">
    <cfRule type="cellIs" dxfId="7338" priority="9639" operator="greaterThanOrEqual">
      <formula>30</formula>
    </cfRule>
  </conditionalFormatting>
  <conditionalFormatting sqref="O1358">
    <cfRule type="cellIs" dxfId="7337" priority="9640" operator="greaterThanOrEqual">
      <formula>250</formula>
    </cfRule>
  </conditionalFormatting>
  <conditionalFormatting sqref="O1358">
    <cfRule type="cellIs" dxfId="7336" priority="9641" operator="greaterThanOrEqual">
      <formula>175</formula>
    </cfRule>
  </conditionalFormatting>
  <conditionalFormatting sqref="P1358">
    <cfRule type="cellIs" dxfId="7335" priority="9642" operator="greaterThanOrEqual">
      <formula>5</formula>
    </cfRule>
  </conditionalFormatting>
  <conditionalFormatting sqref="P1358">
    <cfRule type="cellIs" dxfId="7334" priority="9643" operator="greaterThanOrEqual">
      <formula>2.5</formula>
    </cfRule>
  </conditionalFormatting>
  <conditionalFormatting sqref="Q1358">
    <cfRule type="cellIs" dxfId="7333" priority="9644" operator="greaterThanOrEqual">
      <formula>500</formula>
    </cfRule>
  </conditionalFormatting>
  <conditionalFormatting sqref="Q1358">
    <cfRule type="cellIs" dxfId="7332" priority="9645" operator="greaterThanOrEqual">
      <formula>300</formula>
    </cfRule>
  </conditionalFormatting>
  <conditionalFormatting sqref="R1358">
    <cfRule type="cellIs" dxfId="7331" priority="9646" operator="greaterThanOrEqual">
      <formula>600</formula>
    </cfRule>
  </conditionalFormatting>
  <conditionalFormatting sqref="R1358">
    <cfRule type="cellIs" dxfId="7330" priority="9647" operator="greaterThanOrEqual">
      <formula>260</formula>
    </cfRule>
  </conditionalFormatting>
  <conditionalFormatting sqref="S1358">
    <cfRule type="cellIs" dxfId="7329" priority="9648" operator="greaterThanOrEqual">
      <formula>200</formula>
    </cfRule>
  </conditionalFormatting>
  <conditionalFormatting sqref="S1358">
    <cfRule type="cellIs" dxfId="7328" priority="9649" operator="greaterThanOrEqual">
      <formula>130</formula>
    </cfRule>
  </conditionalFormatting>
  <conditionalFormatting sqref="N1358">
    <cfRule type="cellIs" dxfId="7327" priority="9650" operator="greaterThanOrEqual">
      <formula>200</formula>
    </cfRule>
  </conditionalFormatting>
  <conditionalFormatting sqref="N1358">
    <cfRule type="cellIs" dxfId="7326" priority="9651" operator="greaterThanOrEqual">
      <formula>120</formula>
    </cfRule>
  </conditionalFormatting>
  <conditionalFormatting sqref="L1359">
    <cfRule type="cellIs" dxfId="7325" priority="9652" operator="greaterThanOrEqual">
      <formula>5</formula>
    </cfRule>
  </conditionalFormatting>
  <conditionalFormatting sqref="L1359">
    <cfRule type="cellIs" dxfId="7324" priority="9653" operator="greaterThanOrEqual">
      <formula>2</formula>
    </cfRule>
  </conditionalFormatting>
  <conditionalFormatting sqref="M1359">
    <cfRule type="cellIs" dxfId="7323" priority="9654" operator="greaterThanOrEqual">
      <formula>60</formula>
    </cfRule>
  </conditionalFormatting>
  <conditionalFormatting sqref="M1359">
    <cfRule type="cellIs" dxfId="7322" priority="9655" operator="greaterThanOrEqual">
      <formula>30</formula>
    </cfRule>
  </conditionalFormatting>
  <conditionalFormatting sqref="R1359">
    <cfRule type="cellIs" dxfId="7321" priority="9656" operator="greaterThanOrEqual">
      <formula>600</formula>
    </cfRule>
  </conditionalFormatting>
  <conditionalFormatting sqref="R1359">
    <cfRule type="cellIs" dxfId="7320" priority="9657" operator="greaterThanOrEqual">
      <formula>260</formula>
    </cfRule>
  </conditionalFormatting>
  <conditionalFormatting sqref="S1359">
    <cfRule type="containsText" dxfId="7319" priority="9658" operator="containsText" text="&lt;">
      <formula>NOT(ISERROR(SEARCH(("&lt;"),(S1359))))</formula>
    </cfRule>
  </conditionalFormatting>
  <conditionalFormatting sqref="S1359">
    <cfRule type="containsText" dxfId="7318" priority="9659" operator="containsText" text="ND">
      <formula>NOT(ISERROR(SEARCH(("ND"),(S1359))))</formula>
    </cfRule>
  </conditionalFormatting>
  <conditionalFormatting sqref="S1359">
    <cfRule type="cellIs" dxfId="7317" priority="9660" operator="greaterThanOrEqual">
      <formula>200</formula>
    </cfRule>
  </conditionalFormatting>
  <conditionalFormatting sqref="S1359">
    <cfRule type="cellIs" dxfId="7316" priority="9661" operator="greaterThanOrEqual">
      <formula>130</formula>
    </cfRule>
  </conditionalFormatting>
  <conditionalFormatting sqref="N1359">
    <cfRule type="cellIs" dxfId="7315" priority="9662" operator="greaterThanOrEqual">
      <formula>200</formula>
    </cfRule>
  </conditionalFormatting>
  <conditionalFormatting sqref="N1359">
    <cfRule type="cellIs" dxfId="7314" priority="9663" operator="greaterThanOrEqual">
      <formula>120</formula>
    </cfRule>
  </conditionalFormatting>
  <conditionalFormatting sqref="O1359">
    <cfRule type="containsText" dxfId="7313" priority="9664" operator="containsText" text="ND">
      <formula>NOT(ISERROR(SEARCH(("ND"),(O1359))))</formula>
    </cfRule>
  </conditionalFormatting>
  <conditionalFormatting sqref="O1359">
    <cfRule type="cellIs" dxfId="7312" priority="9665" operator="greaterThanOrEqual">
      <formula>250</formula>
    </cfRule>
  </conditionalFormatting>
  <conditionalFormatting sqref="O1359">
    <cfRule type="cellIs" dxfId="7311" priority="9666" operator="greaterThanOrEqual">
      <formula>175</formula>
    </cfRule>
  </conditionalFormatting>
  <conditionalFormatting sqref="P1359">
    <cfRule type="containsText" dxfId="7310" priority="9667" operator="containsText" text="ND">
      <formula>NOT(ISERROR(SEARCH(("ND"),(P1359))))</formula>
    </cfRule>
  </conditionalFormatting>
  <conditionalFormatting sqref="P1359">
    <cfRule type="cellIs" dxfId="7309" priority="9668" operator="greaterThanOrEqual">
      <formula>5</formula>
    </cfRule>
  </conditionalFormatting>
  <conditionalFormatting sqref="P1359">
    <cfRule type="cellIs" dxfId="7308" priority="9669" operator="greaterThanOrEqual">
      <formula>2.5</formula>
    </cfRule>
  </conditionalFormatting>
  <conditionalFormatting sqref="Q1359">
    <cfRule type="containsText" dxfId="7307" priority="9670" operator="containsText" text="ND">
      <formula>NOT(ISERROR(SEARCH(("ND"),(Q1359))))</formula>
    </cfRule>
  </conditionalFormatting>
  <conditionalFormatting sqref="Q1359">
    <cfRule type="cellIs" dxfId="7306" priority="9671" operator="greaterThanOrEqual">
      <formula>500</formula>
    </cfRule>
  </conditionalFormatting>
  <conditionalFormatting sqref="Q1359">
    <cfRule type="cellIs" dxfId="7305" priority="9672" operator="greaterThanOrEqual">
      <formula>300</formula>
    </cfRule>
  </conditionalFormatting>
  <conditionalFormatting sqref="L1360">
    <cfRule type="cellIs" dxfId="7304" priority="9673" operator="greaterThanOrEqual">
      <formula>5</formula>
    </cfRule>
  </conditionalFormatting>
  <conditionalFormatting sqref="L1360">
    <cfRule type="cellIs" dxfId="7303" priority="9674" operator="greaterThanOrEqual">
      <formula>2</formula>
    </cfRule>
  </conditionalFormatting>
  <conditionalFormatting sqref="M1360">
    <cfRule type="cellIs" dxfId="7302" priority="9675" operator="greaterThanOrEqual">
      <formula>60</formula>
    </cfRule>
  </conditionalFormatting>
  <conditionalFormatting sqref="M1360">
    <cfRule type="cellIs" dxfId="7301" priority="9676" operator="greaterThanOrEqual">
      <formula>30</formula>
    </cfRule>
  </conditionalFormatting>
  <conditionalFormatting sqref="R1360">
    <cfRule type="cellIs" dxfId="7300" priority="9677" operator="greaterThanOrEqual">
      <formula>600</formula>
    </cfRule>
  </conditionalFormatting>
  <conditionalFormatting sqref="R1360">
    <cfRule type="cellIs" dxfId="7299" priority="9678" operator="greaterThanOrEqual">
      <formula>260</formula>
    </cfRule>
  </conditionalFormatting>
  <conditionalFormatting sqref="S1360">
    <cfRule type="containsText" dxfId="7298" priority="9679" operator="containsText" text="&lt;">
      <formula>NOT(ISERROR(SEARCH(("&lt;"),(S1360))))</formula>
    </cfRule>
  </conditionalFormatting>
  <conditionalFormatting sqref="S1360">
    <cfRule type="containsText" dxfId="7297" priority="9680" operator="containsText" text="ND">
      <formula>NOT(ISERROR(SEARCH(("ND"),(S1360))))</formula>
    </cfRule>
  </conditionalFormatting>
  <conditionalFormatting sqref="S1360">
    <cfRule type="cellIs" dxfId="7296" priority="9681" operator="greaterThanOrEqual">
      <formula>200</formula>
    </cfRule>
  </conditionalFormatting>
  <conditionalFormatting sqref="S1360">
    <cfRule type="cellIs" dxfId="7295" priority="9682" operator="greaterThanOrEqual">
      <formula>130</formula>
    </cfRule>
  </conditionalFormatting>
  <conditionalFormatting sqref="N1360">
    <cfRule type="cellIs" dxfId="7294" priority="9683" operator="greaterThanOrEqual">
      <formula>200</formula>
    </cfRule>
  </conditionalFormatting>
  <conditionalFormatting sqref="N1360">
    <cfRule type="cellIs" dxfId="7293" priority="9684" operator="greaterThanOrEqual">
      <formula>120</formula>
    </cfRule>
  </conditionalFormatting>
  <conditionalFormatting sqref="O1360">
    <cfRule type="containsText" dxfId="7292" priority="9685" operator="containsText" text="ND">
      <formula>NOT(ISERROR(SEARCH(("ND"),(O1360))))</formula>
    </cfRule>
  </conditionalFormatting>
  <conditionalFormatting sqref="O1360">
    <cfRule type="cellIs" dxfId="7291" priority="9686" operator="greaterThanOrEqual">
      <formula>250</formula>
    </cfRule>
  </conditionalFormatting>
  <conditionalFormatting sqref="O1360">
    <cfRule type="cellIs" dxfId="7290" priority="9687" operator="greaterThanOrEqual">
      <formula>175</formula>
    </cfRule>
  </conditionalFormatting>
  <conditionalFormatting sqref="P1360">
    <cfRule type="containsText" dxfId="7289" priority="9688" operator="containsText" text="ND">
      <formula>NOT(ISERROR(SEARCH(("ND"),(P1360))))</formula>
    </cfRule>
  </conditionalFormatting>
  <conditionalFormatting sqref="P1360">
    <cfRule type="cellIs" dxfId="7288" priority="9689" operator="greaterThanOrEqual">
      <formula>5</formula>
    </cfRule>
  </conditionalFormatting>
  <conditionalFormatting sqref="P1360">
    <cfRule type="cellIs" dxfId="7287" priority="9690" operator="greaterThanOrEqual">
      <formula>2.5</formula>
    </cfRule>
  </conditionalFormatting>
  <conditionalFormatting sqref="Q1360">
    <cfRule type="containsText" dxfId="7286" priority="9691" operator="containsText" text="ND">
      <formula>NOT(ISERROR(SEARCH(("ND"),(Q1360))))</formula>
    </cfRule>
  </conditionalFormatting>
  <conditionalFormatting sqref="Q1360">
    <cfRule type="cellIs" dxfId="7285" priority="9692" operator="greaterThanOrEqual">
      <formula>500</formula>
    </cfRule>
  </conditionalFormatting>
  <conditionalFormatting sqref="Q1360">
    <cfRule type="cellIs" dxfId="7284" priority="9693" operator="greaterThanOrEqual">
      <formula>300</formula>
    </cfRule>
  </conditionalFormatting>
  <conditionalFormatting sqref="L1361">
    <cfRule type="cellIs" dxfId="7283" priority="9694" operator="greaterThanOrEqual">
      <formula>5</formula>
    </cfRule>
  </conditionalFormatting>
  <conditionalFormatting sqref="L1361">
    <cfRule type="cellIs" dxfId="7282" priority="9695" operator="greaterThanOrEqual">
      <formula>2</formula>
    </cfRule>
  </conditionalFormatting>
  <conditionalFormatting sqref="M1361">
    <cfRule type="cellIs" dxfId="7281" priority="9696" operator="greaterThanOrEqual">
      <formula>60</formula>
    </cfRule>
  </conditionalFormatting>
  <conditionalFormatting sqref="M1361">
    <cfRule type="cellIs" dxfId="7280" priority="9697" operator="greaterThanOrEqual">
      <formula>30</formula>
    </cfRule>
  </conditionalFormatting>
  <conditionalFormatting sqref="R1361">
    <cfRule type="cellIs" dxfId="7279" priority="9698" operator="greaterThanOrEqual">
      <formula>600</formula>
    </cfRule>
  </conditionalFormatting>
  <conditionalFormatting sqref="R1361">
    <cfRule type="cellIs" dxfId="7278" priority="9699" operator="greaterThanOrEqual">
      <formula>260</formula>
    </cfRule>
  </conditionalFormatting>
  <conditionalFormatting sqref="S1361">
    <cfRule type="containsText" dxfId="7277" priority="9700" operator="containsText" text="&lt;">
      <formula>NOT(ISERROR(SEARCH(("&lt;"),(S1361))))</formula>
    </cfRule>
  </conditionalFormatting>
  <conditionalFormatting sqref="S1361">
    <cfRule type="containsText" dxfId="7276" priority="9701" operator="containsText" text="ND">
      <formula>NOT(ISERROR(SEARCH(("ND"),(S1361))))</formula>
    </cfRule>
  </conditionalFormatting>
  <conditionalFormatting sqref="S1361">
    <cfRule type="cellIs" dxfId="7275" priority="9702" operator="greaterThanOrEqual">
      <formula>200</formula>
    </cfRule>
  </conditionalFormatting>
  <conditionalFormatting sqref="S1361">
    <cfRule type="cellIs" dxfId="7274" priority="9703" operator="greaterThanOrEqual">
      <formula>130</formula>
    </cfRule>
  </conditionalFormatting>
  <conditionalFormatting sqref="N1361">
    <cfRule type="cellIs" dxfId="7273" priority="9704" operator="greaterThanOrEqual">
      <formula>200</formula>
    </cfRule>
  </conditionalFormatting>
  <conditionalFormatting sqref="N1361">
    <cfRule type="cellIs" dxfId="7272" priority="9705" operator="greaterThanOrEqual">
      <formula>120</formula>
    </cfRule>
  </conditionalFormatting>
  <conditionalFormatting sqref="O1361">
    <cfRule type="containsText" dxfId="7271" priority="9706" operator="containsText" text="ND">
      <formula>NOT(ISERROR(SEARCH(("ND"),(O1361))))</formula>
    </cfRule>
  </conditionalFormatting>
  <conditionalFormatting sqref="O1361">
    <cfRule type="cellIs" dxfId="7270" priority="9707" operator="greaterThanOrEqual">
      <formula>250</formula>
    </cfRule>
  </conditionalFormatting>
  <conditionalFormatting sqref="O1361">
    <cfRule type="cellIs" dxfId="7269" priority="9708" operator="greaterThanOrEqual">
      <formula>175</formula>
    </cfRule>
  </conditionalFormatting>
  <conditionalFormatting sqref="P1361">
    <cfRule type="containsText" dxfId="7268" priority="9709" operator="containsText" text="ND">
      <formula>NOT(ISERROR(SEARCH(("ND"),(P1361))))</formula>
    </cfRule>
  </conditionalFormatting>
  <conditionalFormatting sqref="P1361">
    <cfRule type="cellIs" dxfId="7267" priority="9710" operator="greaterThanOrEqual">
      <formula>5</formula>
    </cfRule>
  </conditionalFormatting>
  <conditionalFormatting sqref="P1361">
    <cfRule type="cellIs" dxfId="7266" priority="9711" operator="greaterThanOrEqual">
      <formula>2.5</formula>
    </cfRule>
  </conditionalFormatting>
  <conditionalFormatting sqref="Q1361">
    <cfRule type="containsText" dxfId="7265" priority="9712" operator="containsText" text="ND">
      <formula>NOT(ISERROR(SEARCH(("ND"),(Q1361))))</formula>
    </cfRule>
  </conditionalFormatting>
  <conditionalFormatting sqref="Q1361">
    <cfRule type="cellIs" dxfId="7264" priority="9713" operator="greaterThanOrEqual">
      <formula>500</formula>
    </cfRule>
  </conditionalFormatting>
  <conditionalFormatting sqref="Q1361">
    <cfRule type="cellIs" dxfId="7263" priority="9714" operator="greaterThanOrEqual">
      <formula>300</formula>
    </cfRule>
  </conditionalFormatting>
  <conditionalFormatting sqref="L1362">
    <cfRule type="cellIs" dxfId="7262" priority="9715" operator="greaterThanOrEqual">
      <formula>5</formula>
    </cfRule>
  </conditionalFormatting>
  <conditionalFormatting sqref="L1362">
    <cfRule type="cellIs" dxfId="7261" priority="9716" operator="greaterThanOrEqual">
      <formula>2</formula>
    </cfRule>
  </conditionalFormatting>
  <conditionalFormatting sqref="M1362">
    <cfRule type="cellIs" dxfId="7260" priority="9717" operator="greaterThanOrEqual">
      <formula>60</formula>
    </cfRule>
  </conditionalFormatting>
  <conditionalFormatting sqref="M1362">
    <cfRule type="cellIs" dxfId="7259" priority="9718" operator="greaterThanOrEqual">
      <formula>30</formula>
    </cfRule>
  </conditionalFormatting>
  <conditionalFormatting sqref="R1362">
    <cfRule type="cellIs" dxfId="7258" priority="9719" operator="greaterThanOrEqual">
      <formula>600</formula>
    </cfRule>
  </conditionalFormatting>
  <conditionalFormatting sqref="R1362">
    <cfRule type="cellIs" dxfId="7257" priority="9720" operator="greaterThanOrEqual">
      <formula>260</formula>
    </cfRule>
  </conditionalFormatting>
  <conditionalFormatting sqref="S1362">
    <cfRule type="containsText" dxfId="7256" priority="9721" operator="containsText" text="&lt;">
      <formula>NOT(ISERROR(SEARCH(("&lt;"),(S1362))))</formula>
    </cfRule>
  </conditionalFormatting>
  <conditionalFormatting sqref="S1362">
    <cfRule type="containsText" dxfId="7255" priority="9722" operator="containsText" text="ND">
      <formula>NOT(ISERROR(SEARCH(("ND"),(S1362))))</formula>
    </cfRule>
  </conditionalFormatting>
  <conditionalFormatting sqref="S1362">
    <cfRule type="cellIs" dxfId="7254" priority="9723" operator="greaterThanOrEqual">
      <formula>200</formula>
    </cfRule>
  </conditionalFormatting>
  <conditionalFormatting sqref="S1362">
    <cfRule type="cellIs" dxfId="7253" priority="9724" operator="greaterThanOrEqual">
      <formula>130</formula>
    </cfRule>
  </conditionalFormatting>
  <conditionalFormatting sqref="N1362">
    <cfRule type="cellIs" dxfId="7252" priority="9725" operator="greaterThanOrEqual">
      <formula>200</formula>
    </cfRule>
  </conditionalFormatting>
  <conditionalFormatting sqref="N1362">
    <cfRule type="cellIs" dxfId="7251" priority="9726" operator="greaterThanOrEqual">
      <formula>120</formula>
    </cfRule>
  </conditionalFormatting>
  <conditionalFormatting sqref="O1362">
    <cfRule type="containsText" dxfId="7250" priority="9727" operator="containsText" text="ND">
      <formula>NOT(ISERROR(SEARCH(("ND"),(O1362))))</formula>
    </cfRule>
  </conditionalFormatting>
  <conditionalFormatting sqref="O1362">
    <cfRule type="cellIs" dxfId="7249" priority="9728" operator="greaterThanOrEqual">
      <formula>250</formula>
    </cfRule>
  </conditionalFormatting>
  <conditionalFormatting sqref="O1362">
    <cfRule type="cellIs" dxfId="7248" priority="9729" operator="greaterThanOrEqual">
      <formula>175</formula>
    </cfRule>
  </conditionalFormatting>
  <conditionalFormatting sqref="P1362">
    <cfRule type="containsText" dxfId="7247" priority="9730" operator="containsText" text="ND">
      <formula>NOT(ISERROR(SEARCH(("ND"),(P1362))))</formula>
    </cfRule>
  </conditionalFormatting>
  <conditionalFormatting sqref="P1362">
    <cfRule type="cellIs" dxfId="7246" priority="9731" operator="greaterThanOrEqual">
      <formula>5</formula>
    </cfRule>
  </conditionalFormatting>
  <conditionalFormatting sqref="P1362">
    <cfRule type="cellIs" dxfId="7245" priority="9732" operator="greaterThanOrEqual">
      <formula>2.5</formula>
    </cfRule>
  </conditionalFormatting>
  <conditionalFormatting sqref="Q1362">
    <cfRule type="containsText" dxfId="7244" priority="9733" operator="containsText" text="ND">
      <formula>NOT(ISERROR(SEARCH(("ND"),(Q1362))))</formula>
    </cfRule>
  </conditionalFormatting>
  <conditionalFormatting sqref="Q1362">
    <cfRule type="cellIs" dxfId="7243" priority="9734" operator="greaterThanOrEqual">
      <formula>500</formula>
    </cfRule>
  </conditionalFormatting>
  <conditionalFormatting sqref="Q1362">
    <cfRule type="cellIs" dxfId="7242" priority="9735" operator="greaterThanOrEqual">
      <formula>300</formula>
    </cfRule>
  </conditionalFormatting>
  <conditionalFormatting sqref="L1363">
    <cfRule type="cellIs" dxfId="7241" priority="9736" operator="greaterThanOrEqual">
      <formula>5</formula>
    </cfRule>
  </conditionalFormatting>
  <conditionalFormatting sqref="L1363">
    <cfRule type="cellIs" dxfId="7240" priority="9737" operator="greaterThanOrEqual">
      <formula>2</formula>
    </cfRule>
  </conditionalFormatting>
  <conditionalFormatting sqref="M1363">
    <cfRule type="cellIs" dxfId="7239" priority="9738" operator="greaterThanOrEqual">
      <formula>60</formula>
    </cfRule>
  </conditionalFormatting>
  <conditionalFormatting sqref="M1363">
    <cfRule type="cellIs" dxfId="7238" priority="9739" operator="greaterThanOrEqual">
      <formula>30</formula>
    </cfRule>
  </conditionalFormatting>
  <conditionalFormatting sqref="R1363">
    <cfRule type="cellIs" dxfId="7237" priority="9740" operator="greaterThanOrEqual">
      <formula>600</formula>
    </cfRule>
  </conditionalFormatting>
  <conditionalFormatting sqref="R1363">
    <cfRule type="cellIs" dxfId="7236" priority="9741" operator="greaterThanOrEqual">
      <formula>260</formula>
    </cfRule>
  </conditionalFormatting>
  <conditionalFormatting sqref="S1363">
    <cfRule type="containsText" dxfId="7235" priority="9742" operator="containsText" text="&lt;">
      <formula>NOT(ISERROR(SEARCH(("&lt;"),(S1363))))</formula>
    </cfRule>
  </conditionalFormatting>
  <conditionalFormatting sqref="S1363">
    <cfRule type="containsText" dxfId="7234" priority="9743" operator="containsText" text="ND">
      <formula>NOT(ISERROR(SEARCH(("ND"),(S1363))))</formula>
    </cfRule>
  </conditionalFormatting>
  <conditionalFormatting sqref="S1363">
    <cfRule type="cellIs" dxfId="7233" priority="9744" operator="greaterThanOrEqual">
      <formula>200</formula>
    </cfRule>
  </conditionalFormatting>
  <conditionalFormatting sqref="S1363">
    <cfRule type="cellIs" dxfId="7232" priority="9745" operator="greaterThanOrEqual">
      <formula>130</formula>
    </cfRule>
  </conditionalFormatting>
  <conditionalFormatting sqref="N1363">
    <cfRule type="cellIs" dxfId="7231" priority="9746" operator="greaterThanOrEqual">
      <formula>200</formula>
    </cfRule>
  </conditionalFormatting>
  <conditionalFormatting sqref="N1363">
    <cfRule type="cellIs" dxfId="7230" priority="9747" operator="greaterThanOrEqual">
      <formula>120</formula>
    </cfRule>
  </conditionalFormatting>
  <conditionalFormatting sqref="O1363">
    <cfRule type="containsText" dxfId="7229" priority="9748" operator="containsText" text="ND">
      <formula>NOT(ISERROR(SEARCH(("ND"),(O1363))))</formula>
    </cfRule>
  </conditionalFormatting>
  <conditionalFormatting sqref="O1363">
    <cfRule type="cellIs" dxfId="7228" priority="9749" operator="greaterThanOrEqual">
      <formula>250</formula>
    </cfRule>
  </conditionalFormatting>
  <conditionalFormatting sqref="O1363">
    <cfRule type="cellIs" dxfId="7227" priority="9750" operator="greaterThanOrEqual">
      <formula>175</formula>
    </cfRule>
  </conditionalFormatting>
  <conditionalFormatting sqref="P1363">
    <cfRule type="containsText" dxfId="7226" priority="9751" operator="containsText" text="ND">
      <formula>NOT(ISERROR(SEARCH(("ND"),(P1363))))</formula>
    </cfRule>
  </conditionalFormatting>
  <conditionalFormatting sqref="P1363">
    <cfRule type="cellIs" dxfId="7225" priority="9752" operator="greaterThanOrEqual">
      <formula>5</formula>
    </cfRule>
  </conditionalFormatting>
  <conditionalFormatting sqref="P1363">
    <cfRule type="cellIs" dxfId="7224" priority="9753" operator="greaterThanOrEqual">
      <formula>2.5</formula>
    </cfRule>
  </conditionalFormatting>
  <conditionalFormatting sqref="Q1363">
    <cfRule type="containsText" dxfId="7223" priority="9754" operator="containsText" text="ND">
      <formula>NOT(ISERROR(SEARCH(("ND"),(Q1363))))</formula>
    </cfRule>
  </conditionalFormatting>
  <conditionalFormatting sqref="Q1363">
    <cfRule type="cellIs" dxfId="7222" priority="9755" operator="greaterThanOrEqual">
      <formula>500</formula>
    </cfRule>
  </conditionalFormatting>
  <conditionalFormatting sqref="Q1363">
    <cfRule type="cellIs" dxfId="7221" priority="9756" operator="greaterThanOrEqual">
      <formula>300</formula>
    </cfRule>
  </conditionalFormatting>
  <conditionalFormatting sqref="L1364">
    <cfRule type="cellIs" dxfId="7220" priority="9757" operator="greaterThan">
      <formula>2</formula>
    </cfRule>
  </conditionalFormatting>
  <conditionalFormatting sqref="L1364">
    <cfRule type="cellIs" dxfId="7219" priority="9758" operator="greaterThan">
      <formula>5</formula>
    </cfRule>
  </conditionalFormatting>
  <conditionalFormatting sqref="M1364">
    <cfRule type="cellIs" dxfId="7218" priority="9759" operator="greaterThanOrEqual">
      <formula>60</formula>
    </cfRule>
  </conditionalFormatting>
  <conditionalFormatting sqref="M1364">
    <cfRule type="cellIs" dxfId="7217" priority="9760" operator="greaterThanOrEqual">
      <formula>30</formula>
    </cfRule>
  </conditionalFormatting>
  <conditionalFormatting sqref="O1364">
    <cfRule type="cellIs" dxfId="7216" priority="9761" operator="greaterThanOrEqual">
      <formula>250</formula>
    </cfRule>
  </conditionalFormatting>
  <conditionalFormatting sqref="O1364">
    <cfRule type="cellIs" dxfId="7215" priority="9762" operator="greaterThanOrEqual">
      <formula>175</formula>
    </cfRule>
  </conditionalFormatting>
  <conditionalFormatting sqref="P1364">
    <cfRule type="cellIs" dxfId="7214" priority="9763" operator="greaterThanOrEqual">
      <formula>5</formula>
    </cfRule>
  </conditionalFormatting>
  <conditionalFormatting sqref="P1364">
    <cfRule type="cellIs" dxfId="7213" priority="9764" operator="greaterThanOrEqual">
      <formula>2.5</formula>
    </cfRule>
  </conditionalFormatting>
  <conditionalFormatting sqref="Q1364">
    <cfRule type="cellIs" dxfId="7212" priority="9765" operator="greaterThanOrEqual">
      <formula>500</formula>
    </cfRule>
  </conditionalFormatting>
  <conditionalFormatting sqref="Q1364">
    <cfRule type="cellIs" dxfId="7211" priority="9766" operator="greaterThanOrEqual">
      <formula>300</formula>
    </cfRule>
  </conditionalFormatting>
  <conditionalFormatting sqref="R1364">
    <cfRule type="cellIs" dxfId="7210" priority="9767" operator="greaterThanOrEqual">
      <formula>600</formula>
    </cfRule>
  </conditionalFormatting>
  <conditionalFormatting sqref="R1364">
    <cfRule type="cellIs" dxfId="7209" priority="9768" operator="greaterThanOrEqual">
      <formula>260</formula>
    </cfRule>
  </conditionalFormatting>
  <conditionalFormatting sqref="S1364">
    <cfRule type="cellIs" dxfId="7208" priority="9769" operator="greaterThanOrEqual">
      <formula>200</formula>
    </cfRule>
  </conditionalFormatting>
  <conditionalFormatting sqref="S1364">
    <cfRule type="cellIs" dxfId="7207" priority="9770" operator="greaterThanOrEqual">
      <formula>130</formula>
    </cfRule>
  </conditionalFormatting>
  <conditionalFormatting sqref="N1364">
    <cfRule type="cellIs" dxfId="7206" priority="9771" operator="greaterThanOrEqual">
      <formula>200</formula>
    </cfRule>
  </conditionalFormatting>
  <conditionalFormatting sqref="N1364">
    <cfRule type="cellIs" dxfId="7205" priority="9772" operator="greaterThanOrEqual">
      <formula>120</formula>
    </cfRule>
  </conditionalFormatting>
  <conditionalFormatting sqref="L1365">
    <cfRule type="cellIs" dxfId="7204" priority="9773" operator="greaterThanOrEqual">
      <formula>5</formula>
    </cfRule>
  </conditionalFormatting>
  <conditionalFormatting sqref="L1365">
    <cfRule type="cellIs" dxfId="7203" priority="9774" operator="greaterThanOrEqual">
      <formula>2</formula>
    </cfRule>
  </conditionalFormatting>
  <conditionalFormatting sqref="M1365">
    <cfRule type="cellIs" dxfId="7202" priority="9775" operator="greaterThanOrEqual">
      <formula>60</formula>
    </cfRule>
  </conditionalFormatting>
  <conditionalFormatting sqref="M1365">
    <cfRule type="cellIs" dxfId="7201" priority="9776" operator="greaterThanOrEqual">
      <formula>30</formula>
    </cfRule>
  </conditionalFormatting>
  <conditionalFormatting sqref="R1365">
    <cfRule type="cellIs" dxfId="7200" priority="9777" operator="greaterThanOrEqual">
      <formula>600</formula>
    </cfRule>
  </conditionalFormatting>
  <conditionalFormatting sqref="R1365">
    <cfRule type="cellIs" dxfId="7199" priority="9778" operator="greaterThanOrEqual">
      <formula>260</formula>
    </cfRule>
  </conditionalFormatting>
  <conditionalFormatting sqref="S1365">
    <cfRule type="containsText" dxfId="7198" priority="9779" operator="containsText" text="&lt;">
      <formula>NOT(ISERROR(SEARCH(("&lt;"),(S1365))))</formula>
    </cfRule>
  </conditionalFormatting>
  <conditionalFormatting sqref="S1365">
    <cfRule type="containsText" dxfId="7197" priority="9780" operator="containsText" text="ND">
      <formula>NOT(ISERROR(SEARCH(("ND"),(S1365))))</formula>
    </cfRule>
  </conditionalFormatting>
  <conditionalFormatting sqref="S1365">
    <cfRule type="cellIs" dxfId="7196" priority="9781" operator="greaterThanOrEqual">
      <formula>200</formula>
    </cfRule>
  </conditionalFormatting>
  <conditionalFormatting sqref="S1365">
    <cfRule type="cellIs" dxfId="7195" priority="9782" operator="greaterThanOrEqual">
      <formula>130</formula>
    </cfRule>
  </conditionalFormatting>
  <conditionalFormatting sqref="N1365">
    <cfRule type="cellIs" dxfId="7194" priority="9783" operator="greaterThanOrEqual">
      <formula>200</formula>
    </cfRule>
  </conditionalFormatting>
  <conditionalFormatting sqref="N1365">
    <cfRule type="cellIs" dxfId="7193" priority="9784" operator="greaterThanOrEqual">
      <formula>120</formula>
    </cfRule>
  </conditionalFormatting>
  <conditionalFormatting sqref="O1365">
    <cfRule type="containsText" dxfId="7192" priority="9785" operator="containsText" text="ND">
      <formula>NOT(ISERROR(SEARCH(("ND"),(O1365))))</formula>
    </cfRule>
  </conditionalFormatting>
  <conditionalFormatting sqref="O1365">
    <cfRule type="cellIs" dxfId="7191" priority="9786" operator="greaterThanOrEqual">
      <formula>250</formula>
    </cfRule>
  </conditionalFormatting>
  <conditionalFormatting sqref="O1365">
    <cfRule type="cellIs" dxfId="7190" priority="9787" operator="greaterThanOrEqual">
      <formula>175</formula>
    </cfRule>
  </conditionalFormatting>
  <conditionalFormatting sqref="P1365">
    <cfRule type="containsText" dxfId="7189" priority="9788" operator="containsText" text="ND">
      <formula>NOT(ISERROR(SEARCH(("ND"),(P1365))))</formula>
    </cfRule>
  </conditionalFormatting>
  <conditionalFormatting sqref="P1365">
    <cfRule type="cellIs" dxfId="7188" priority="9789" operator="greaterThanOrEqual">
      <formula>5</formula>
    </cfRule>
  </conditionalFormatting>
  <conditionalFormatting sqref="P1365">
    <cfRule type="cellIs" dxfId="7187" priority="9790" operator="greaterThanOrEqual">
      <formula>2.5</formula>
    </cfRule>
  </conditionalFormatting>
  <conditionalFormatting sqref="Q1365">
    <cfRule type="containsText" dxfId="7186" priority="9791" operator="containsText" text="ND">
      <formula>NOT(ISERROR(SEARCH(("ND"),(Q1365))))</formula>
    </cfRule>
  </conditionalFormatting>
  <conditionalFormatting sqref="Q1365">
    <cfRule type="cellIs" dxfId="7185" priority="9792" operator="greaterThanOrEqual">
      <formula>500</formula>
    </cfRule>
  </conditionalFormatting>
  <conditionalFormatting sqref="Q1365">
    <cfRule type="cellIs" dxfId="7184" priority="9793" operator="greaterThanOrEqual">
      <formula>300</formula>
    </cfRule>
  </conditionalFormatting>
  <conditionalFormatting sqref="L1366">
    <cfRule type="cellIs" dxfId="7183" priority="9794" operator="greaterThanOrEqual">
      <formula>5</formula>
    </cfRule>
  </conditionalFormatting>
  <conditionalFormatting sqref="L1366">
    <cfRule type="cellIs" dxfId="7182" priority="9795" operator="greaterThanOrEqual">
      <formula>2</formula>
    </cfRule>
  </conditionalFormatting>
  <conditionalFormatting sqref="M1366">
    <cfRule type="cellIs" dxfId="7181" priority="9796" operator="greaterThanOrEqual">
      <formula>60</formula>
    </cfRule>
  </conditionalFormatting>
  <conditionalFormatting sqref="M1366">
    <cfRule type="cellIs" dxfId="7180" priority="9797" operator="greaterThanOrEqual">
      <formula>30</formula>
    </cfRule>
  </conditionalFormatting>
  <conditionalFormatting sqref="R1366">
    <cfRule type="cellIs" dxfId="7179" priority="9798" operator="greaterThanOrEqual">
      <formula>600</formula>
    </cfRule>
  </conditionalFormatting>
  <conditionalFormatting sqref="R1366">
    <cfRule type="cellIs" dxfId="7178" priority="9799" operator="greaterThanOrEqual">
      <formula>260</formula>
    </cfRule>
  </conditionalFormatting>
  <conditionalFormatting sqref="S1366">
    <cfRule type="containsText" dxfId="7177" priority="9800" operator="containsText" text="&lt;">
      <formula>NOT(ISERROR(SEARCH(("&lt;"),(S1366))))</formula>
    </cfRule>
  </conditionalFormatting>
  <conditionalFormatting sqref="S1366">
    <cfRule type="containsText" dxfId="7176" priority="9801" operator="containsText" text="ND">
      <formula>NOT(ISERROR(SEARCH(("ND"),(S1366))))</formula>
    </cfRule>
  </conditionalFormatting>
  <conditionalFormatting sqref="S1366">
    <cfRule type="cellIs" dxfId="7175" priority="9802" operator="greaterThanOrEqual">
      <formula>200</formula>
    </cfRule>
  </conditionalFormatting>
  <conditionalFormatting sqref="S1366">
    <cfRule type="cellIs" dxfId="7174" priority="9803" operator="greaterThanOrEqual">
      <formula>130</formula>
    </cfRule>
  </conditionalFormatting>
  <conditionalFormatting sqref="N1366">
    <cfRule type="cellIs" dxfId="7173" priority="9804" operator="greaterThanOrEqual">
      <formula>200</formula>
    </cfRule>
  </conditionalFormatting>
  <conditionalFormatting sqref="N1366">
    <cfRule type="cellIs" dxfId="7172" priority="9805" operator="greaterThanOrEqual">
      <formula>120</formula>
    </cfRule>
  </conditionalFormatting>
  <conditionalFormatting sqref="O1366">
    <cfRule type="containsText" dxfId="7171" priority="9806" operator="containsText" text="ND">
      <formula>NOT(ISERROR(SEARCH(("ND"),(O1366))))</formula>
    </cfRule>
  </conditionalFormatting>
  <conditionalFormatting sqref="O1366">
    <cfRule type="cellIs" dxfId="7170" priority="9807" operator="greaterThanOrEqual">
      <formula>250</formula>
    </cfRule>
  </conditionalFormatting>
  <conditionalFormatting sqref="O1366">
    <cfRule type="cellIs" dxfId="7169" priority="9808" operator="greaterThanOrEqual">
      <formula>175</formula>
    </cfRule>
  </conditionalFormatting>
  <conditionalFormatting sqref="P1366">
    <cfRule type="containsText" dxfId="7168" priority="9809" operator="containsText" text="ND">
      <formula>NOT(ISERROR(SEARCH(("ND"),(P1366))))</formula>
    </cfRule>
  </conditionalFormatting>
  <conditionalFormatting sqref="P1366">
    <cfRule type="cellIs" dxfId="7167" priority="9810" operator="greaterThanOrEqual">
      <formula>5</formula>
    </cfRule>
  </conditionalFormatting>
  <conditionalFormatting sqref="P1366">
    <cfRule type="cellIs" dxfId="7166" priority="9811" operator="greaterThanOrEqual">
      <formula>2.5</formula>
    </cfRule>
  </conditionalFormatting>
  <conditionalFormatting sqref="Q1366">
    <cfRule type="containsText" dxfId="7165" priority="9812" operator="containsText" text="ND">
      <formula>NOT(ISERROR(SEARCH(("ND"),(Q1366))))</formula>
    </cfRule>
  </conditionalFormatting>
  <conditionalFormatting sqref="Q1366">
    <cfRule type="cellIs" dxfId="7164" priority="9813" operator="greaterThanOrEqual">
      <formula>500</formula>
    </cfRule>
  </conditionalFormatting>
  <conditionalFormatting sqref="Q1366">
    <cfRule type="cellIs" dxfId="7163" priority="9814" operator="greaterThanOrEqual">
      <formula>300</formula>
    </cfRule>
  </conditionalFormatting>
  <conditionalFormatting sqref="L1346">
    <cfRule type="cellIs" dxfId="7162" priority="9815" operator="greaterThanOrEqual">
      <formula>5</formula>
    </cfRule>
  </conditionalFormatting>
  <conditionalFormatting sqref="L1346">
    <cfRule type="cellIs" dxfId="7161" priority="9816" operator="greaterThanOrEqual">
      <formula>2</formula>
    </cfRule>
  </conditionalFormatting>
  <conditionalFormatting sqref="M1346">
    <cfRule type="cellIs" dxfId="7160" priority="9817" operator="greaterThanOrEqual">
      <formula>60</formula>
    </cfRule>
  </conditionalFormatting>
  <conditionalFormatting sqref="M1346">
    <cfRule type="cellIs" dxfId="7159" priority="9818" operator="greaterThanOrEqual">
      <formula>30</formula>
    </cfRule>
  </conditionalFormatting>
  <conditionalFormatting sqref="R1346">
    <cfRule type="cellIs" dxfId="7158" priority="9819" operator="greaterThanOrEqual">
      <formula>600</formula>
    </cfRule>
  </conditionalFormatting>
  <conditionalFormatting sqref="R1346">
    <cfRule type="cellIs" dxfId="7157" priority="9820" operator="greaterThanOrEqual">
      <formula>260</formula>
    </cfRule>
  </conditionalFormatting>
  <conditionalFormatting sqref="S1346">
    <cfRule type="containsText" dxfId="7156" priority="9821" operator="containsText" text="&lt;">
      <formula>NOT(ISERROR(SEARCH(("&lt;"),(S1346))))</formula>
    </cfRule>
  </conditionalFormatting>
  <conditionalFormatting sqref="S1346">
    <cfRule type="containsText" dxfId="7155" priority="9822" operator="containsText" text="ND">
      <formula>NOT(ISERROR(SEARCH(("ND"),(S1346))))</formula>
    </cfRule>
  </conditionalFormatting>
  <conditionalFormatting sqref="S1346">
    <cfRule type="cellIs" dxfId="7154" priority="9823" operator="greaterThanOrEqual">
      <formula>200</formula>
    </cfRule>
  </conditionalFormatting>
  <conditionalFormatting sqref="S1346">
    <cfRule type="cellIs" dxfId="7153" priority="9824" operator="greaterThanOrEqual">
      <formula>130</formula>
    </cfRule>
  </conditionalFormatting>
  <conditionalFormatting sqref="N1346">
    <cfRule type="cellIs" dxfId="7152" priority="9825" operator="greaterThanOrEqual">
      <formula>200</formula>
    </cfRule>
  </conditionalFormatting>
  <conditionalFormatting sqref="N1346">
    <cfRule type="cellIs" dxfId="7151" priority="9826" operator="greaterThanOrEqual">
      <formula>120</formula>
    </cfRule>
  </conditionalFormatting>
  <conditionalFormatting sqref="O1346">
    <cfRule type="containsText" dxfId="7150" priority="9827" operator="containsText" text="ND">
      <formula>NOT(ISERROR(SEARCH(("ND"),(O1346))))</formula>
    </cfRule>
  </conditionalFormatting>
  <conditionalFormatting sqref="O1346">
    <cfRule type="cellIs" dxfId="7149" priority="9828" operator="greaterThanOrEqual">
      <formula>250</formula>
    </cfRule>
  </conditionalFormatting>
  <conditionalFormatting sqref="O1346">
    <cfRule type="cellIs" dxfId="7148" priority="9829" operator="greaterThanOrEqual">
      <formula>175</formula>
    </cfRule>
  </conditionalFormatting>
  <conditionalFormatting sqref="P1346">
    <cfRule type="containsText" dxfId="7147" priority="9830" operator="containsText" text="ND">
      <formula>NOT(ISERROR(SEARCH(("ND"),(P1346))))</formula>
    </cfRule>
  </conditionalFormatting>
  <conditionalFormatting sqref="P1346">
    <cfRule type="cellIs" dxfId="7146" priority="9831" operator="greaterThanOrEqual">
      <formula>5</formula>
    </cfRule>
  </conditionalFormatting>
  <conditionalFormatting sqref="P1346">
    <cfRule type="cellIs" dxfId="7145" priority="9832" operator="greaterThanOrEqual">
      <formula>2.5</formula>
    </cfRule>
  </conditionalFormatting>
  <conditionalFormatting sqref="Q1346">
    <cfRule type="containsText" dxfId="7144" priority="9833" operator="containsText" text="ND">
      <formula>NOT(ISERROR(SEARCH(("ND"),(Q1346))))</formula>
    </cfRule>
  </conditionalFormatting>
  <conditionalFormatting sqref="Q1346">
    <cfRule type="cellIs" dxfId="7143" priority="9834" operator="greaterThanOrEqual">
      <formula>500</formula>
    </cfRule>
  </conditionalFormatting>
  <conditionalFormatting sqref="Q1346">
    <cfRule type="cellIs" dxfId="7142" priority="9835" operator="greaterThanOrEqual">
      <formula>300</formula>
    </cfRule>
  </conditionalFormatting>
  <conditionalFormatting sqref="L1367">
    <cfRule type="cellIs" dxfId="7141" priority="9836" operator="greaterThanOrEqual">
      <formula>5</formula>
    </cfRule>
  </conditionalFormatting>
  <conditionalFormatting sqref="L1367">
    <cfRule type="cellIs" dxfId="7140" priority="9837" operator="greaterThanOrEqual">
      <formula>2</formula>
    </cfRule>
  </conditionalFormatting>
  <conditionalFormatting sqref="M1367">
    <cfRule type="cellIs" dxfId="7139" priority="9838" operator="greaterThanOrEqual">
      <formula>60</formula>
    </cfRule>
  </conditionalFormatting>
  <conditionalFormatting sqref="M1367">
    <cfRule type="cellIs" dxfId="7138" priority="9839" operator="greaterThanOrEqual">
      <formula>30</formula>
    </cfRule>
  </conditionalFormatting>
  <conditionalFormatting sqref="R1367">
    <cfRule type="cellIs" dxfId="7137" priority="9840" operator="greaterThanOrEqual">
      <formula>600</formula>
    </cfRule>
  </conditionalFormatting>
  <conditionalFormatting sqref="R1367">
    <cfRule type="cellIs" dxfId="7136" priority="9841" operator="greaterThanOrEqual">
      <formula>260</formula>
    </cfRule>
  </conditionalFormatting>
  <conditionalFormatting sqref="S1367">
    <cfRule type="containsText" dxfId="7135" priority="9842" operator="containsText" text="&lt;">
      <formula>NOT(ISERROR(SEARCH(("&lt;"),(S1367))))</formula>
    </cfRule>
  </conditionalFormatting>
  <conditionalFormatting sqref="S1367">
    <cfRule type="containsText" dxfId="7134" priority="9843" operator="containsText" text="ND">
      <formula>NOT(ISERROR(SEARCH(("ND"),(S1367))))</formula>
    </cfRule>
  </conditionalFormatting>
  <conditionalFormatting sqref="S1367">
    <cfRule type="cellIs" dxfId="7133" priority="9844" operator="greaterThanOrEqual">
      <formula>200</formula>
    </cfRule>
  </conditionalFormatting>
  <conditionalFormatting sqref="S1367">
    <cfRule type="cellIs" dxfId="7132" priority="9845" operator="greaterThanOrEqual">
      <formula>130</formula>
    </cfRule>
  </conditionalFormatting>
  <conditionalFormatting sqref="N1367">
    <cfRule type="cellIs" dxfId="7131" priority="9846" operator="greaterThanOrEqual">
      <formula>200</formula>
    </cfRule>
  </conditionalFormatting>
  <conditionalFormatting sqref="N1367">
    <cfRule type="cellIs" dxfId="7130" priority="9847" operator="greaterThanOrEqual">
      <formula>120</formula>
    </cfRule>
  </conditionalFormatting>
  <conditionalFormatting sqref="O1367">
    <cfRule type="containsText" dxfId="7129" priority="9848" operator="containsText" text="ND">
      <formula>NOT(ISERROR(SEARCH(("ND"),(O1367))))</formula>
    </cfRule>
  </conditionalFormatting>
  <conditionalFormatting sqref="O1367">
    <cfRule type="cellIs" dxfId="7128" priority="9849" operator="greaterThanOrEqual">
      <formula>250</formula>
    </cfRule>
  </conditionalFormatting>
  <conditionalFormatting sqref="O1367">
    <cfRule type="cellIs" dxfId="7127" priority="9850" operator="greaterThanOrEqual">
      <formula>175</formula>
    </cfRule>
  </conditionalFormatting>
  <conditionalFormatting sqref="P1367">
    <cfRule type="containsText" dxfId="7126" priority="9851" operator="containsText" text="ND">
      <formula>NOT(ISERROR(SEARCH(("ND"),(P1367))))</formula>
    </cfRule>
  </conditionalFormatting>
  <conditionalFormatting sqref="P1367">
    <cfRule type="cellIs" dxfId="7125" priority="9852" operator="greaterThanOrEqual">
      <formula>5</formula>
    </cfRule>
  </conditionalFormatting>
  <conditionalFormatting sqref="P1367">
    <cfRule type="cellIs" dxfId="7124" priority="9853" operator="greaterThanOrEqual">
      <formula>2.5</formula>
    </cfRule>
  </conditionalFormatting>
  <conditionalFormatting sqref="Q1367">
    <cfRule type="containsText" dxfId="7123" priority="9854" operator="containsText" text="ND">
      <formula>NOT(ISERROR(SEARCH(("ND"),(Q1367))))</formula>
    </cfRule>
  </conditionalFormatting>
  <conditionalFormatting sqref="Q1367">
    <cfRule type="cellIs" dxfId="7122" priority="9855" operator="greaterThanOrEqual">
      <formula>500</formula>
    </cfRule>
  </conditionalFormatting>
  <conditionalFormatting sqref="Q1367">
    <cfRule type="cellIs" dxfId="7121" priority="9856" operator="greaterThanOrEqual">
      <formula>300</formula>
    </cfRule>
  </conditionalFormatting>
  <conditionalFormatting sqref="L1368">
    <cfRule type="cellIs" dxfId="7120" priority="9857" operator="greaterThanOrEqual">
      <formula>5</formula>
    </cfRule>
  </conditionalFormatting>
  <conditionalFormatting sqref="L1368">
    <cfRule type="cellIs" dxfId="7119" priority="9858" operator="greaterThanOrEqual">
      <formula>2</formula>
    </cfRule>
  </conditionalFormatting>
  <conditionalFormatting sqref="M1368">
    <cfRule type="cellIs" dxfId="7118" priority="9859" operator="greaterThanOrEqual">
      <formula>60</formula>
    </cfRule>
  </conditionalFormatting>
  <conditionalFormatting sqref="M1368">
    <cfRule type="cellIs" dxfId="7117" priority="9860" operator="greaterThanOrEqual">
      <formula>30</formula>
    </cfRule>
  </conditionalFormatting>
  <conditionalFormatting sqref="R1368">
    <cfRule type="cellIs" dxfId="7116" priority="9861" operator="greaterThanOrEqual">
      <formula>600</formula>
    </cfRule>
  </conditionalFormatting>
  <conditionalFormatting sqref="R1368">
    <cfRule type="cellIs" dxfId="7115" priority="9862" operator="greaterThanOrEqual">
      <formula>260</formula>
    </cfRule>
  </conditionalFormatting>
  <conditionalFormatting sqref="S1368">
    <cfRule type="containsText" dxfId="7114" priority="9863" operator="containsText" text="&lt;">
      <formula>NOT(ISERROR(SEARCH(("&lt;"),(S1368))))</formula>
    </cfRule>
  </conditionalFormatting>
  <conditionalFormatting sqref="S1368">
    <cfRule type="containsText" dxfId="7113" priority="9864" operator="containsText" text="ND">
      <formula>NOT(ISERROR(SEARCH(("ND"),(S1368))))</formula>
    </cfRule>
  </conditionalFormatting>
  <conditionalFormatting sqref="S1368">
    <cfRule type="cellIs" dxfId="7112" priority="9865" operator="greaterThanOrEqual">
      <formula>200</formula>
    </cfRule>
  </conditionalFormatting>
  <conditionalFormatting sqref="S1368">
    <cfRule type="cellIs" dxfId="7111" priority="9866" operator="greaterThanOrEqual">
      <formula>130</formula>
    </cfRule>
  </conditionalFormatting>
  <conditionalFormatting sqref="N1368">
    <cfRule type="cellIs" dxfId="7110" priority="9867" operator="greaterThanOrEqual">
      <formula>200</formula>
    </cfRule>
  </conditionalFormatting>
  <conditionalFormatting sqref="N1368">
    <cfRule type="cellIs" dxfId="7109" priority="9868" operator="greaterThanOrEqual">
      <formula>120</formula>
    </cfRule>
  </conditionalFormatting>
  <conditionalFormatting sqref="O1368">
    <cfRule type="containsText" dxfId="7108" priority="9869" operator="containsText" text="ND">
      <formula>NOT(ISERROR(SEARCH(("ND"),(O1368))))</formula>
    </cfRule>
  </conditionalFormatting>
  <conditionalFormatting sqref="O1368">
    <cfRule type="cellIs" dxfId="7107" priority="9870" operator="greaterThanOrEqual">
      <formula>250</formula>
    </cfRule>
  </conditionalFormatting>
  <conditionalFormatting sqref="O1368">
    <cfRule type="cellIs" dxfId="7106" priority="9871" operator="greaterThanOrEqual">
      <formula>175</formula>
    </cfRule>
  </conditionalFormatting>
  <conditionalFormatting sqref="P1368">
    <cfRule type="containsText" dxfId="7105" priority="9872" operator="containsText" text="ND">
      <formula>NOT(ISERROR(SEARCH(("ND"),(P1368))))</formula>
    </cfRule>
  </conditionalFormatting>
  <conditionalFormatting sqref="P1368">
    <cfRule type="cellIs" dxfId="7104" priority="9873" operator="greaterThanOrEqual">
      <formula>5</formula>
    </cfRule>
  </conditionalFormatting>
  <conditionalFormatting sqref="P1368">
    <cfRule type="cellIs" dxfId="7103" priority="9874" operator="greaterThanOrEqual">
      <formula>2.5</formula>
    </cfRule>
  </conditionalFormatting>
  <conditionalFormatting sqref="Q1368">
    <cfRule type="containsText" dxfId="7102" priority="9875" operator="containsText" text="ND">
      <formula>NOT(ISERROR(SEARCH(("ND"),(Q1368))))</formula>
    </cfRule>
  </conditionalFormatting>
  <conditionalFormatting sqref="Q1368">
    <cfRule type="cellIs" dxfId="7101" priority="9876" operator="greaterThanOrEqual">
      <formula>500</formula>
    </cfRule>
  </conditionalFormatting>
  <conditionalFormatting sqref="Q1368">
    <cfRule type="cellIs" dxfId="7100" priority="9877" operator="greaterThanOrEqual">
      <formula>300</formula>
    </cfRule>
  </conditionalFormatting>
  <conditionalFormatting sqref="L1369">
    <cfRule type="cellIs" dxfId="7099" priority="9878" operator="greaterThanOrEqual">
      <formula>5</formula>
    </cfRule>
  </conditionalFormatting>
  <conditionalFormatting sqref="L1369">
    <cfRule type="cellIs" dxfId="7098" priority="9879" operator="greaterThanOrEqual">
      <formula>2</formula>
    </cfRule>
  </conditionalFormatting>
  <conditionalFormatting sqref="M1369">
    <cfRule type="cellIs" dxfId="7097" priority="9880" operator="greaterThanOrEqual">
      <formula>60</formula>
    </cfRule>
  </conditionalFormatting>
  <conditionalFormatting sqref="M1369">
    <cfRule type="cellIs" dxfId="7096" priority="9881" operator="greaterThanOrEqual">
      <formula>30</formula>
    </cfRule>
  </conditionalFormatting>
  <conditionalFormatting sqref="R1369">
    <cfRule type="cellIs" dxfId="7095" priority="9882" operator="greaterThanOrEqual">
      <formula>600</formula>
    </cfRule>
  </conditionalFormatting>
  <conditionalFormatting sqref="R1369">
    <cfRule type="cellIs" dxfId="7094" priority="9883" operator="greaterThanOrEqual">
      <formula>260</formula>
    </cfRule>
  </conditionalFormatting>
  <conditionalFormatting sqref="S1369">
    <cfRule type="containsText" dxfId="7093" priority="9884" operator="containsText" text="&lt;">
      <formula>NOT(ISERROR(SEARCH(("&lt;"),(S1369))))</formula>
    </cfRule>
  </conditionalFormatting>
  <conditionalFormatting sqref="S1369">
    <cfRule type="containsText" dxfId="7092" priority="9885" operator="containsText" text="ND">
      <formula>NOT(ISERROR(SEARCH(("ND"),(S1369))))</formula>
    </cfRule>
  </conditionalFormatting>
  <conditionalFormatting sqref="S1369">
    <cfRule type="cellIs" dxfId="7091" priority="9886" operator="greaterThanOrEqual">
      <formula>200</formula>
    </cfRule>
  </conditionalFormatting>
  <conditionalFormatting sqref="S1369">
    <cfRule type="cellIs" dxfId="7090" priority="9887" operator="greaterThanOrEqual">
      <formula>130</formula>
    </cfRule>
  </conditionalFormatting>
  <conditionalFormatting sqref="N1369">
    <cfRule type="cellIs" dxfId="7089" priority="9888" operator="greaterThanOrEqual">
      <formula>200</formula>
    </cfRule>
  </conditionalFormatting>
  <conditionalFormatting sqref="N1369">
    <cfRule type="cellIs" dxfId="7088" priority="9889" operator="greaterThanOrEqual">
      <formula>120</formula>
    </cfRule>
  </conditionalFormatting>
  <conditionalFormatting sqref="O1369">
    <cfRule type="containsText" dxfId="7087" priority="9890" operator="containsText" text="ND">
      <formula>NOT(ISERROR(SEARCH(("ND"),(O1369))))</formula>
    </cfRule>
  </conditionalFormatting>
  <conditionalFormatting sqref="O1369">
    <cfRule type="cellIs" dxfId="7086" priority="9891" operator="greaterThanOrEqual">
      <formula>250</formula>
    </cfRule>
  </conditionalFormatting>
  <conditionalFormatting sqref="O1369">
    <cfRule type="cellIs" dxfId="7085" priority="9892" operator="greaterThanOrEqual">
      <formula>175</formula>
    </cfRule>
  </conditionalFormatting>
  <conditionalFormatting sqref="P1369">
    <cfRule type="containsText" dxfId="7084" priority="9893" operator="containsText" text="ND">
      <formula>NOT(ISERROR(SEARCH(("ND"),(P1369))))</formula>
    </cfRule>
  </conditionalFormatting>
  <conditionalFormatting sqref="P1369">
    <cfRule type="cellIs" dxfId="7083" priority="9894" operator="greaterThanOrEqual">
      <formula>5</formula>
    </cfRule>
  </conditionalFormatting>
  <conditionalFormatting sqref="P1369">
    <cfRule type="cellIs" dxfId="7082" priority="9895" operator="greaterThanOrEqual">
      <formula>2.5</formula>
    </cfRule>
  </conditionalFormatting>
  <conditionalFormatting sqref="Q1369">
    <cfRule type="containsText" dxfId="7081" priority="9896" operator="containsText" text="ND">
      <formula>NOT(ISERROR(SEARCH(("ND"),(Q1369))))</formula>
    </cfRule>
  </conditionalFormatting>
  <conditionalFormatting sqref="Q1369">
    <cfRule type="cellIs" dxfId="7080" priority="9897" operator="greaterThanOrEqual">
      <formula>500</formula>
    </cfRule>
  </conditionalFormatting>
  <conditionalFormatting sqref="Q1369">
    <cfRule type="cellIs" dxfId="7079" priority="9898" operator="greaterThanOrEqual">
      <formula>300</formula>
    </cfRule>
  </conditionalFormatting>
  <conditionalFormatting sqref="L1370">
    <cfRule type="cellIs" dxfId="7078" priority="9899" operator="greaterThanOrEqual">
      <formula>5</formula>
    </cfRule>
  </conditionalFormatting>
  <conditionalFormatting sqref="L1370">
    <cfRule type="cellIs" dxfId="7077" priority="9900" operator="greaterThanOrEqual">
      <formula>2</formula>
    </cfRule>
  </conditionalFormatting>
  <conditionalFormatting sqref="M1370">
    <cfRule type="cellIs" dxfId="7076" priority="9901" operator="greaterThanOrEqual">
      <formula>60</formula>
    </cfRule>
  </conditionalFormatting>
  <conditionalFormatting sqref="M1370">
    <cfRule type="cellIs" dxfId="7075" priority="9902" operator="greaterThanOrEqual">
      <formula>30</formula>
    </cfRule>
  </conditionalFormatting>
  <conditionalFormatting sqref="R1370">
    <cfRule type="cellIs" dxfId="7074" priority="9903" operator="greaterThanOrEqual">
      <formula>600</formula>
    </cfRule>
  </conditionalFormatting>
  <conditionalFormatting sqref="R1370">
    <cfRule type="cellIs" dxfId="7073" priority="9904" operator="greaterThanOrEqual">
      <formula>260</formula>
    </cfRule>
  </conditionalFormatting>
  <conditionalFormatting sqref="S1370">
    <cfRule type="containsText" dxfId="7072" priority="9905" operator="containsText" text="&lt;">
      <formula>NOT(ISERROR(SEARCH(("&lt;"),(S1370))))</formula>
    </cfRule>
  </conditionalFormatting>
  <conditionalFormatting sqref="S1370">
    <cfRule type="containsText" dxfId="7071" priority="9906" operator="containsText" text="ND">
      <formula>NOT(ISERROR(SEARCH(("ND"),(S1370))))</formula>
    </cfRule>
  </conditionalFormatting>
  <conditionalFormatting sqref="S1370">
    <cfRule type="cellIs" dxfId="7070" priority="9907" operator="greaterThanOrEqual">
      <formula>200</formula>
    </cfRule>
  </conditionalFormatting>
  <conditionalFormatting sqref="S1370">
    <cfRule type="cellIs" dxfId="7069" priority="9908" operator="greaterThanOrEqual">
      <formula>130</formula>
    </cfRule>
  </conditionalFormatting>
  <conditionalFormatting sqref="N1370">
    <cfRule type="cellIs" dxfId="7068" priority="9909" operator="greaterThanOrEqual">
      <formula>200</formula>
    </cfRule>
  </conditionalFormatting>
  <conditionalFormatting sqref="N1370">
    <cfRule type="cellIs" dxfId="7067" priority="9910" operator="greaterThanOrEqual">
      <formula>120</formula>
    </cfRule>
  </conditionalFormatting>
  <conditionalFormatting sqref="O1370">
    <cfRule type="containsText" dxfId="7066" priority="9911" operator="containsText" text="ND">
      <formula>NOT(ISERROR(SEARCH(("ND"),(O1370))))</formula>
    </cfRule>
  </conditionalFormatting>
  <conditionalFormatting sqref="O1370">
    <cfRule type="cellIs" dxfId="7065" priority="9912" operator="greaterThanOrEqual">
      <formula>250</formula>
    </cfRule>
  </conditionalFormatting>
  <conditionalFormatting sqref="O1370">
    <cfRule type="cellIs" dxfId="7064" priority="9913" operator="greaterThanOrEqual">
      <formula>175</formula>
    </cfRule>
  </conditionalFormatting>
  <conditionalFormatting sqref="P1370">
    <cfRule type="containsText" dxfId="7063" priority="9914" operator="containsText" text="ND">
      <formula>NOT(ISERROR(SEARCH(("ND"),(P1370))))</formula>
    </cfRule>
  </conditionalFormatting>
  <conditionalFormatting sqref="P1370">
    <cfRule type="cellIs" dxfId="7062" priority="9915" operator="greaterThanOrEqual">
      <formula>5</formula>
    </cfRule>
  </conditionalFormatting>
  <conditionalFormatting sqref="P1370">
    <cfRule type="cellIs" dxfId="7061" priority="9916" operator="greaterThanOrEqual">
      <formula>2.5</formula>
    </cfRule>
  </conditionalFormatting>
  <conditionalFormatting sqref="Q1370">
    <cfRule type="containsText" dxfId="7060" priority="9917" operator="containsText" text="ND">
      <formula>NOT(ISERROR(SEARCH(("ND"),(Q1370))))</formula>
    </cfRule>
  </conditionalFormatting>
  <conditionalFormatting sqref="Q1370">
    <cfRule type="cellIs" dxfId="7059" priority="9918" operator="greaterThanOrEqual">
      <formula>500</formula>
    </cfRule>
  </conditionalFormatting>
  <conditionalFormatting sqref="Q1370">
    <cfRule type="cellIs" dxfId="7058" priority="9919" operator="greaterThanOrEqual">
      <formula>300</formula>
    </cfRule>
  </conditionalFormatting>
  <conditionalFormatting sqref="L1371">
    <cfRule type="cellIs" dxfId="7057" priority="9920" operator="greaterThanOrEqual">
      <formula>5</formula>
    </cfRule>
  </conditionalFormatting>
  <conditionalFormatting sqref="L1371">
    <cfRule type="cellIs" dxfId="7056" priority="9921" operator="greaterThanOrEqual">
      <formula>2</formula>
    </cfRule>
  </conditionalFormatting>
  <conditionalFormatting sqref="M1371">
    <cfRule type="cellIs" dxfId="7055" priority="9922" operator="greaterThanOrEqual">
      <formula>60</formula>
    </cfRule>
  </conditionalFormatting>
  <conditionalFormatting sqref="M1371">
    <cfRule type="cellIs" dxfId="7054" priority="9923" operator="greaterThanOrEqual">
      <formula>30</formula>
    </cfRule>
  </conditionalFormatting>
  <conditionalFormatting sqref="R1371">
    <cfRule type="cellIs" dxfId="7053" priority="9924" operator="greaterThanOrEqual">
      <formula>600</formula>
    </cfRule>
  </conditionalFormatting>
  <conditionalFormatting sqref="R1371">
    <cfRule type="cellIs" dxfId="7052" priority="9925" operator="greaterThanOrEqual">
      <formula>260</formula>
    </cfRule>
  </conditionalFormatting>
  <conditionalFormatting sqref="S1371">
    <cfRule type="containsText" dxfId="7051" priority="9926" operator="containsText" text="&lt;">
      <formula>NOT(ISERROR(SEARCH(("&lt;"),(S1371))))</formula>
    </cfRule>
  </conditionalFormatting>
  <conditionalFormatting sqref="S1371">
    <cfRule type="containsText" dxfId="7050" priority="9927" operator="containsText" text="ND">
      <formula>NOT(ISERROR(SEARCH(("ND"),(S1371))))</formula>
    </cfRule>
  </conditionalFormatting>
  <conditionalFormatting sqref="S1371">
    <cfRule type="cellIs" dxfId="7049" priority="9928" operator="greaterThanOrEqual">
      <formula>200</formula>
    </cfRule>
  </conditionalFormatting>
  <conditionalFormatting sqref="S1371">
    <cfRule type="cellIs" dxfId="7048" priority="9929" operator="greaterThanOrEqual">
      <formula>130</formula>
    </cfRule>
  </conditionalFormatting>
  <conditionalFormatting sqref="N1371">
    <cfRule type="cellIs" dxfId="7047" priority="9930" operator="greaterThanOrEqual">
      <formula>200</formula>
    </cfRule>
  </conditionalFormatting>
  <conditionalFormatting sqref="N1371">
    <cfRule type="cellIs" dxfId="7046" priority="9931" operator="greaterThanOrEqual">
      <formula>120</formula>
    </cfRule>
  </conditionalFormatting>
  <conditionalFormatting sqref="O1371">
    <cfRule type="containsText" dxfId="7045" priority="9932" operator="containsText" text="ND">
      <formula>NOT(ISERROR(SEARCH(("ND"),(O1371))))</formula>
    </cfRule>
  </conditionalFormatting>
  <conditionalFormatting sqref="O1371">
    <cfRule type="cellIs" dxfId="7044" priority="9933" operator="greaterThanOrEqual">
      <formula>250</formula>
    </cfRule>
  </conditionalFormatting>
  <conditionalFormatting sqref="O1371">
    <cfRule type="cellIs" dxfId="7043" priority="9934" operator="greaterThanOrEqual">
      <formula>175</formula>
    </cfRule>
  </conditionalFormatting>
  <conditionalFormatting sqref="P1371">
    <cfRule type="containsText" dxfId="7042" priority="9935" operator="containsText" text="ND">
      <formula>NOT(ISERROR(SEARCH(("ND"),(P1371))))</formula>
    </cfRule>
  </conditionalFormatting>
  <conditionalFormatting sqref="P1371">
    <cfRule type="cellIs" dxfId="7041" priority="9936" operator="greaterThanOrEqual">
      <formula>5</formula>
    </cfRule>
  </conditionalFormatting>
  <conditionalFormatting sqref="P1371">
    <cfRule type="cellIs" dxfId="7040" priority="9937" operator="greaterThanOrEqual">
      <formula>2.5</formula>
    </cfRule>
  </conditionalFormatting>
  <conditionalFormatting sqref="Q1371">
    <cfRule type="containsText" dxfId="7039" priority="9938" operator="containsText" text="ND">
      <formula>NOT(ISERROR(SEARCH(("ND"),(Q1371))))</formula>
    </cfRule>
  </conditionalFormatting>
  <conditionalFormatting sqref="Q1371">
    <cfRule type="cellIs" dxfId="7038" priority="9939" operator="greaterThanOrEqual">
      <formula>500</formula>
    </cfRule>
  </conditionalFormatting>
  <conditionalFormatting sqref="Q1371">
    <cfRule type="cellIs" dxfId="7037" priority="9940" operator="greaterThanOrEqual">
      <formula>300</formula>
    </cfRule>
  </conditionalFormatting>
  <conditionalFormatting sqref="L1374">
    <cfRule type="cellIs" dxfId="7036" priority="9941" operator="greaterThanOrEqual">
      <formula>5</formula>
    </cfRule>
  </conditionalFormatting>
  <conditionalFormatting sqref="L1374">
    <cfRule type="cellIs" dxfId="7035" priority="9942" operator="greaterThanOrEqual">
      <formula>2</formula>
    </cfRule>
  </conditionalFormatting>
  <conditionalFormatting sqref="M1374">
    <cfRule type="cellIs" dxfId="7034" priority="9943" operator="greaterThanOrEqual">
      <formula>60</formula>
    </cfRule>
  </conditionalFormatting>
  <conditionalFormatting sqref="M1374">
    <cfRule type="cellIs" dxfId="7033" priority="9944" operator="greaterThanOrEqual">
      <formula>30</formula>
    </cfRule>
  </conditionalFormatting>
  <conditionalFormatting sqref="R1374">
    <cfRule type="cellIs" dxfId="7032" priority="9945" operator="greaterThanOrEqual">
      <formula>600</formula>
    </cfRule>
  </conditionalFormatting>
  <conditionalFormatting sqref="R1374">
    <cfRule type="cellIs" dxfId="7031" priority="9946" operator="greaterThanOrEqual">
      <formula>260</formula>
    </cfRule>
  </conditionalFormatting>
  <conditionalFormatting sqref="S1374">
    <cfRule type="containsText" dxfId="7030" priority="9947" operator="containsText" text="&lt;">
      <formula>NOT(ISERROR(SEARCH(("&lt;"),(S1374))))</formula>
    </cfRule>
  </conditionalFormatting>
  <conditionalFormatting sqref="S1374">
    <cfRule type="containsText" dxfId="7029" priority="9948" operator="containsText" text="ND">
      <formula>NOT(ISERROR(SEARCH(("ND"),(S1374))))</formula>
    </cfRule>
  </conditionalFormatting>
  <conditionalFormatting sqref="S1374">
    <cfRule type="cellIs" dxfId="7028" priority="9949" operator="greaterThanOrEqual">
      <formula>200</formula>
    </cfRule>
  </conditionalFormatting>
  <conditionalFormatting sqref="S1374">
    <cfRule type="cellIs" dxfId="7027" priority="9950" operator="greaterThanOrEqual">
      <formula>130</formula>
    </cfRule>
  </conditionalFormatting>
  <conditionalFormatting sqref="N1374">
    <cfRule type="cellIs" dxfId="7026" priority="9951" operator="greaterThanOrEqual">
      <formula>200</formula>
    </cfRule>
  </conditionalFormatting>
  <conditionalFormatting sqref="N1374">
    <cfRule type="cellIs" dxfId="7025" priority="9952" operator="greaterThanOrEqual">
      <formula>120</formula>
    </cfRule>
  </conditionalFormatting>
  <conditionalFormatting sqref="O1374">
    <cfRule type="containsText" dxfId="7024" priority="9953" operator="containsText" text="ND">
      <formula>NOT(ISERROR(SEARCH(("ND"),(O1374))))</formula>
    </cfRule>
  </conditionalFormatting>
  <conditionalFormatting sqref="O1374">
    <cfRule type="cellIs" dxfId="7023" priority="9954" operator="greaterThanOrEqual">
      <formula>250</formula>
    </cfRule>
  </conditionalFormatting>
  <conditionalFormatting sqref="O1374">
    <cfRule type="cellIs" dxfId="7022" priority="9955" operator="greaterThanOrEqual">
      <formula>175</formula>
    </cfRule>
  </conditionalFormatting>
  <conditionalFormatting sqref="P1374">
    <cfRule type="containsText" dxfId="7021" priority="9956" operator="containsText" text="ND">
      <formula>NOT(ISERROR(SEARCH(("ND"),(P1374))))</formula>
    </cfRule>
  </conditionalFormatting>
  <conditionalFormatting sqref="P1374">
    <cfRule type="cellIs" dxfId="7020" priority="9957" operator="greaterThanOrEqual">
      <formula>5</formula>
    </cfRule>
  </conditionalFormatting>
  <conditionalFormatting sqref="P1374">
    <cfRule type="cellIs" dxfId="7019" priority="9958" operator="greaterThanOrEqual">
      <formula>2.5</formula>
    </cfRule>
  </conditionalFormatting>
  <conditionalFormatting sqref="Q1374">
    <cfRule type="containsText" dxfId="7018" priority="9959" operator="containsText" text="ND">
      <formula>NOT(ISERROR(SEARCH(("ND"),(Q1374))))</formula>
    </cfRule>
  </conditionalFormatting>
  <conditionalFormatting sqref="Q1374">
    <cfRule type="cellIs" dxfId="7017" priority="9960" operator="greaterThanOrEqual">
      <formula>500</formula>
    </cfRule>
  </conditionalFormatting>
  <conditionalFormatting sqref="Q1374">
    <cfRule type="cellIs" dxfId="7016" priority="9961" operator="greaterThanOrEqual">
      <formula>300</formula>
    </cfRule>
  </conditionalFormatting>
  <conditionalFormatting sqref="L1375">
    <cfRule type="cellIs" dxfId="7015" priority="9962" operator="greaterThanOrEqual">
      <formula>5</formula>
    </cfRule>
  </conditionalFormatting>
  <conditionalFormatting sqref="L1375">
    <cfRule type="cellIs" dxfId="7014" priority="9963" operator="greaterThanOrEqual">
      <formula>2</formula>
    </cfRule>
  </conditionalFormatting>
  <conditionalFormatting sqref="M1375">
    <cfRule type="cellIs" dxfId="7013" priority="9964" operator="greaterThanOrEqual">
      <formula>60</formula>
    </cfRule>
  </conditionalFormatting>
  <conditionalFormatting sqref="M1375">
    <cfRule type="cellIs" dxfId="7012" priority="9965" operator="greaterThanOrEqual">
      <formula>30</formula>
    </cfRule>
  </conditionalFormatting>
  <conditionalFormatting sqref="R1375">
    <cfRule type="cellIs" dxfId="7011" priority="9966" operator="greaterThanOrEqual">
      <formula>600</formula>
    </cfRule>
  </conditionalFormatting>
  <conditionalFormatting sqref="R1375">
    <cfRule type="cellIs" dxfId="7010" priority="9967" operator="greaterThanOrEqual">
      <formula>260</formula>
    </cfRule>
  </conditionalFormatting>
  <conditionalFormatting sqref="S1375">
    <cfRule type="containsText" dxfId="7009" priority="9968" operator="containsText" text="&lt;">
      <formula>NOT(ISERROR(SEARCH(("&lt;"),(S1375))))</formula>
    </cfRule>
  </conditionalFormatting>
  <conditionalFormatting sqref="S1375">
    <cfRule type="containsText" dxfId="7008" priority="9969" operator="containsText" text="ND">
      <formula>NOT(ISERROR(SEARCH(("ND"),(S1375))))</formula>
    </cfRule>
  </conditionalFormatting>
  <conditionalFormatting sqref="S1375">
    <cfRule type="cellIs" dxfId="7007" priority="9970" operator="greaterThanOrEqual">
      <formula>200</formula>
    </cfRule>
  </conditionalFormatting>
  <conditionalFormatting sqref="S1375">
    <cfRule type="cellIs" dxfId="7006" priority="9971" operator="greaterThanOrEqual">
      <formula>130</formula>
    </cfRule>
  </conditionalFormatting>
  <conditionalFormatting sqref="N1375">
    <cfRule type="cellIs" dxfId="7005" priority="9972" operator="greaterThanOrEqual">
      <formula>200</formula>
    </cfRule>
  </conditionalFormatting>
  <conditionalFormatting sqref="N1375">
    <cfRule type="cellIs" dxfId="7004" priority="9973" operator="greaterThanOrEqual">
      <formula>120</formula>
    </cfRule>
  </conditionalFormatting>
  <conditionalFormatting sqref="O1375">
    <cfRule type="containsText" dxfId="7003" priority="9974" operator="containsText" text="ND">
      <formula>NOT(ISERROR(SEARCH(("ND"),(O1375))))</formula>
    </cfRule>
  </conditionalFormatting>
  <conditionalFormatting sqref="O1375">
    <cfRule type="cellIs" dxfId="7002" priority="9975" operator="greaterThanOrEqual">
      <formula>250</formula>
    </cfRule>
  </conditionalFormatting>
  <conditionalFormatting sqref="O1375">
    <cfRule type="cellIs" dxfId="7001" priority="9976" operator="greaterThanOrEqual">
      <formula>175</formula>
    </cfRule>
  </conditionalFormatting>
  <conditionalFormatting sqref="P1375">
    <cfRule type="containsText" dxfId="7000" priority="9977" operator="containsText" text="ND">
      <formula>NOT(ISERROR(SEARCH(("ND"),(P1375))))</formula>
    </cfRule>
  </conditionalFormatting>
  <conditionalFormatting sqref="P1375">
    <cfRule type="cellIs" dxfId="6999" priority="9978" operator="greaterThanOrEqual">
      <formula>5</formula>
    </cfRule>
  </conditionalFormatting>
  <conditionalFormatting sqref="P1375">
    <cfRule type="cellIs" dxfId="6998" priority="9979" operator="greaterThanOrEqual">
      <formula>2.5</formula>
    </cfRule>
  </conditionalFormatting>
  <conditionalFormatting sqref="Q1375">
    <cfRule type="containsText" dxfId="6997" priority="9980" operator="containsText" text="ND">
      <formula>NOT(ISERROR(SEARCH(("ND"),(Q1375))))</formula>
    </cfRule>
  </conditionalFormatting>
  <conditionalFormatting sqref="Q1375">
    <cfRule type="cellIs" dxfId="6996" priority="9981" operator="greaterThanOrEqual">
      <formula>500</formula>
    </cfRule>
  </conditionalFormatting>
  <conditionalFormatting sqref="Q1375">
    <cfRule type="cellIs" dxfId="6995" priority="9982" operator="greaterThanOrEqual">
      <formula>300</formula>
    </cfRule>
  </conditionalFormatting>
  <conditionalFormatting sqref="L1376">
    <cfRule type="cellIs" dxfId="6994" priority="9983" operator="greaterThanOrEqual">
      <formula>5</formula>
    </cfRule>
  </conditionalFormatting>
  <conditionalFormatting sqref="L1376">
    <cfRule type="cellIs" dxfId="6993" priority="9984" operator="greaterThanOrEqual">
      <formula>2</formula>
    </cfRule>
  </conditionalFormatting>
  <conditionalFormatting sqref="M1376">
    <cfRule type="cellIs" dxfId="6992" priority="9985" operator="greaterThanOrEqual">
      <formula>60</formula>
    </cfRule>
  </conditionalFormatting>
  <conditionalFormatting sqref="M1376">
    <cfRule type="cellIs" dxfId="6991" priority="9986" operator="greaterThanOrEqual">
      <formula>30</formula>
    </cfRule>
  </conditionalFormatting>
  <conditionalFormatting sqref="R1376">
    <cfRule type="cellIs" dxfId="6990" priority="9987" operator="greaterThanOrEqual">
      <formula>600</formula>
    </cfRule>
  </conditionalFormatting>
  <conditionalFormatting sqref="R1376">
    <cfRule type="cellIs" dxfId="6989" priority="9988" operator="greaterThanOrEqual">
      <formula>260</formula>
    </cfRule>
  </conditionalFormatting>
  <conditionalFormatting sqref="S1376">
    <cfRule type="containsText" dxfId="6988" priority="9989" operator="containsText" text="&lt;">
      <formula>NOT(ISERROR(SEARCH(("&lt;"),(S1376))))</formula>
    </cfRule>
  </conditionalFormatting>
  <conditionalFormatting sqref="S1376">
    <cfRule type="containsText" dxfId="6987" priority="9990" operator="containsText" text="ND">
      <formula>NOT(ISERROR(SEARCH(("ND"),(S1376))))</formula>
    </cfRule>
  </conditionalFormatting>
  <conditionalFormatting sqref="S1376">
    <cfRule type="cellIs" dxfId="6986" priority="9991" operator="greaterThanOrEqual">
      <formula>200</formula>
    </cfRule>
  </conditionalFormatting>
  <conditionalFormatting sqref="S1376">
    <cfRule type="cellIs" dxfId="6985" priority="9992" operator="greaterThanOrEqual">
      <formula>130</formula>
    </cfRule>
  </conditionalFormatting>
  <conditionalFormatting sqref="N1376">
    <cfRule type="cellIs" dxfId="6984" priority="9993" operator="greaterThanOrEqual">
      <formula>200</formula>
    </cfRule>
  </conditionalFormatting>
  <conditionalFormatting sqref="N1376">
    <cfRule type="cellIs" dxfId="6983" priority="9994" operator="greaterThanOrEqual">
      <formula>120</formula>
    </cfRule>
  </conditionalFormatting>
  <conditionalFormatting sqref="O1376">
    <cfRule type="containsText" dxfId="6982" priority="9995" operator="containsText" text="ND">
      <formula>NOT(ISERROR(SEARCH(("ND"),(O1376))))</formula>
    </cfRule>
  </conditionalFormatting>
  <conditionalFormatting sqref="O1376">
    <cfRule type="cellIs" dxfId="6981" priority="9996" operator="greaterThanOrEqual">
      <formula>250</formula>
    </cfRule>
  </conditionalFormatting>
  <conditionalFormatting sqref="O1376">
    <cfRule type="cellIs" dxfId="6980" priority="9997" operator="greaterThanOrEqual">
      <formula>175</formula>
    </cfRule>
  </conditionalFormatting>
  <conditionalFormatting sqref="P1376">
    <cfRule type="containsText" dxfId="6979" priority="9998" operator="containsText" text="ND">
      <formula>NOT(ISERROR(SEARCH(("ND"),(P1376))))</formula>
    </cfRule>
  </conditionalFormatting>
  <conditionalFormatting sqref="P1376">
    <cfRule type="cellIs" dxfId="6978" priority="9999" operator="greaterThanOrEqual">
      <formula>5</formula>
    </cfRule>
  </conditionalFormatting>
  <conditionalFormatting sqref="P1376">
    <cfRule type="cellIs" dxfId="6977" priority="10000" operator="greaterThanOrEqual">
      <formula>2.5</formula>
    </cfRule>
  </conditionalFormatting>
  <conditionalFormatting sqref="Q1376">
    <cfRule type="containsText" dxfId="6976" priority="10001" operator="containsText" text="ND">
      <formula>NOT(ISERROR(SEARCH(("ND"),(Q1376))))</formula>
    </cfRule>
  </conditionalFormatting>
  <conditionalFormatting sqref="Q1376">
    <cfRule type="cellIs" dxfId="6975" priority="10002" operator="greaterThanOrEqual">
      <formula>500</formula>
    </cfRule>
  </conditionalFormatting>
  <conditionalFormatting sqref="Q1376">
    <cfRule type="cellIs" dxfId="6974" priority="10003" operator="greaterThanOrEqual">
      <formula>300</formula>
    </cfRule>
  </conditionalFormatting>
  <conditionalFormatting sqref="L1377">
    <cfRule type="cellIs" dxfId="6973" priority="10004" operator="greaterThanOrEqual">
      <formula>5</formula>
    </cfRule>
  </conditionalFormatting>
  <conditionalFormatting sqref="L1377">
    <cfRule type="cellIs" dxfId="6972" priority="10005" operator="greaterThanOrEqual">
      <formula>2</formula>
    </cfRule>
  </conditionalFormatting>
  <conditionalFormatting sqref="M1377">
    <cfRule type="cellIs" dxfId="6971" priority="10006" operator="greaterThanOrEqual">
      <formula>60</formula>
    </cfRule>
  </conditionalFormatting>
  <conditionalFormatting sqref="M1377">
    <cfRule type="cellIs" dxfId="6970" priority="10007" operator="greaterThanOrEqual">
      <formula>30</formula>
    </cfRule>
  </conditionalFormatting>
  <conditionalFormatting sqref="R1377">
    <cfRule type="cellIs" dxfId="6969" priority="10008" operator="greaterThanOrEqual">
      <formula>600</formula>
    </cfRule>
  </conditionalFormatting>
  <conditionalFormatting sqref="R1377">
    <cfRule type="cellIs" dxfId="6968" priority="10009" operator="greaterThanOrEqual">
      <formula>260</formula>
    </cfRule>
  </conditionalFormatting>
  <conditionalFormatting sqref="S1377">
    <cfRule type="containsText" dxfId="6967" priority="10010" operator="containsText" text="&lt;">
      <formula>NOT(ISERROR(SEARCH(("&lt;"),(S1377))))</formula>
    </cfRule>
  </conditionalFormatting>
  <conditionalFormatting sqref="S1377">
    <cfRule type="containsText" dxfId="6966" priority="10011" operator="containsText" text="ND">
      <formula>NOT(ISERROR(SEARCH(("ND"),(S1377))))</formula>
    </cfRule>
  </conditionalFormatting>
  <conditionalFormatting sqref="S1377">
    <cfRule type="cellIs" dxfId="6965" priority="10012" operator="greaterThanOrEqual">
      <formula>200</formula>
    </cfRule>
  </conditionalFormatting>
  <conditionalFormatting sqref="S1377">
    <cfRule type="cellIs" dxfId="6964" priority="10013" operator="greaterThanOrEqual">
      <formula>130</formula>
    </cfRule>
  </conditionalFormatting>
  <conditionalFormatting sqref="N1377">
    <cfRule type="cellIs" dxfId="6963" priority="10014" operator="greaterThanOrEqual">
      <formula>200</formula>
    </cfRule>
  </conditionalFormatting>
  <conditionalFormatting sqref="N1377">
    <cfRule type="cellIs" dxfId="6962" priority="10015" operator="greaterThanOrEqual">
      <formula>120</formula>
    </cfRule>
  </conditionalFormatting>
  <conditionalFormatting sqref="O1377">
    <cfRule type="containsText" dxfId="6961" priority="10016" operator="containsText" text="ND">
      <formula>NOT(ISERROR(SEARCH(("ND"),(O1377))))</formula>
    </cfRule>
  </conditionalFormatting>
  <conditionalFormatting sqref="O1377">
    <cfRule type="cellIs" dxfId="6960" priority="10017" operator="greaterThanOrEqual">
      <formula>250</formula>
    </cfRule>
  </conditionalFormatting>
  <conditionalFormatting sqref="O1377">
    <cfRule type="cellIs" dxfId="6959" priority="10018" operator="greaterThanOrEqual">
      <formula>175</formula>
    </cfRule>
  </conditionalFormatting>
  <conditionalFormatting sqref="P1377">
    <cfRule type="containsText" dxfId="6958" priority="10019" operator="containsText" text="ND">
      <formula>NOT(ISERROR(SEARCH(("ND"),(P1377))))</formula>
    </cfRule>
  </conditionalFormatting>
  <conditionalFormatting sqref="P1377">
    <cfRule type="cellIs" dxfId="6957" priority="10020" operator="greaterThanOrEqual">
      <formula>5</formula>
    </cfRule>
  </conditionalFormatting>
  <conditionalFormatting sqref="P1377">
    <cfRule type="cellIs" dxfId="6956" priority="10021" operator="greaterThanOrEqual">
      <formula>2.5</formula>
    </cfRule>
  </conditionalFormatting>
  <conditionalFormatting sqref="Q1377">
    <cfRule type="containsText" dxfId="6955" priority="10022" operator="containsText" text="ND">
      <formula>NOT(ISERROR(SEARCH(("ND"),(Q1377))))</formula>
    </cfRule>
  </conditionalFormatting>
  <conditionalFormatting sqref="Q1377">
    <cfRule type="cellIs" dxfId="6954" priority="10023" operator="greaterThanOrEqual">
      <formula>500</formula>
    </cfRule>
  </conditionalFormatting>
  <conditionalFormatting sqref="Q1377">
    <cfRule type="cellIs" dxfId="6953" priority="10024" operator="greaterThanOrEqual">
      <formula>300</formula>
    </cfRule>
  </conditionalFormatting>
  <conditionalFormatting sqref="L1378">
    <cfRule type="cellIs" dxfId="6952" priority="10025" operator="greaterThanOrEqual">
      <formula>5</formula>
    </cfRule>
  </conditionalFormatting>
  <conditionalFormatting sqref="L1378">
    <cfRule type="cellIs" dxfId="6951" priority="10026" operator="greaterThanOrEqual">
      <formula>2</formula>
    </cfRule>
  </conditionalFormatting>
  <conditionalFormatting sqref="M1378">
    <cfRule type="cellIs" dxfId="6950" priority="10027" operator="greaterThanOrEqual">
      <formula>60</formula>
    </cfRule>
  </conditionalFormatting>
  <conditionalFormatting sqref="M1378">
    <cfRule type="cellIs" dxfId="6949" priority="10028" operator="greaterThanOrEqual">
      <formula>30</formula>
    </cfRule>
  </conditionalFormatting>
  <conditionalFormatting sqref="R1378">
    <cfRule type="cellIs" dxfId="6948" priority="10029" operator="greaterThanOrEqual">
      <formula>600</formula>
    </cfRule>
  </conditionalFormatting>
  <conditionalFormatting sqref="R1378">
    <cfRule type="cellIs" dxfId="6947" priority="10030" operator="greaterThanOrEqual">
      <formula>260</formula>
    </cfRule>
  </conditionalFormatting>
  <conditionalFormatting sqref="S1378">
    <cfRule type="containsText" dxfId="6946" priority="10031" operator="containsText" text="&lt;">
      <formula>NOT(ISERROR(SEARCH(("&lt;"),(S1378))))</formula>
    </cfRule>
  </conditionalFormatting>
  <conditionalFormatting sqref="S1378">
    <cfRule type="containsText" dxfId="6945" priority="10032" operator="containsText" text="ND">
      <formula>NOT(ISERROR(SEARCH(("ND"),(S1378))))</formula>
    </cfRule>
  </conditionalFormatting>
  <conditionalFormatting sqref="S1378">
    <cfRule type="cellIs" dxfId="6944" priority="10033" operator="greaterThanOrEqual">
      <formula>200</formula>
    </cfRule>
  </conditionalFormatting>
  <conditionalFormatting sqref="S1378">
    <cfRule type="cellIs" dxfId="6943" priority="10034" operator="greaterThanOrEqual">
      <formula>130</formula>
    </cfRule>
  </conditionalFormatting>
  <conditionalFormatting sqref="N1378">
    <cfRule type="cellIs" dxfId="6942" priority="10035" operator="greaterThanOrEqual">
      <formula>200</formula>
    </cfRule>
  </conditionalFormatting>
  <conditionalFormatting sqref="N1378">
    <cfRule type="cellIs" dxfId="6941" priority="10036" operator="greaterThanOrEqual">
      <formula>120</formula>
    </cfRule>
  </conditionalFormatting>
  <conditionalFormatting sqref="O1378">
    <cfRule type="containsText" dxfId="6940" priority="10037" operator="containsText" text="ND">
      <formula>NOT(ISERROR(SEARCH(("ND"),(O1378))))</formula>
    </cfRule>
  </conditionalFormatting>
  <conditionalFormatting sqref="O1378">
    <cfRule type="cellIs" dxfId="6939" priority="10038" operator="greaterThanOrEqual">
      <formula>250</formula>
    </cfRule>
  </conditionalFormatting>
  <conditionalFormatting sqref="O1378">
    <cfRule type="cellIs" dxfId="6938" priority="10039" operator="greaterThanOrEqual">
      <formula>175</formula>
    </cfRule>
  </conditionalFormatting>
  <conditionalFormatting sqref="P1378">
    <cfRule type="containsText" dxfId="6937" priority="10040" operator="containsText" text="ND">
      <formula>NOT(ISERROR(SEARCH(("ND"),(P1378))))</formula>
    </cfRule>
  </conditionalFormatting>
  <conditionalFormatting sqref="P1378">
    <cfRule type="cellIs" dxfId="6936" priority="10041" operator="greaterThanOrEqual">
      <formula>5</formula>
    </cfRule>
  </conditionalFormatting>
  <conditionalFormatting sqref="P1378">
    <cfRule type="cellIs" dxfId="6935" priority="10042" operator="greaterThanOrEqual">
      <formula>2.5</formula>
    </cfRule>
  </conditionalFormatting>
  <conditionalFormatting sqref="Q1378">
    <cfRule type="containsText" dxfId="6934" priority="10043" operator="containsText" text="ND">
      <formula>NOT(ISERROR(SEARCH(("ND"),(Q1378))))</formula>
    </cfRule>
  </conditionalFormatting>
  <conditionalFormatting sqref="Q1378">
    <cfRule type="cellIs" dxfId="6933" priority="10044" operator="greaterThanOrEqual">
      <formula>500</formula>
    </cfRule>
  </conditionalFormatting>
  <conditionalFormatting sqref="Q1378">
    <cfRule type="cellIs" dxfId="6932" priority="10045" operator="greaterThanOrEqual">
      <formula>300</formula>
    </cfRule>
  </conditionalFormatting>
  <conditionalFormatting sqref="L1379">
    <cfRule type="cellIs" dxfId="6931" priority="10046" operator="greaterThanOrEqual">
      <formula>5</formula>
    </cfRule>
  </conditionalFormatting>
  <conditionalFormatting sqref="L1379">
    <cfRule type="cellIs" dxfId="6930" priority="10047" operator="greaterThanOrEqual">
      <formula>2</formula>
    </cfRule>
  </conditionalFormatting>
  <conditionalFormatting sqref="M1379">
    <cfRule type="cellIs" dxfId="6929" priority="10048" operator="greaterThanOrEqual">
      <formula>60</formula>
    </cfRule>
  </conditionalFormatting>
  <conditionalFormatting sqref="M1379">
    <cfRule type="cellIs" dxfId="6928" priority="10049" operator="greaterThanOrEqual">
      <formula>30</formula>
    </cfRule>
  </conditionalFormatting>
  <conditionalFormatting sqref="R1379">
    <cfRule type="cellIs" dxfId="6927" priority="10050" operator="greaterThanOrEqual">
      <formula>600</formula>
    </cfRule>
  </conditionalFormatting>
  <conditionalFormatting sqref="R1379">
    <cfRule type="cellIs" dxfId="6926" priority="10051" operator="greaterThanOrEqual">
      <formula>260</formula>
    </cfRule>
  </conditionalFormatting>
  <conditionalFormatting sqref="S1379">
    <cfRule type="containsText" dxfId="6925" priority="10052" operator="containsText" text="&lt;">
      <formula>NOT(ISERROR(SEARCH(("&lt;"),(S1379))))</formula>
    </cfRule>
  </conditionalFormatting>
  <conditionalFormatting sqref="S1379">
    <cfRule type="containsText" dxfId="6924" priority="10053" operator="containsText" text="ND">
      <formula>NOT(ISERROR(SEARCH(("ND"),(S1379))))</formula>
    </cfRule>
  </conditionalFormatting>
  <conditionalFormatting sqref="S1379">
    <cfRule type="cellIs" dxfId="6923" priority="10054" operator="greaterThanOrEqual">
      <formula>200</formula>
    </cfRule>
  </conditionalFormatting>
  <conditionalFormatting sqref="S1379">
    <cfRule type="cellIs" dxfId="6922" priority="10055" operator="greaterThanOrEqual">
      <formula>130</formula>
    </cfRule>
  </conditionalFormatting>
  <conditionalFormatting sqref="N1379">
    <cfRule type="cellIs" dxfId="6921" priority="10056" operator="greaterThanOrEqual">
      <formula>200</formula>
    </cfRule>
  </conditionalFormatting>
  <conditionalFormatting sqref="N1379">
    <cfRule type="cellIs" dxfId="6920" priority="10057" operator="greaterThanOrEqual">
      <formula>120</formula>
    </cfRule>
  </conditionalFormatting>
  <conditionalFormatting sqref="O1379">
    <cfRule type="containsText" dxfId="6919" priority="10058" operator="containsText" text="ND">
      <formula>NOT(ISERROR(SEARCH(("ND"),(O1379))))</formula>
    </cfRule>
  </conditionalFormatting>
  <conditionalFormatting sqref="O1379">
    <cfRule type="cellIs" dxfId="6918" priority="10059" operator="greaterThanOrEqual">
      <formula>250</formula>
    </cfRule>
  </conditionalFormatting>
  <conditionalFormatting sqref="O1379">
    <cfRule type="cellIs" dxfId="6917" priority="10060" operator="greaterThanOrEqual">
      <formula>175</formula>
    </cfRule>
  </conditionalFormatting>
  <conditionalFormatting sqref="P1379">
    <cfRule type="containsText" dxfId="6916" priority="10061" operator="containsText" text="ND">
      <formula>NOT(ISERROR(SEARCH(("ND"),(P1379))))</formula>
    </cfRule>
  </conditionalFormatting>
  <conditionalFormatting sqref="P1379">
    <cfRule type="cellIs" dxfId="6915" priority="10062" operator="greaterThanOrEqual">
      <formula>5</formula>
    </cfRule>
  </conditionalFormatting>
  <conditionalFormatting sqref="P1379">
    <cfRule type="cellIs" dxfId="6914" priority="10063" operator="greaterThanOrEqual">
      <formula>2.5</formula>
    </cfRule>
  </conditionalFormatting>
  <conditionalFormatting sqref="Q1379">
    <cfRule type="containsText" dxfId="6913" priority="10064" operator="containsText" text="ND">
      <formula>NOT(ISERROR(SEARCH(("ND"),(Q1379))))</formula>
    </cfRule>
  </conditionalFormatting>
  <conditionalFormatting sqref="Q1379">
    <cfRule type="cellIs" dxfId="6912" priority="10065" operator="greaterThanOrEqual">
      <formula>500</formula>
    </cfRule>
  </conditionalFormatting>
  <conditionalFormatting sqref="Q1379">
    <cfRule type="cellIs" dxfId="6911" priority="10066" operator="greaterThanOrEqual">
      <formula>300</formula>
    </cfRule>
  </conditionalFormatting>
  <conditionalFormatting sqref="V1091 V533:V539 V1197:V1380 V1552:V1595 V1155:V1195 V411:V458 V460:V526">
    <cfRule type="cellIs" dxfId="6910" priority="9220" operator="equal">
      <formula>"退場"</formula>
    </cfRule>
    <cfRule type="cellIs" dxfId="6909" priority="9221" operator="equal">
      <formula>"延長"</formula>
    </cfRule>
    <cfRule type="cellIs" dxfId="6908" priority="9222" operator="equal">
      <formula>"持續"</formula>
    </cfRule>
  </conditionalFormatting>
  <conditionalFormatting sqref="V1442:V1445">
    <cfRule type="cellIs" dxfId="6907" priority="9056" operator="equal">
      <formula>"退場"</formula>
    </cfRule>
    <cfRule type="cellIs" dxfId="6906" priority="9057" operator="equal">
      <formula>"持續"</formula>
    </cfRule>
    <cfRule type="cellIs" dxfId="6905" priority="9058" operator="equal">
      <formula>"延長"</formula>
    </cfRule>
    <cfRule type="cellIs" dxfId="6904" priority="9059" operator="equal">
      <formula>"尚未調查"</formula>
    </cfRule>
  </conditionalFormatting>
  <conditionalFormatting sqref="V1550">
    <cfRule type="cellIs" dxfId="6903" priority="9051" operator="equal">
      <formula>"延長"</formula>
    </cfRule>
  </conditionalFormatting>
  <conditionalFormatting sqref="V1550">
    <cfRule type="cellIs" dxfId="6902" priority="9047" operator="equal">
      <formula>"退場"</formula>
    </cfRule>
    <cfRule type="cellIs" dxfId="6901" priority="9048" operator="equal">
      <formula>"持續"</formula>
    </cfRule>
    <cfRule type="cellIs" dxfId="6900" priority="9049" operator="equal">
      <formula>"延長"</formula>
    </cfRule>
    <cfRule type="cellIs" dxfId="6899" priority="9050" operator="equal">
      <formula>"尚未調查"</formula>
    </cfRule>
  </conditionalFormatting>
  <conditionalFormatting sqref="V1140">
    <cfRule type="cellIs" dxfId="6898" priority="9042" operator="equal">
      <formula>"退場"</formula>
    </cfRule>
    <cfRule type="cellIs" dxfId="6897" priority="9043" operator="equal">
      <formula>"持續"</formula>
    </cfRule>
    <cfRule type="cellIs" dxfId="6896" priority="9044" operator="equal">
      <formula>"延長"</formula>
    </cfRule>
    <cfRule type="cellIs" dxfId="6895" priority="9045" operator="equal">
      <formula>"尚未調查"</formula>
    </cfRule>
  </conditionalFormatting>
  <conditionalFormatting sqref="V352:V361">
    <cfRule type="cellIs" dxfId="6894" priority="9018" operator="equal">
      <formula>"延長"</formula>
    </cfRule>
  </conditionalFormatting>
  <conditionalFormatting sqref="V920">
    <cfRule type="cellIs" dxfId="6893" priority="9014" operator="equal">
      <formula>"退場"</formula>
    </cfRule>
    <cfRule type="cellIs" dxfId="6892" priority="9015" operator="equal">
      <formula>"持續"</formula>
    </cfRule>
    <cfRule type="cellIs" dxfId="6891" priority="9016" operator="equal">
      <formula>"延長"</formula>
    </cfRule>
    <cfRule type="cellIs" dxfId="6890" priority="9017" operator="equal">
      <formula>"尚未調查"</formula>
    </cfRule>
  </conditionalFormatting>
  <conditionalFormatting sqref="V1141:V1142">
    <cfRule type="cellIs" dxfId="6889" priority="9010" operator="equal">
      <formula>"退場"</formula>
    </cfRule>
    <cfRule type="cellIs" dxfId="6888" priority="9011" operator="equal">
      <formula>"持續"</formula>
    </cfRule>
    <cfRule type="cellIs" dxfId="6887" priority="9012" operator="equal">
      <formula>"延長"</formula>
    </cfRule>
    <cfRule type="cellIs" dxfId="6886" priority="9013" operator="equal">
      <formula>"尚未調查"</formula>
    </cfRule>
  </conditionalFormatting>
  <conditionalFormatting sqref="V1135:V1136">
    <cfRule type="cellIs" dxfId="6885" priority="9005" operator="equal">
      <formula>"退場"</formula>
    </cfRule>
    <cfRule type="cellIs" dxfId="6884" priority="9006" operator="equal">
      <formula>"持續"</formula>
    </cfRule>
    <cfRule type="cellIs" dxfId="6883" priority="9007" operator="equal">
      <formula>"延長"</formula>
    </cfRule>
    <cfRule type="cellIs" dxfId="6882" priority="9008" operator="equal">
      <formula>"尚未調查"</formula>
    </cfRule>
  </conditionalFormatting>
  <conditionalFormatting sqref="V1145">
    <cfRule type="cellIs" dxfId="6881" priority="8999" operator="equal">
      <formula>"退場"</formula>
    </cfRule>
    <cfRule type="cellIs" dxfId="6880" priority="9000" operator="equal">
      <formula>"持續"</formula>
    </cfRule>
    <cfRule type="cellIs" dxfId="6879" priority="9001" operator="equal">
      <formula>"延長"</formula>
    </cfRule>
    <cfRule type="cellIs" dxfId="6878" priority="9002" operator="equal">
      <formula>"尚未調查"</formula>
    </cfRule>
  </conditionalFormatting>
  <conditionalFormatting sqref="V387:V402">
    <cfRule type="cellIs" dxfId="6877" priority="8983" operator="equal">
      <formula>"延長"</formula>
    </cfRule>
  </conditionalFormatting>
  <conditionalFormatting sqref="V386">
    <cfRule type="cellIs" dxfId="6876" priority="8920" operator="equal">
      <formula>"延長"</formula>
    </cfRule>
  </conditionalFormatting>
  <conditionalFormatting sqref="V386">
    <cfRule type="cellIs" dxfId="6875" priority="8916" operator="equal">
      <formula>"退場"</formula>
    </cfRule>
    <cfRule type="cellIs" dxfId="6874" priority="8917" operator="equal">
      <formula>"持續"</formula>
    </cfRule>
    <cfRule type="cellIs" dxfId="6873" priority="8918" operator="equal">
      <formula>"延長"</formula>
    </cfRule>
    <cfRule type="cellIs" dxfId="6872" priority="8919" operator="equal">
      <formula>"尚未調查"</formula>
    </cfRule>
  </conditionalFormatting>
  <conditionalFormatting sqref="V384">
    <cfRule type="cellIs" dxfId="6871" priority="8913" operator="equal">
      <formula>"延長"</formula>
    </cfRule>
  </conditionalFormatting>
  <conditionalFormatting sqref="V384">
    <cfRule type="cellIs" dxfId="6870" priority="8909" operator="equal">
      <formula>"退場"</formula>
    </cfRule>
    <cfRule type="cellIs" dxfId="6869" priority="8910" operator="equal">
      <formula>"持續"</formula>
    </cfRule>
    <cfRule type="cellIs" dxfId="6868" priority="8911" operator="equal">
      <formula>"延長"</formula>
    </cfRule>
    <cfRule type="cellIs" dxfId="6867" priority="8912" operator="equal">
      <formula>"尚未調查"</formula>
    </cfRule>
  </conditionalFormatting>
  <conditionalFormatting sqref="V1446:V1448">
    <cfRule type="cellIs" dxfId="6866" priority="8905" operator="equal">
      <formula>"退場"</formula>
    </cfRule>
    <cfRule type="cellIs" dxfId="6865" priority="8906" operator="equal">
      <formula>"持續"</formula>
    </cfRule>
    <cfRule type="cellIs" dxfId="6864" priority="8907" operator="equal">
      <formula>"延長"</formula>
    </cfRule>
    <cfRule type="cellIs" dxfId="6863" priority="8908" operator="equal">
      <formula>"尚未調查"</formula>
    </cfRule>
  </conditionalFormatting>
  <conditionalFormatting sqref="L1449:L1450 P1449:P1450">
    <cfRule type="cellIs" dxfId="6862" priority="8881" operator="greaterThanOrEqual">
      <formula>5</formula>
    </cfRule>
  </conditionalFormatting>
  <conditionalFormatting sqref="L1449:L1450">
    <cfRule type="cellIs" dxfId="6861" priority="8882" operator="greaterThanOrEqual">
      <formula>2</formula>
    </cfRule>
  </conditionalFormatting>
  <conditionalFormatting sqref="M1449:M1450">
    <cfRule type="cellIs" dxfId="6860" priority="8883" operator="greaterThanOrEqual">
      <formula>60</formula>
    </cfRule>
  </conditionalFormatting>
  <conditionalFormatting sqref="M1449:M1450">
    <cfRule type="cellIs" dxfId="6859" priority="8884" operator="greaterThanOrEqual">
      <formula>30</formula>
    </cfRule>
  </conditionalFormatting>
  <conditionalFormatting sqref="R1449:R1450">
    <cfRule type="cellIs" dxfId="6858" priority="8885" operator="greaterThanOrEqual">
      <formula>600</formula>
    </cfRule>
  </conditionalFormatting>
  <conditionalFormatting sqref="R1449:R1450">
    <cfRule type="cellIs" dxfId="6857" priority="8886" operator="greaterThanOrEqual">
      <formula>260</formula>
    </cfRule>
  </conditionalFormatting>
  <conditionalFormatting sqref="S1449:S1450">
    <cfRule type="containsText" dxfId="6856" priority="8887" operator="containsText" text="&lt;">
      <formula>NOT(ISERROR(SEARCH(("&lt;"),(S1449))))</formula>
    </cfRule>
  </conditionalFormatting>
  <conditionalFormatting sqref="S1449:S1450">
    <cfRule type="containsText" dxfId="6855" priority="8888" operator="containsText" text="ND">
      <formula>NOT(ISERROR(SEARCH(("ND"),(S1449))))</formula>
    </cfRule>
  </conditionalFormatting>
  <conditionalFormatting sqref="S1449:S1450 N1449:N1450">
    <cfRule type="cellIs" dxfId="6854" priority="8889" operator="greaterThanOrEqual">
      <formula>200</formula>
    </cfRule>
  </conditionalFormatting>
  <conditionalFormatting sqref="S1449:S1450">
    <cfRule type="cellIs" dxfId="6853" priority="8890" operator="greaterThanOrEqual">
      <formula>130</formula>
    </cfRule>
  </conditionalFormatting>
  <conditionalFormatting sqref="N1449:N1450">
    <cfRule type="cellIs" dxfId="6852" priority="8891" operator="greaterThanOrEqual">
      <formula>120</formula>
    </cfRule>
  </conditionalFormatting>
  <conditionalFormatting sqref="O1449:Q1450">
    <cfRule type="containsText" dxfId="6851" priority="8892" operator="containsText" text="ND">
      <formula>NOT(ISERROR(SEARCH(("ND"),(O1449))))</formula>
    </cfRule>
  </conditionalFormatting>
  <conditionalFormatting sqref="O1449:O1450">
    <cfRule type="cellIs" dxfId="6850" priority="8893" operator="greaterThanOrEqual">
      <formula>250</formula>
    </cfRule>
  </conditionalFormatting>
  <conditionalFormatting sqref="O1449:O1450">
    <cfRule type="cellIs" dxfId="6849" priority="8894" operator="greaterThanOrEqual">
      <formula>175</formula>
    </cfRule>
  </conditionalFormatting>
  <conditionalFormatting sqref="P1449:P1450">
    <cfRule type="cellIs" dxfId="6848" priority="8895" operator="greaterThanOrEqual">
      <formula>2.5</formula>
    </cfRule>
  </conditionalFormatting>
  <conditionalFormatting sqref="Q1449:Q1450">
    <cfRule type="cellIs" dxfId="6847" priority="8896" operator="greaterThanOrEqual">
      <formula>500</formula>
    </cfRule>
  </conditionalFormatting>
  <conditionalFormatting sqref="Q1449:Q1450">
    <cfRule type="cellIs" dxfId="6846" priority="8897" operator="greaterThanOrEqual">
      <formula>300</formula>
    </cfRule>
  </conditionalFormatting>
  <conditionalFormatting sqref="V1449:V1451">
    <cfRule type="cellIs" dxfId="6845" priority="8865" operator="equal">
      <formula>"退場"</formula>
    </cfRule>
    <cfRule type="cellIs" dxfId="6844" priority="8866" operator="equal">
      <formula>"持續"</formula>
    </cfRule>
    <cfRule type="cellIs" dxfId="6843" priority="8867" operator="equal">
      <formula>"延長"</formula>
    </cfRule>
    <cfRule type="cellIs" dxfId="6842" priority="8868" operator="equal">
      <formula>"尚未調查"</formula>
    </cfRule>
  </conditionalFormatting>
  <conditionalFormatting sqref="V1196">
    <cfRule type="cellIs" dxfId="6841" priority="8821" operator="equal">
      <formula>"退場"</formula>
    </cfRule>
    <cfRule type="cellIs" dxfId="6840" priority="8822" operator="equal">
      <formula>"延長"</formula>
    </cfRule>
    <cfRule type="cellIs" dxfId="6839" priority="8823" operator="equal">
      <formula>"持續"</formula>
    </cfRule>
  </conditionalFormatting>
  <conditionalFormatting sqref="V1465:V1469">
    <cfRule type="cellIs" dxfId="6838" priority="8717" operator="equal">
      <formula>"退場"</formula>
    </cfRule>
    <cfRule type="cellIs" dxfId="6837" priority="8718" operator="equal">
      <formula>"持續"</formula>
    </cfRule>
    <cfRule type="cellIs" dxfId="6836" priority="8719" operator="equal">
      <formula>"延長"</formula>
    </cfRule>
    <cfRule type="cellIs" dxfId="6835" priority="8720" operator="equal">
      <formula>"尚未調查"</formula>
    </cfRule>
  </conditionalFormatting>
  <conditionalFormatting sqref="V1470:V1471">
    <cfRule type="cellIs" dxfId="6834" priority="8700" operator="equal">
      <formula>"退場"</formula>
    </cfRule>
    <cfRule type="cellIs" dxfId="6833" priority="8701" operator="equal">
      <formula>"持續"</formula>
    </cfRule>
    <cfRule type="cellIs" dxfId="6832" priority="8702" operator="equal">
      <formula>"延長"</formula>
    </cfRule>
    <cfRule type="cellIs" dxfId="6831" priority="8703" operator="equal">
      <formula>"尚未調查"</formula>
    </cfRule>
  </conditionalFormatting>
  <conditionalFormatting sqref="V1472:V1473">
    <cfRule type="cellIs" dxfId="6830" priority="8644" operator="equal">
      <formula>"退場"</formula>
    </cfRule>
    <cfRule type="cellIs" dxfId="6829" priority="8645" operator="equal">
      <formula>"持續"</formula>
    </cfRule>
    <cfRule type="cellIs" dxfId="6828" priority="8646" operator="equal">
      <formula>"延長"</formula>
    </cfRule>
    <cfRule type="cellIs" dxfId="6827" priority="8647" operator="equal">
      <formula>"尚未調查"</formula>
    </cfRule>
  </conditionalFormatting>
  <conditionalFormatting sqref="V527:V532">
    <cfRule type="cellIs" dxfId="6826" priority="8556" operator="equal">
      <formula>"退場"</formula>
    </cfRule>
    <cfRule type="cellIs" dxfId="6825" priority="8557" operator="equal">
      <formula>"延長"</formula>
    </cfRule>
    <cfRule type="cellIs" dxfId="6824" priority="8558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6823" priority="8512">
      <formula>LEN(TRIM(W1))=0</formula>
    </cfRule>
    <cfRule type="cellIs" dxfId="6822" priority="15260" operator="lessThan">
      <formula>109</formula>
    </cfRule>
  </conditionalFormatting>
  <conditionalFormatting sqref="AR1353">
    <cfRule type="containsText" dxfId="6821" priority="8500" operator="containsText" text="管制">
      <formula>NOT(ISERROR(SEARCH(("管制"),(AR1353))))</formula>
    </cfRule>
  </conditionalFormatting>
  <conditionalFormatting sqref="AR1353">
    <cfRule type="containsText" dxfId="6820" priority="8501" operator="containsText" text="監測">
      <formula>NOT(ISERROR(SEARCH(("監測"),(AR1353))))</formula>
    </cfRule>
  </conditionalFormatting>
  <conditionalFormatting sqref="AR1353">
    <cfRule type="containsText" dxfId="6819" priority="8502" operator="containsText" text="正常">
      <formula>NOT(ISERROR(SEARCH(("正常"),(AR1353))))</formula>
    </cfRule>
  </conditionalFormatting>
  <conditionalFormatting sqref="AR1354">
    <cfRule type="containsText" dxfId="6818" priority="8497" operator="containsText" text="管制">
      <formula>NOT(ISERROR(SEARCH(("管制"),(AR1354))))</formula>
    </cfRule>
  </conditionalFormatting>
  <conditionalFormatting sqref="AR1354">
    <cfRule type="containsText" dxfId="6817" priority="8498" operator="containsText" text="監測">
      <formula>NOT(ISERROR(SEARCH(("監測"),(AR1354))))</formula>
    </cfRule>
  </conditionalFormatting>
  <conditionalFormatting sqref="AR1354">
    <cfRule type="containsText" dxfId="6816" priority="8499" operator="containsText" text="正常">
      <formula>NOT(ISERROR(SEARCH(("正常"),(AR1354))))</formula>
    </cfRule>
  </conditionalFormatting>
  <conditionalFormatting sqref="AR1355">
    <cfRule type="containsText" dxfId="6815" priority="8494" operator="containsText" text="管制">
      <formula>NOT(ISERROR(SEARCH(("管制"),(AR1355))))</formula>
    </cfRule>
  </conditionalFormatting>
  <conditionalFormatting sqref="AR1355">
    <cfRule type="containsText" dxfId="6814" priority="8495" operator="containsText" text="監測">
      <formula>NOT(ISERROR(SEARCH(("監測"),(AR1355))))</formula>
    </cfRule>
  </conditionalFormatting>
  <conditionalFormatting sqref="AR1355">
    <cfRule type="containsText" dxfId="6813" priority="8496" operator="containsText" text="正常">
      <formula>NOT(ISERROR(SEARCH(("正常"),(AR1355))))</formula>
    </cfRule>
  </conditionalFormatting>
  <conditionalFormatting sqref="AR1356">
    <cfRule type="containsText" dxfId="6812" priority="8491" operator="containsText" text="管制">
      <formula>NOT(ISERROR(SEARCH(("管制"),(AR1356))))</formula>
    </cfRule>
  </conditionalFormatting>
  <conditionalFormatting sqref="AR1356">
    <cfRule type="containsText" dxfId="6811" priority="8492" operator="containsText" text="監測">
      <formula>NOT(ISERROR(SEARCH(("監測"),(AR1356))))</formula>
    </cfRule>
  </conditionalFormatting>
  <conditionalFormatting sqref="AR1356">
    <cfRule type="containsText" dxfId="6810" priority="8493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6809" priority="8488" operator="equal">
      <formula>"管制"</formula>
    </cfRule>
    <cfRule type="cellIs" dxfId="6808" priority="8489" operator="equal">
      <formula>"正常"</formula>
    </cfRule>
    <cfRule type="cellIs" dxfId="6807" priority="8490" operator="equal">
      <formula>"監測"</formula>
    </cfRule>
  </conditionalFormatting>
  <conditionalFormatting sqref="L1600:L1601 P1600:P1601">
    <cfRule type="cellIs" dxfId="6806" priority="8447" operator="greaterThanOrEqual">
      <formula>5</formula>
    </cfRule>
  </conditionalFormatting>
  <conditionalFormatting sqref="L1600:L1601">
    <cfRule type="cellIs" dxfId="6805" priority="8448" operator="greaterThanOrEqual">
      <formula>2</formula>
    </cfRule>
  </conditionalFormatting>
  <conditionalFormatting sqref="M1600:M1601">
    <cfRule type="cellIs" dxfId="6804" priority="8449" operator="greaterThanOrEqual">
      <formula>60</formula>
    </cfRule>
  </conditionalFormatting>
  <conditionalFormatting sqref="M1600:M1601">
    <cfRule type="cellIs" dxfId="6803" priority="8450" operator="greaterThanOrEqual">
      <formula>30</formula>
    </cfRule>
  </conditionalFormatting>
  <conditionalFormatting sqref="R1600:R1601">
    <cfRule type="cellIs" dxfId="6802" priority="8451" operator="greaterThanOrEqual">
      <formula>600</formula>
    </cfRule>
  </conditionalFormatting>
  <conditionalFormatting sqref="R1600:R1601">
    <cfRule type="cellIs" dxfId="6801" priority="8452" operator="greaterThanOrEqual">
      <formula>260</formula>
    </cfRule>
  </conditionalFormatting>
  <conditionalFormatting sqref="S1600:S1601 N1600:N1601">
    <cfRule type="cellIs" dxfId="6800" priority="8455" operator="greaterThanOrEqual">
      <formula>200</formula>
    </cfRule>
  </conditionalFormatting>
  <conditionalFormatting sqref="S1600:S1601">
    <cfRule type="cellIs" dxfId="6799" priority="8456" operator="greaterThanOrEqual">
      <formula>130</formula>
    </cfRule>
  </conditionalFormatting>
  <conditionalFormatting sqref="N1600:N1601">
    <cfRule type="cellIs" dxfId="6798" priority="8457" operator="greaterThanOrEqual">
      <formula>120</formula>
    </cfRule>
  </conditionalFormatting>
  <conditionalFormatting sqref="O1600:O1601">
    <cfRule type="cellIs" dxfId="6797" priority="8459" operator="greaterThanOrEqual">
      <formula>250</formula>
    </cfRule>
  </conditionalFormatting>
  <conditionalFormatting sqref="O1600:O1601">
    <cfRule type="cellIs" dxfId="6796" priority="8460" operator="greaterThanOrEqual">
      <formula>175</formula>
    </cfRule>
  </conditionalFormatting>
  <conditionalFormatting sqref="P1600:P1601">
    <cfRule type="cellIs" dxfId="6795" priority="8461" operator="greaterThanOrEqual">
      <formula>2.5</formula>
    </cfRule>
  </conditionalFormatting>
  <conditionalFormatting sqref="Q1600:Q1601">
    <cfRule type="cellIs" dxfId="6794" priority="8462" operator="greaterThanOrEqual">
      <formula>500</formula>
    </cfRule>
  </conditionalFormatting>
  <conditionalFormatting sqref="Q1600:Q1601">
    <cfRule type="cellIs" dxfId="6793" priority="8463" operator="greaterThanOrEqual">
      <formula>300</formula>
    </cfRule>
  </conditionalFormatting>
  <conditionalFormatting sqref="I1600:S1601">
    <cfRule type="cellIs" dxfId="6792" priority="8439" operator="equal">
      <formula>"難以採樣"</formula>
    </cfRule>
    <cfRule type="cellIs" dxfId="6791" priority="8440" operator="equal">
      <formula>"管制"</formula>
    </cfRule>
    <cfRule type="cellIs" dxfId="6790" priority="8441" operator="equal">
      <formula>"正常"</formula>
    </cfRule>
    <cfRule type="cellIs" dxfId="6789" priority="8442" operator="equal">
      <formula>"監測"</formula>
    </cfRule>
  </conditionalFormatting>
  <conditionalFormatting sqref="W1600:W1601">
    <cfRule type="cellIs" dxfId="6788" priority="8464" operator="lessThan">
      <formula>109</formula>
    </cfRule>
  </conditionalFormatting>
  <conditionalFormatting sqref="X1600:AI1601">
    <cfRule type="cellIs" dxfId="6787" priority="8432" operator="equal">
      <formula>"建物"</formula>
    </cfRule>
    <cfRule type="cellIs" dxfId="6786" priority="8433" operator="equal">
      <formula>"難以採樣"</formula>
    </cfRule>
    <cfRule type="cellIs" dxfId="6785" priority="8434" operator="equal">
      <formula>"管制"</formula>
    </cfRule>
    <cfRule type="cellIs" dxfId="6784" priority="8435" operator="equal">
      <formula>"正常"</formula>
    </cfRule>
    <cfRule type="cellIs" dxfId="6783" priority="8436" operator="equal">
      <formula>"監測"</formula>
    </cfRule>
  </conditionalFormatting>
  <conditionalFormatting sqref="L1606 P1606">
    <cfRule type="cellIs" dxfId="6782" priority="8414" operator="greaterThanOrEqual">
      <formula>5</formula>
    </cfRule>
  </conditionalFormatting>
  <conditionalFormatting sqref="L1606">
    <cfRule type="cellIs" dxfId="6781" priority="8415" operator="greaterThanOrEqual">
      <formula>2</formula>
    </cfRule>
  </conditionalFormatting>
  <conditionalFormatting sqref="M1606">
    <cfRule type="cellIs" dxfId="6780" priority="8416" operator="greaterThanOrEqual">
      <formula>60</formula>
    </cfRule>
  </conditionalFormatting>
  <conditionalFormatting sqref="M1606">
    <cfRule type="cellIs" dxfId="6779" priority="8417" operator="greaterThanOrEqual">
      <formula>30</formula>
    </cfRule>
  </conditionalFormatting>
  <conditionalFormatting sqref="R1606">
    <cfRule type="cellIs" dxfId="6778" priority="8418" operator="greaterThanOrEqual">
      <formula>600</formula>
    </cfRule>
  </conditionalFormatting>
  <conditionalFormatting sqref="R1606">
    <cfRule type="cellIs" dxfId="6777" priority="8419" operator="greaterThanOrEqual">
      <formula>260</formula>
    </cfRule>
  </conditionalFormatting>
  <conditionalFormatting sqref="S1606 N1606">
    <cfRule type="cellIs" dxfId="6776" priority="8422" operator="greaterThanOrEqual">
      <formula>200</formula>
    </cfRule>
  </conditionalFormatting>
  <conditionalFormatting sqref="S1606">
    <cfRule type="cellIs" dxfId="6775" priority="8423" operator="greaterThanOrEqual">
      <formula>130</formula>
    </cfRule>
  </conditionalFormatting>
  <conditionalFormatting sqref="N1606">
    <cfRule type="cellIs" dxfId="6774" priority="8424" operator="greaterThanOrEqual">
      <formula>120</formula>
    </cfRule>
  </conditionalFormatting>
  <conditionalFormatting sqref="O1606">
    <cfRule type="cellIs" dxfId="6773" priority="8426" operator="greaterThanOrEqual">
      <formula>250</formula>
    </cfRule>
  </conditionalFormatting>
  <conditionalFormatting sqref="O1606">
    <cfRule type="cellIs" dxfId="6772" priority="8427" operator="greaterThanOrEqual">
      <formula>175</formula>
    </cfRule>
  </conditionalFormatting>
  <conditionalFormatting sqref="P1606">
    <cfRule type="cellIs" dxfId="6771" priority="8428" operator="greaterThanOrEqual">
      <formula>2.5</formula>
    </cfRule>
  </conditionalFormatting>
  <conditionalFormatting sqref="Q1606">
    <cfRule type="cellIs" dxfId="6770" priority="8429" operator="greaterThanOrEqual">
      <formula>500</formula>
    </cfRule>
  </conditionalFormatting>
  <conditionalFormatting sqref="Q1606">
    <cfRule type="cellIs" dxfId="6769" priority="8430" operator="greaterThanOrEqual">
      <formula>300</formula>
    </cfRule>
  </conditionalFormatting>
  <conditionalFormatting sqref="P1607 L1607">
    <cfRule type="cellIs" dxfId="6768" priority="8400" operator="greaterThanOrEqual">
      <formula>5</formula>
    </cfRule>
  </conditionalFormatting>
  <conditionalFormatting sqref="L1607">
    <cfRule type="cellIs" dxfId="6767" priority="8401" operator="greaterThanOrEqual">
      <formula>2</formula>
    </cfRule>
  </conditionalFormatting>
  <conditionalFormatting sqref="M1607">
    <cfRule type="cellIs" dxfId="6766" priority="8402" operator="greaterThanOrEqual">
      <formula>60</formula>
    </cfRule>
  </conditionalFormatting>
  <conditionalFormatting sqref="M1607">
    <cfRule type="cellIs" dxfId="6765" priority="8403" operator="greaterThanOrEqual">
      <formula>30</formula>
    </cfRule>
  </conditionalFormatting>
  <conditionalFormatting sqref="R1607">
    <cfRule type="cellIs" dxfId="6764" priority="8404" operator="greaterThanOrEqual">
      <formula>600</formula>
    </cfRule>
  </conditionalFormatting>
  <conditionalFormatting sqref="R1607">
    <cfRule type="cellIs" dxfId="6763" priority="8405" operator="greaterThanOrEqual">
      <formula>260</formula>
    </cfRule>
  </conditionalFormatting>
  <conditionalFormatting sqref="N1607 S1607">
    <cfRule type="cellIs" dxfId="6762" priority="8406" operator="greaterThanOrEqual">
      <formula>200</formula>
    </cfRule>
  </conditionalFormatting>
  <conditionalFormatting sqref="S1607">
    <cfRule type="cellIs" dxfId="6761" priority="8407" operator="greaterThanOrEqual">
      <formula>130</formula>
    </cfRule>
  </conditionalFormatting>
  <conditionalFormatting sqref="N1607">
    <cfRule type="cellIs" dxfId="6760" priority="8408" operator="greaterThanOrEqual">
      <formula>120</formula>
    </cfRule>
  </conditionalFormatting>
  <conditionalFormatting sqref="O1607">
    <cfRule type="cellIs" dxfId="6759" priority="8409" operator="greaterThanOrEqual">
      <formula>250</formula>
    </cfRule>
  </conditionalFormatting>
  <conditionalFormatting sqref="O1607">
    <cfRule type="cellIs" dxfId="6758" priority="8410" operator="greaterThanOrEqual">
      <formula>175</formula>
    </cfRule>
  </conditionalFormatting>
  <conditionalFormatting sqref="P1607">
    <cfRule type="cellIs" dxfId="6757" priority="8411" operator="greaterThanOrEqual">
      <formula>2.5</formula>
    </cfRule>
  </conditionalFormatting>
  <conditionalFormatting sqref="Q1607">
    <cfRule type="cellIs" dxfId="6756" priority="8412" operator="greaterThanOrEqual">
      <formula>500</formula>
    </cfRule>
  </conditionalFormatting>
  <conditionalFormatting sqref="Q1607">
    <cfRule type="cellIs" dxfId="6755" priority="8413" operator="greaterThanOrEqual">
      <formula>300</formula>
    </cfRule>
  </conditionalFormatting>
  <conditionalFormatting sqref="I1606:S1607">
    <cfRule type="cellIs" dxfId="6754" priority="8392" operator="equal">
      <formula>"難以採樣"</formula>
    </cfRule>
    <cfRule type="cellIs" dxfId="6753" priority="8393" operator="equal">
      <formula>"管制"</formula>
    </cfRule>
    <cfRule type="cellIs" dxfId="6752" priority="8394" operator="equal">
      <formula>"正常"</formula>
    </cfRule>
    <cfRule type="cellIs" dxfId="6751" priority="8395" operator="equal">
      <formula>"監測"</formula>
    </cfRule>
  </conditionalFormatting>
  <conditionalFormatting sqref="W1606:W1607">
    <cfRule type="cellIs" dxfId="6750" priority="8431" operator="lessThan">
      <formula>109</formula>
    </cfRule>
  </conditionalFormatting>
  <conditionalFormatting sqref="X1606:AI1607">
    <cfRule type="cellIs" dxfId="6749" priority="8385" operator="equal">
      <formula>"建物"</formula>
    </cfRule>
    <cfRule type="cellIs" dxfId="6748" priority="8386" operator="equal">
      <formula>"難以採樣"</formula>
    </cfRule>
    <cfRule type="cellIs" dxfId="6747" priority="8387" operator="equal">
      <formula>"管制"</formula>
    </cfRule>
    <cfRule type="cellIs" dxfId="6746" priority="8388" operator="equal">
      <formula>"正常"</formula>
    </cfRule>
    <cfRule type="cellIs" dxfId="6745" priority="8389" operator="equal">
      <formula>"監測"</formula>
    </cfRule>
  </conditionalFormatting>
  <conditionalFormatting sqref="V1603:V1607">
    <cfRule type="cellIs" dxfId="6744" priority="8381" operator="equal">
      <formula>"退場"</formula>
    </cfRule>
    <cfRule type="cellIs" dxfId="6743" priority="8382" operator="equal">
      <formula>"持續"</formula>
    </cfRule>
    <cfRule type="cellIs" dxfId="6742" priority="8383" operator="equal">
      <formula>"延長"</formula>
    </cfRule>
    <cfRule type="cellIs" dxfId="6741" priority="8384" operator="equal">
      <formula>"尚未調查"</formula>
    </cfRule>
  </conditionalFormatting>
  <conditionalFormatting sqref="P1614:P1615 L1614:L1615">
    <cfRule type="cellIs" dxfId="6740" priority="8362" operator="greaterThanOrEqual">
      <formula>5</formula>
    </cfRule>
  </conditionalFormatting>
  <conditionalFormatting sqref="L1614:L1615">
    <cfRule type="cellIs" dxfId="6739" priority="8363" operator="greaterThanOrEqual">
      <formula>2</formula>
    </cfRule>
  </conditionalFormatting>
  <conditionalFormatting sqref="M1614:M1615">
    <cfRule type="cellIs" dxfId="6738" priority="8364" operator="greaterThanOrEqual">
      <formula>60</formula>
    </cfRule>
  </conditionalFormatting>
  <conditionalFormatting sqref="M1614:M1615">
    <cfRule type="cellIs" dxfId="6737" priority="8365" operator="greaterThanOrEqual">
      <formula>30</formula>
    </cfRule>
  </conditionalFormatting>
  <conditionalFormatting sqref="R1614:R1615">
    <cfRule type="cellIs" dxfId="6736" priority="8366" operator="greaterThanOrEqual">
      <formula>600</formula>
    </cfRule>
  </conditionalFormatting>
  <conditionalFormatting sqref="R1614:R1615">
    <cfRule type="cellIs" dxfId="6735" priority="8367" operator="greaterThanOrEqual">
      <formula>260</formula>
    </cfRule>
  </conditionalFormatting>
  <conditionalFormatting sqref="N1614:N1615 S1614:S1615">
    <cfRule type="cellIs" dxfId="6734" priority="8370" operator="greaterThanOrEqual">
      <formula>200</formula>
    </cfRule>
  </conditionalFormatting>
  <conditionalFormatting sqref="S1614:S1615">
    <cfRule type="cellIs" dxfId="6733" priority="8371" operator="greaterThanOrEqual">
      <formula>130</formula>
    </cfRule>
  </conditionalFormatting>
  <conditionalFormatting sqref="N1614:N1615">
    <cfRule type="cellIs" dxfId="6732" priority="8372" operator="greaterThanOrEqual">
      <formula>120</formula>
    </cfRule>
  </conditionalFormatting>
  <conditionalFormatting sqref="O1614:O1615">
    <cfRule type="cellIs" dxfId="6731" priority="8374" operator="greaterThanOrEqual">
      <formula>250</formula>
    </cfRule>
  </conditionalFormatting>
  <conditionalFormatting sqref="O1614:O1615">
    <cfRule type="cellIs" dxfId="6730" priority="8375" operator="greaterThanOrEqual">
      <formula>175</formula>
    </cfRule>
  </conditionalFormatting>
  <conditionalFormatting sqref="P1614:P1615">
    <cfRule type="cellIs" dxfId="6729" priority="8376" operator="greaterThanOrEqual">
      <formula>2.5</formula>
    </cfRule>
  </conditionalFormatting>
  <conditionalFormatting sqref="Q1614:Q1615">
    <cfRule type="cellIs" dxfId="6728" priority="8377" operator="greaterThanOrEqual">
      <formula>500</formula>
    </cfRule>
  </conditionalFormatting>
  <conditionalFormatting sqref="Q1614:Q1615">
    <cfRule type="cellIs" dxfId="6727" priority="8378" operator="greaterThanOrEqual">
      <formula>300</formula>
    </cfRule>
  </conditionalFormatting>
  <conditionalFormatting sqref="I1614:S1615">
    <cfRule type="cellIs" dxfId="6726" priority="8354" operator="equal">
      <formula>"難以採樣"</formula>
    </cfRule>
    <cfRule type="cellIs" dxfId="6725" priority="8355" operator="equal">
      <formula>"管制"</formula>
    </cfRule>
    <cfRule type="cellIs" dxfId="6724" priority="8356" operator="equal">
      <formula>"正常"</formula>
    </cfRule>
    <cfRule type="cellIs" dxfId="6723" priority="8357" operator="equal">
      <formula>"監測"</formula>
    </cfRule>
  </conditionalFormatting>
  <conditionalFormatting sqref="W1614:W1615">
    <cfRule type="cellIs" dxfId="6722" priority="8379" operator="lessThan">
      <formula>109</formula>
    </cfRule>
  </conditionalFormatting>
  <conditionalFormatting sqref="X1614:AI1615">
    <cfRule type="cellIs" dxfId="6721" priority="8347" operator="equal">
      <formula>"建物"</formula>
    </cfRule>
    <cfRule type="cellIs" dxfId="6720" priority="8348" operator="equal">
      <formula>"難以採樣"</formula>
    </cfRule>
    <cfRule type="cellIs" dxfId="6719" priority="8349" operator="equal">
      <formula>"管制"</formula>
    </cfRule>
    <cfRule type="cellIs" dxfId="6718" priority="8350" operator="equal">
      <formula>"正常"</formula>
    </cfRule>
    <cfRule type="cellIs" dxfId="6717" priority="8351" operator="equal">
      <formula>"監測"</formula>
    </cfRule>
  </conditionalFormatting>
  <conditionalFormatting sqref="V1608:V1615">
    <cfRule type="cellIs" dxfId="6716" priority="8343" operator="equal">
      <formula>"退場"</formula>
    </cfRule>
    <cfRule type="cellIs" dxfId="6715" priority="8344" operator="equal">
      <formula>"持續"</formula>
    </cfRule>
    <cfRule type="cellIs" dxfId="6714" priority="8345" operator="equal">
      <formula>"延長"</formula>
    </cfRule>
    <cfRule type="cellIs" dxfId="6713" priority="8346" operator="equal">
      <formula>"尚未調查"</formula>
    </cfRule>
  </conditionalFormatting>
  <conditionalFormatting sqref="V1474:V1475">
    <cfRule type="cellIs" dxfId="6712" priority="8334" operator="equal">
      <formula>"退場"</formula>
    </cfRule>
    <cfRule type="cellIs" dxfId="6711" priority="8335" operator="equal">
      <formula>"持續"</formula>
    </cfRule>
    <cfRule type="cellIs" dxfId="6710" priority="8336" operator="equal">
      <formula>"延長"</formula>
    </cfRule>
    <cfRule type="cellIs" dxfId="6709" priority="8337" operator="equal">
      <formula>"尚未調查"</formula>
    </cfRule>
  </conditionalFormatting>
  <conditionalFormatting sqref="L459 P459">
    <cfRule type="cellIs" dxfId="6708" priority="8296" operator="greaterThanOrEqual">
      <formula>5</formula>
    </cfRule>
  </conditionalFormatting>
  <conditionalFormatting sqref="L459">
    <cfRule type="cellIs" dxfId="6707" priority="8297" operator="greaterThanOrEqual">
      <formula>2</formula>
    </cfRule>
  </conditionalFormatting>
  <conditionalFormatting sqref="M459">
    <cfRule type="cellIs" dxfId="6706" priority="8298" operator="greaterThanOrEqual">
      <formula>60</formula>
    </cfRule>
  </conditionalFormatting>
  <conditionalFormatting sqref="M459">
    <cfRule type="cellIs" dxfId="6705" priority="8299" operator="greaterThanOrEqual">
      <formula>30</formula>
    </cfRule>
  </conditionalFormatting>
  <conditionalFormatting sqref="R459">
    <cfRule type="cellIs" dxfId="6704" priority="8300" operator="greaterThanOrEqual">
      <formula>600</formula>
    </cfRule>
  </conditionalFormatting>
  <conditionalFormatting sqref="R459">
    <cfRule type="cellIs" dxfId="6703" priority="8301" operator="greaterThanOrEqual">
      <formula>260</formula>
    </cfRule>
  </conditionalFormatting>
  <conditionalFormatting sqref="N459 S459">
    <cfRule type="cellIs" dxfId="6702" priority="8304" operator="greaterThanOrEqual">
      <formula>200</formula>
    </cfRule>
  </conditionalFormatting>
  <conditionalFormatting sqref="S459">
    <cfRule type="cellIs" dxfId="6701" priority="8305" operator="greaterThanOrEqual">
      <formula>130</formula>
    </cfRule>
  </conditionalFormatting>
  <conditionalFormatting sqref="N459">
    <cfRule type="cellIs" dxfId="6700" priority="8306" operator="greaterThanOrEqual">
      <formula>120</formula>
    </cfRule>
  </conditionalFormatting>
  <conditionalFormatting sqref="O459">
    <cfRule type="cellIs" dxfId="6699" priority="8308" operator="greaterThanOrEqual">
      <formula>250</formula>
    </cfRule>
  </conditionalFormatting>
  <conditionalFormatting sqref="O459">
    <cfRule type="cellIs" dxfId="6698" priority="8309" operator="greaterThanOrEqual">
      <formula>175</formula>
    </cfRule>
  </conditionalFormatting>
  <conditionalFormatting sqref="P459">
    <cfRule type="cellIs" dxfId="6697" priority="8310" operator="greaterThanOrEqual">
      <formula>2.5</formula>
    </cfRule>
  </conditionalFormatting>
  <conditionalFormatting sqref="Q459">
    <cfRule type="cellIs" dxfId="6696" priority="8311" operator="greaterThanOrEqual">
      <formula>500</formula>
    </cfRule>
  </conditionalFormatting>
  <conditionalFormatting sqref="Q459">
    <cfRule type="cellIs" dxfId="6695" priority="8312" operator="greaterThanOrEqual">
      <formula>300</formula>
    </cfRule>
  </conditionalFormatting>
  <conditionalFormatting sqref="W459">
    <cfRule type="cellIs" dxfId="6694" priority="8318" operator="lessThan">
      <formula>109</formula>
    </cfRule>
  </conditionalFormatting>
  <conditionalFormatting sqref="X459:AI459">
    <cfRule type="cellIs" dxfId="6693" priority="8284" operator="equal">
      <formula>"建物"</formula>
    </cfRule>
    <cfRule type="cellIs" dxfId="6692" priority="8285" operator="equal">
      <formula>"難以採樣"</formula>
    </cfRule>
    <cfRule type="cellIs" dxfId="6691" priority="8286" operator="equal">
      <formula>"管制"</formula>
    </cfRule>
    <cfRule type="cellIs" dxfId="6690" priority="8287" operator="equal">
      <formula>"正常"</formula>
    </cfRule>
    <cfRule type="cellIs" dxfId="6689" priority="8288" operator="equal">
      <formula>"監測"</formula>
    </cfRule>
  </conditionalFormatting>
  <conditionalFormatting sqref="V459">
    <cfRule type="cellIs" dxfId="6688" priority="8281" operator="equal">
      <formula>"退場"</formula>
    </cfRule>
    <cfRule type="cellIs" dxfId="6687" priority="8282" operator="equal">
      <formula>"延長"</formula>
    </cfRule>
    <cfRule type="cellIs" dxfId="6686" priority="8283" operator="equal">
      <formula>"持續"</formula>
    </cfRule>
  </conditionalFormatting>
  <conditionalFormatting sqref="L1594:L1595 P1594:P1595">
    <cfRule type="cellIs" dxfId="6685" priority="8266" operator="greaterThanOrEqual">
      <formula>5</formula>
    </cfRule>
  </conditionalFormatting>
  <conditionalFormatting sqref="L1594:L1595">
    <cfRule type="cellIs" dxfId="6684" priority="8267" operator="greaterThanOrEqual">
      <formula>2</formula>
    </cfRule>
  </conditionalFormatting>
  <conditionalFormatting sqref="M1594:M1595">
    <cfRule type="cellIs" dxfId="6683" priority="8268" operator="greaterThanOrEqual">
      <formula>60</formula>
    </cfRule>
  </conditionalFormatting>
  <conditionalFormatting sqref="M1594:M1595">
    <cfRule type="cellIs" dxfId="6682" priority="8269" operator="greaterThanOrEqual">
      <formula>30</formula>
    </cfRule>
  </conditionalFormatting>
  <conditionalFormatting sqref="R1594:R1595">
    <cfRule type="cellIs" dxfId="6681" priority="8270" operator="greaterThanOrEqual">
      <formula>600</formula>
    </cfRule>
  </conditionalFormatting>
  <conditionalFormatting sqref="R1594:R1595">
    <cfRule type="cellIs" dxfId="6680" priority="8271" operator="greaterThanOrEqual">
      <formula>260</formula>
    </cfRule>
  </conditionalFormatting>
  <conditionalFormatting sqref="S1594:S1595 N1594:N1595">
    <cfRule type="cellIs" dxfId="6679" priority="8272" operator="greaterThanOrEqual">
      <formula>200</formula>
    </cfRule>
  </conditionalFormatting>
  <conditionalFormatting sqref="S1594:S1595">
    <cfRule type="cellIs" dxfId="6678" priority="8273" operator="greaterThanOrEqual">
      <formula>130</formula>
    </cfRule>
  </conditionalFormatting>
  <conditionalFormatting sqref="N1594:N1595">
    <cfRule type="cellIs" dxfId="6677" priority="8274" operator="greaterThanOrEqual">
      <formula>120</formula>
    </cfRule>
  </conditionalFormatting>
  <conditionalFormatting sqref="O1594:O1595">
    <cfRule type="cellIs" dxfId="6676" priority="8275" operator="greaterThanOrEqual">
      <formula>250</formula>
    </cfRule>
  </conditionalFormatting>
  <conditionalFormatting sqref="O1594:O1595">
    <cfRule type="cellIs" dxfId="6675" priority="8276" operator="greaterThanOrEqual">
      <formula>175</formula>
    </cfRule>
  </conditionalFormatting>
  <conditionalFormatting sqref="P1594:P1595">
    <cfRule type="cellIs" dxfId="6674" priority="8277" operator="greaterThanOrEqual">
      <formula>2.5</formula>
    </cfRule>
  </conditionalFormatting>
  <conditionalFormatting sqref="Q1594:Q1595">
    <cfRule type="cellIs" dxfId="6673" priority="8278" operator="greaterThanOrEqual">
      <formula>500</formula>
    </cfRule>
  </conditionalFormatting>
  <conditionalFormatting sqref="Q1594:Q1595">
    <cfRule type="cellIs" dxfId="6672" priority="8279" operator="greaterThanOrEqual">
      <formula>300</formula>
    </cfRule>
  </conditionalFormatting>
  <conditionalFormatting sqref="X1594:AH1595">
    <cfRule type="cellIs" dxfId="6671" priority="8252" operator="equal">
      <formula>"建物"</formula>
    </cfRule>
    <cfRule type="cellIs" dxfId="6670" priority="8253" operator="equal">
      <formula>"難以採樣"</formula>
    </cfRule>
    <cfRule type="cellIs" dxfId="6669" priority="8254" operator="equal">
      <formula>"管制"</formula>
    </cfRule>
    <cfRule type="cellIs" dxfId="6668" priority="8255" operator="equal">
      <formula>"正常"</formula>
    </cfRule>
    <cfRule type="cellIs" dxfId="6667" priority="8256" operator="equal">
      <formula>"監測"</formula>
    </cfRule>
  </conditionalFormatting>
  <conditionalFormatting sqref="AJ1616:AK1616">
    <cfRule type="cellIs" dxfId="6666" priority="8227" operator="equal">
      <formula>"管制"</formula>
    </cfRule>
    <cfRule type="cellIs" dxfId="6665" priority="8228" operator="equal">
      <formula>"正常"</formula>
    </cfRule>
    <cfRule type="cellIs" dxfId="6664" priority="8229" operator="equal">
      <formula>"監測"</formula>
    </cfRule>
  </conditionalFormatting>
  <conditionalFormatting sqref="AI87:AI89">
    <cfRule type="cellIs" dxfId="6663" priority="8224" operator="equal">
      <formula>"管制"</formula>
    </cfRule>
    <cfRule type="cellIs" dxfId="6662" priority="8225" operator="equal">
      <formula>"正常"</formula>
    </cfRule>
    <cfRule type="cellIs" dxfId="6661" priority="8226" operator="equal">
      <formula>"監測"</formula>
    </cfRule>
  </conditionalFormatting>
  <conditionalFormatting sqref="AJ1385:AK1385">
    <cfRule type="cellIs" dxfId="6660" priority="8219" operator="equal">
      <formula>"難以採樣"</formula>
    </cfRule>
    <cfRule type="cellIs" dxfId="6659" priority="8220" operator="equal">
      <formula>"建物"</formula>
    </cfRule>
    <cfRule type="cellIs" dxfId="6658" priority="8221" operator="equal">
      <formula>"管制"</formula>
    </cfRule>
    <cfRule type="cellIs" dxfId="6657" priority="8222" operator="equal">
      <formula>"監測"</formula>
    </cfRule>
    <cfRule type="cellIs" dxfId="6656" priority="8223" operator="equal">
      <formula>"正常"</formula>
    </cfRule>
  </conditionalFormatting>
  <conditionalFormatting sqref="AJ1386:AK1386">
    <cfRule type="cellIs" dxfId="6655" priority="8209" operator="equal">
      <formula>"難以採樣"</formula>
    </cfRule>
    <cfRule type="cellIs" dxfId="6654" priority="8210" operator="equal">
      <formula>"建物"</formula>
    </cfRule>
    <cfRule type="cellIs" dxfId="6653" priority="8211" operator="equal">
      <formula>"管制"</formula>
    </cfRule>
    <cfRule type="cellIs" dxfId="6652" priority="8212" operator="equal">
      <formula>"監測"</formula>
    </cfRule>
    <cfRule type="cellIs" dxfId="6651" priority="8213" operator="equal">
      <formula>"正常"</formula>
    </cfRule>
  </conditionalFormatting>
  <conditionalFormatting sqref="AJ1388:AK1388">
    <cfRule type="cellIs" dxfId="6650" priority="8203" operator="equal">
      <formula>"難以採樣"</formula>
    </cfRule>
    <cfRule type="cellIs" dxfId="6649" priority="8204" operator="equal">
      <formula>"建物"</formula>
    </cfRule>
    <cfRule type="cellIs" dxfId="6648" priority="8205" operator="equal">
      <formula>"管制"</formula>
    </cfRule>
    <cfRule type="cellIs" dxfId="6647" priority="8206" operator="equal">
      <formula>"監測"</formula>
    </cfRule>
    <cfRule type="cellIs" dxfId="6646" priority="8207" operator="equal">
      <formula>"正常"</formula>
    </cfRule>
  </conditionalFormatting>
  <conditionalFormatting sqref="AJ1381:AK1381">
    <cfRule type="cellIs" dxfId="6645" priority="8200" operator="equal">
      <formula>"管制"</formula>
    </cfRule>
    <cfRule type="cellIs" dxfId="6644" priority="8201" operator="equal">
      <formula>"正常"</formula>
    </cfRule>
    <cfRule type="cellIs" dxfId="6643" priority="8202" operator="equal">
      <formula>"監測"</formula>
    </cfRule>
  </conditionalFormatting>
  <conditionalFormatting sqref="AJ3:AK3">
    <cfRule type="cellIs" dxfId="6642" priority="8197" operator="equal">
      <formula>"管制"</formula>
    </cfRule>
    <cfRule type="cellIs" dxfId="6641" priority="8198" operator="equal">
      <formula>"正常"</formula>
    </cfRule>
    <cfRule type="cellIs" dxfId="6640" priority="8199" operator="equal">
      <formula>"監測"</formula>
    </cfRule>
  </conditionalFormatting>
  <conditionalFormatting sqref="AJ6:AK6">
    <cfRule type="cellIs" dxfId="6639" priority="8194" operator="equal">
      <formula>"管制"</formula>
    </cfRule>
    <cfRule type="cellIs" dxfId="6638" priority="8195" operator="equal">
      <formula>"正常"</formula>
    </cfRule>
    <cfRule type="cellIs" dxfId="6637" priority="8196" operator="equal">
      <formula>"監測"</formula>
    </cfRule>
  </conditionalFormatting>
  <conditionalFormatting sqref="AJ7:AK7">
    <cfRule type="cellIs" dxfId="6636" priority="8191" operator="equal">
      <formula>"管制"</formula>
    </cfRule>
    <cfRule type="cellIs" dxfId="6635" priority="8192" operator="equal">
      <formula>"正常"</formula>
    </cfRule>
    <cfRule type="cellIs" dxfId="6634" priority="8193" operator="equal">
      <formula>"監測"</formula>
    </cfRule>
  </conditionalFormatting>
  <conditionalFormatting sqref="AJ22:AK22">
    <cfRule type="cellIs" dxfId="6633" priority="8188" operator="equal">
      <formula>"管制"</formula>
    </cfRule>
    <cfRule type="cellIs" dxfId="6632" priority="8189" operator="equal">
      <formula>"正常"</formula>
    </cfRule>
    <cfRule type="cellIs" dxfId="6631" priority="8190" operator="equal">
      <formula>"監測"</formula>
    </cfRule>
  </conditionalFormatting>
  <conditionalFormatting sqref="AJ54:AK54">
    <cfRule type="cellIs" dxfId="6630" priority="8185" operator="equal">
      <formula>"管制"</formula>
    </cfRule>
    <cfRule type="cellIs" dxfId="6629" priority="8186" operator="equal">
      <formula>"正常"</formula>
    </cfRule>
    <cfRule type="cellIs" dxfId="6628" priority="8187" operator="equal">
      <formula>"監測"</formula>
    </cfRule>
  </conditionalFormatting>
  <conditionalFormatting sqref="AJ55:AK55">
    <cfRule type="cellIs" dxfId="6627" priority="8182" operator="equal">
      <formula>"管制"</formula>
    </cfRule>
    <cfRule type="cellIs" dxfId="6626" priority="8183" operator="equal">
      <formula>"正常"</formula>
    </cfRule>
    <cfRule type="cellIs" dxfId="6625" priority="8184" operator="equal">
      <formula>"監測"</formula>
    </cfRule>
  </conditionalFormatting>
  <conditionalFormatting sqref="AJ56:AK56">
    <cfRule type="cellIs" dxfId="6624" priority="8179" operator="equal">
      <formula>"管制"</formula>
    </cfRule>
    <cfRule type="cellIs" dxfId="6623" priority="8180" operator="equal">
      <formula>"正常"</formula>
    </cfRule>
    <cfRule type="cellIs" dxfId="6622" priority="8181" operator="equal">
      <formula>"監測"</formula>
    </cfRule>
  </conditionalFormatting>
  <conditionalFormatting sqref="AJ57:AK57">
    <cfRule type="cellIs" dxfId="6621" priority="8176" operator="equal">
      <formula>"管制"</formula>
    </cfRule>
    <cfRule type="cellIs" dxfId="6620" priority="8177" operator="equal">
      <formula>"正常"</formula>
    </cfRule>
    <cfRule type="cellIs" dxfId="6619" priority="8178" operator="equal">
      <formula>"監測"</formula>
    </cfRule>
  </conditionalFormatting>
  <conditionalFormatting sqref="AJ58:AK58">
    <cfRule type="cellIs" dxfId="6618" priority="8173" operator="equal">
      <formula>"管制"</formula>
    </cfRule>
    <cfRule type="cellIs" dxfId="6617" priority="8174" operator="equal">
      <formula>"正常"</formula>
    </cfRule>
    <cfRule type="cellIs" dxfId="6616" priority="8175" operator="equal">
      <formula>"監測"</formula>
    </cfRule>
  </conditionalFormatting>
  <conditionalFormatting sqref="V1620:V1621">
    <cfRule type="cellIs" dxfId="6615" priority="8157" operator="equal">
      <formula>"延長"</formula>
    </cfRule>
  </conditionalFormatting>
  <conditionalFormatting sqref="V1620:V1621">
    <cfRule type="cellIs" dxfId="6614" priority="8153" operator="equal">
      <formula>"退場"</formula>
    </cfRule>
    <cfRule type="cellIs" dxfId="6613" priority="8154" operator="equal">
      <formula>"持續"</formula>
    </cfRule>
    <cfRule type="cellIs" dxfId="6612" priority="8155" operator="equal">
      <formula>"延長"</formula>
    </cfRule>
    <cfRule type="cellIs" dxfId="6611" priority="8156" operator="equal">
      <formula>"尚未調查"</formula>
    </cfRule>
  </conditionalFormatting>
  <conditionalFormatting sqref="AJ63:AK63">
    <cfRule type="cellIs" dxfId="6610" priority="8150" operator="equal">
      <formula>"管制"</formula>
    </cfRule>
    <cfRule type="cellIs" dxfId="6609" priority="8151" operator="equal">
      <formula>"正常"</formula>
    </cfRule>
    <cfRule type="cellIs" dxfId="6608" priority="8152" operator="equal">
      <formula>"監測"</formula>
    </cfRule>
  </conditionalFormatting>
  <conditionalFormatting sqref="AJ64:AK64">
    <cfRule type="cellIs" dxfId="6607" priority="8147" operator="equal">
      <formula>"管制"</formula>
    </cfRule>
    <cfRule type="cellIs" dxfId="6606" priority="8148" operator="equal">
      <formula>"正常"</formula>
    </cfRule>
    <cfRule type="cellIs" dxfId="6605" priority="8149" operator="equal">
      <formula>"監測"</formula>
    </cfRule>
  </conditionalFormatting>
  <conditionalFormatting sqref="AJ68:AK68">
    <cfRule type="cellIs" dxfId="6604" priority="8144" operator="equal">
      <formula>"管制"</formula>
    </cfRule>
    <cfRule type="cellIs" dxfId="6603" priority="8145" operator="equal">
      <formula>"正常"</formula>
    </cfRule>
    <cfRule type="cellIs" dxfId="6602" priority="8146" operator="equal">
      <formula>"監測"</formula>
    </cfRule>
  </conditionalFormatting>
  <conditionalFormatting sqref="AJ72:AK72">
    <cfRule type="cellIs" dxfId="6601" priority="8141" operator="equal">
      <formula>"管制"</formula>
    </cfRule>
    <cfRule type="cellIs" dxfId="6600" priority="8142" operator="equal">
      <formula>"正常"</formula>
    </cfRule>
    <cfRule type="cellIs" dxfId="6599" priority="8143" operator="equal">
      <formula>"監測"</formula>
    </cfRule>
  </conditionalFormatting>
  <conditionalFormatting sqref="AJ73:AK73">
    <cfRule type="cellIs" dxfId="6598" priority="8138" operator="equal">
      <formula>"管制"</formula>
    </cfRule>
    <cfRule type="cellIs" dxfId="6597" priority="8139" operator="equal">
      <formula>"正常"</formula>
    </cfRule>
    <cfRule type="cellIs" dxfId="6596" priority="8140" operator="equal">
      <formula>"監測"</formula>
    </cfRule>
  </conditionalFormatting>
  <conditionalFormatting sqref="AJ87:AK87">
    <cfRule type="cellIs" dxfId="6595" priority="8135" operator="equal">
      <formula>"管制"</formula>
    </cfRule>
    <cfRule type="cellIs" dxfId="6594" priority="8136" operator="equal">
      <formula>"正常"</formula>
    </cfRule>
    <cfRule type="cellIs" dxfId="6593" priority="8137" operator="equal">
      <formula>"監測"</formula>
    </cfRule>
  </conditionalFormatting>
  <conditionalFormatting sqref="AJ88:AK88">
    <cfRule type="cellIs" dxfId="6592" priority="8132" operator="equal">
      <formula>"管制"</formula>
    </cfRule>
    <cfRule type="cellIs" dxfId="6591" priority="8133" operator="equal">
      <formula>"正常"</formula>
    </cfRule>
    <cfRule type="cellIs" dxfId="6590" priority="8134" operator="equal">
      <formula>"監測"</formula>
    </cfRule>
  </conditionalFormatting>
  <conditionalFormatting sqref="AJ89:AK89">
    <cfRule type="cellIs" dxfId="6589" priority="8129" operator="equal">
      <formula>"管制"</formula>
    </cfRule>
    <cfRule type="cellIs" dxfId="6588" priority="8130" operator="equal">
      <formula>"正常"</formula>
    </cfRule>
    <cfRule type="cellIs" dxfId="6587" priority="8131" operator="equal">
      <formula>"監測"</formula>
    </cfRule>
  </conditionalFormatting>
  <conditionalFormatting sqref="AJ1384:AK1384">
    <cfRule type="cellIs" dxfId="6586" priority="8126" operator="equal">
      <formula>"管制"</formula>
    </cfRule>
    <cfRule type="cellIs" dxfId="6585" priority="8127" operator="equal">
      <formula>"正常"</formula>
    </cfRule>
    <cfRule type="cellIs" dxfId="6584" priority="8128" operator="equal">
      <formula>"監測"</formula>
    </cfRule>
  </conditionalFormatting>
  <conditionalFormatting sqref="AJ1387:AK1387">
    <cfRule type="cellIs" dxfId="6583" priority="8123" operator="equal">
      <formula>"管制"</formula>
    </cfRule>
    <cfRule type="cellIs" dxfId="6582" priority="8124" operator="equal">
      <formula>"正常"</formula>
    </cfRule>
    <cfRule type="cellIs" dxfId="6581" priority="8125" operator="equal">
      <formula>"監測"</formula>
    </cfRule>
  </conditionalFormatting>
  <conditionalFormatting sqref="AJ1398:AK1398">
    <cfRule type="cellIs" dxfId="6580" priority="8117" operator="equal">
      <formula>"管制"</formula>
    </cfRule>
    <cfRule type="cellIs" dxfId="6579" priority="8118" operator="equal">
      <formula>"正常"</formula>
    </cfRule>
    <cfRule type="cellIs" dxfId="6578" priority="8119" operator="equal">
      <formula>"監測"</formula>
    </cfRule>
  </conditionalFormatting>
  <conditionalFormatting sqref="AS1398 AO1398">
    <cfRule type="cellIs" dxfId="6577" priority="8100" operator="greaterThanOrEqual">
      <formula>5</formula>
    </cfRule>
  </conditionalFormatting>
  <conditionalFormatting sqref="AO1398">
    <cfRule type="cellIs" dxfId="6576" priority="8101" operator="greaterThanOrEqual">
      <formula>2</formula>
    </cfRule>
  </conditionalFormatting>
  <conditionalFormatting sqref="AP1398">
    <cfRule type="cellIs" dxfId="6575" priority="8102" operator="greaterThanOrEqual">
      <formula>60</formula>
    </cfRule>
  </conditionalFormatting>
  <conditionalFormatting sqref="AP1398">
    <cfRule type="cellIs" dxfId="6574" priority="8103" operator="greaterThanOrEqual">
      <formula>30</formula>
    </cfRule>
  </conditionalFormatting>
  <conditionalFormatting sqref="AU1398">
    <cfRule type="cellIs" dxfId="6573" priority="8104" operator="greaterThanOrEqual">
      <formula>600</formula>
    </cfRule>
  </conditionalFormatting>
  <conditionalFormatting sqref="AU1398">
    <cfRule type="cellIs" dxfId="6572" priority="8105" operator="greaterThanOrEqual">
      <formula>260</formula>
    </cfRule>
  </conditionalFormatting>
  <conditionalFormatting sqref="AV1398">
    <cfRule type="containsText" dxfId="6571" priority="8106" operator="containsText" text="&lt;">
      <formula>NOT(ISERROR(SEARCH(("&lt;"),(AV1398))))</formula>
    </cfRule>
  </conditionalFormatting>
  <conditionalFormatting sqref="AV1398">
    <cfRule type="containsText" dxfId="6570" priority="8107" operator="containsText" text="ND">
      <formula>NOT(ISERROR(SEARCH(("ND"),(AV1398))))</formula>
    </cfRule>
  </conditionalFormatting>
  <conditionalFormatting sqref="AQ1398 AV1398">
    <cfRule type="cellIs" dxfId="6569" priority="8108" operator="greaterThanOrEqual">
      <formula>200</formula>
    </cfRule>
  </conditionalFormatting>
  <conditionalFormatting sqref="AV1398">
    <cfRule type="cellIs" dxfId="6568" priority="8109" operator="greaterThanOrEqual">
      <formula>130</formula>
    </cfRule>
  </conditionalFormatting>
  <conditionalFormatting sqref="AQ1398">
    <cfRule type="cellIs" dxfId="6567" priority="8110" operator="greaterThanOrEqual">
      <formula>120</formula>
    </cfRule>
  </conditionalFormatting>
  <conditionalFormatting sqref="AR1398:AT1398">
    <cfRule type="containsText" dxfId="6566" priority="8111" operator="containsText" text="ND">
      <formula>NOT(ISERROR(SEARCH(("ND"),(AR1398))))</formula>
    </cfRule>
  </conditionalFormatting>
  <conditionalFormatting sqref="AR1398">
    <cfRule type="cellIs" dxfId="6565" priority="8112" operator="greaterThanOrEqual">
      <formula>250</formula>
    </cfRule>
  </conditionalFormatting>
  <conditionalFormatting sqref="AR1398">
    <cfRule type="cellIs" dxfId="6564" priority="8113" operator="greaterThanOrEqual">
      <formula>175</formula>
    </cfRule>
  </conditionalFormatting>
  <conditionalFormatting sqref="AS1398">
    <cfRule type="cellIs" dxfId="6563" priority="8114" operator="greaterThanOrEqual">
      <formula>2.5</formula>
    </cfRule>
  </conditionalFormatting>
  <conditionalFormatting sqref="AT1398">
    <cfRule type="cellIs" dxfId="6562" priority="8115" operator="greaterThanOrEqual">
      <formula>500</formula>
    </cfRule>
  </conditionalFormatting>
  <conditionalFormatting sqref="AT1398">
    <cfRule type="cellIs" dxfId="6561" priority="8116" operator="greaterThanOrEqual">
      <formula>300</formula>
    </cfRule>
  </conditionalFormatting>
  <conditionalFormatting sqref="V1398:V1399">
    <cfRule type="cellIs" dxfId="6560" priority="8096" operator="equal">
      <formula>"退場"</formula>
    </cfRule>
    <cfRule type="cellIs" dxfId="6559" priority="8097" operator="equal">
      <formula>"持續"</formula>
    </cfRule>
    <cfRule type="cellIs" dxfId="6558" priority="8098" operator="equal">
      <formula>"延長"</formula>
    </cfRule>
    <cfRule type="cellIs" dxfId="6557" priority="8099" operator="equal">
      <formula>"尚未調查"</formula>
    </cfRule>
  </conditionalFormatting>
  <conditionalFormatting sqref="AO1399 AS1399">
    <cfRule type="cellIs" dxfId="6556" priority="8079" operator="greaterThanOrEqual">
      <formula>5</formula>
    </cfRule>
  </conditionalFormatting>
  <conditionalFormatting sqref="AO1399">
    <cfRule type="cellIs" dxfId="6555" priority="8080" operator="greaterThanOrEqual">
      <formula>2</formula>
    </cfRule>
  </conditionalFormatting>
  <conditionalFormatting sqref="AP1399">
    <cfRule type="cellIs" dxfId="6554" priority="8081" operator="greaterThanOrEqual">
      <formula>60</formula>
    </cfRule>
  </conditionalFormatting>
  <conditionalFormatting sqref="AP1399">
    <cfRule type="cellIs" dxfId="6553" priority="8082" operator="greaterThanOrEqual">
      <formula>30</formula>
    </cfRule>
  </conditionalFormatting>
  <conditionalFormatting sqref="AU1399">
    <cfRule type="cellIs" dxfId="6552" priority="8083" operator="greaterThanOrEqual">
      <formula>600</formula>
    </cfRule>
  </conditionalFormatting>
  <conditionalFormatting sqref="AU1399">
    <cfRule type="cellIs" dxfId="6551" priority="8084" operator="greaterThanOrEqual">
      <formula>260</formula>
    </cfRule>
  </conditionalFormatting>
  <conditionalFormatting sqref="AV1399">
    <cfRule type="containsText" dxfId="6550" priority="8085" operator="containsText" text="&lt;">
      <formula>NOT(ISERROR(SEARCH(("&lt;"),(AV1399))))</formula>
    </cfRule>
  </conditionalFormatting>
  <conditionalFormatting sqref="AV1399">
    <cfRule type="containsText" dxfId="6549" priority="8086" operator="containsText" text="ND">
      <formula>NOT(ISERROR(SEARCH(("ND"),(AV1399))))</formula>
    </cfRule>
  </conditionalFormatting>
  <conditionalFormatting sqref="AQ1399 AV1399">
    <cfRule type="cellIs" dxfId="6548" priority="8087" operator="greaterThanOrEqual">
      <formula>200</formula>
    </cfRule>
  </conditionalFormatting>
  <conditionalFormatting sqref="AV1399">
    <cfRule type="cellIs" dxfId="6547" priority="8088" operator="greaterThanOrEqual">
      <formula>130</formula>
    </cfRule>
  </conditionalFormatting>
  <conditionalFormatting sqref="AQ1399">
    <cfRule type="cellIs" dxfId="6546" priority="8089" operator="greaterThanOrEqual">
      <formula>120</formula>
    </cfRule>
  </conditionalFormatting>
  <conditionalFormatting sqref="AR1399:AT1399">
    <cfRule type="containsText" dxfId="6545" priority="8090" operator="containsText" text="ND">
      <formula>NOT(ISERROR(SEARCH(("ND"),(AR1399))))</formula>
    </cfRule>
  </conditionalFormatting>
  <conditionalFormatting sqref="AR1399">
    <cfRule type="cellIs" dxfId="6544" priority="8091" operator="greaterThanOrEqual">
      <formula>250</formula>
    </cfRule>
  </conditionalFormatting>
  <conditionalFormatting sqref="AR1399">
    <cfRule type="cellIs" dxfId="6543" priority="8092" operator="greaterThanOrEqual">
      <formula>175</formula>
    </cfRule>
  </conditionalFormatting>
  <conditionalFormatting sqref="AS1399">
    <cfRule type="cellIs" dxfId="6542" priority="8093" operator="greaterThanOrEqual">
      <formula>2.5</formula>
    </cfRule>
  </conditionalFormatting>
  <conditionalFormatting sqref="AT1399">
    <cfRule type="cellIs" dxfId="6541" priority="8094" operator="greaterThanOrEqual">
      <formula>500</formula>
    </cfRule>
  </conditionalFormatting>
  <conditionalFormatting sqref="AT1399">
    <cfRule type="cellIs" dxfId="6540" priority="8095" operator="greaterThanOrEqual">
      <formula>300</formula>
    </cfRule>
  </conditionalFormatting>
  <conditionalFormatting sqref="AJ1399:AK1399">
    <cfRule type="cellIs" dxfId="6539" priority="8076" operator="equal">
      <formula>"管制"</formula>
    </cfRule>
    <cfRule type="cellIs" dxfId="6538" priority="8077" operator="equal">
      <formula>"正常"</formula>
    </cfRule>
    <cfRule type="cellIs" dxfId="6537" priority="8078" operator="equal">
      <formula>"監測"</formula>
    </cfRule>
  </conditionalFormatting>
  <conditionalFormatting sqref="L1399">
    <cfRule type="cellIs" dxfId="6536" priority="8075" operator="greaterThan">
      <formula>5</formula>
    </cfRule>
  </conditionalFormatting>
  <conditionalFormatting sqref="M1399">
    <cfRule type="cellIs" dxfId="6535" priority="8066" operator="greaterThanOrEqual">
      <formula>60</formula>
    </cfRule>
  </conditionalFormatting>
  <conditionalFormatting sqref="N1399">
    <cfRule type="cellIs" dxfId="6534" priority="8065" operator="greaterThanOrEqual">
      <formula>200</formula>
    </cfRule>
  </conditionalFormatting>
  <conditionalFormatting sqref="O1399">
    <cfRule type="cellIs" dxfId="6533" priority="8064" operator="greaterThanOrEqual">
      <formula>250</formula>
    </cfRule>
  </conditionalFormatting>
  <conditionalFormatting sqref="P1399">
    <cfRule type="cellIs" dxfId="6532" priority="8067" operator="greaterThanOrEqual">
      <formula>5</formula>
    </cfRule>
  </conditionalFormatting>
  <conditionalFormatting sqref="Q1399">
    <cfRule type="cellIs" dxfId="6531" priority="8062" operator="greaterThanOrEqual">
      <formula>500</formula>
    </cfRule>
  </conditionalFormatting>
  <conditionalFormatting sqref="R1399">
    <cfRule type="cellIs" dxfId="6530" priority="8061" operator="greaterThanOrEqual">
      <formula>600</formula>
    </cfRule>
  </conditionalFormatting>
  <conditionalFormatting sqref="L1399">
    <cfRule type="cellIs" dxfId="6529" priority="8068" operator="equal">
      <formula>"&lt;1"</formula>
    </cfRule>
  </conditionalFormatting>
  <conditionalFormatting sqref="P1399">
    <cfRule type="cellIs" dxfId="6528" priority="8063" operator="equal">
      <formula>"&lt;2"</formula>
    </cfRule>
  </conditionalFormatting>
  <conditionalFormatting sqref="M1399">
    <cfRule type="cellIs" dxfId="6527" priority="8074" operator="greaterThanOrEqual">
      <formula>30</formula>
    </cfRule>
  </conditionalFormatting>
  <conditionalFormatting sqref="N1399">
    <cfRule type="cellIs" dxfId="6526" priority="8073" operator="greaterThanOrEqual">
      <formula>120</formula>
    </cfRule>
  </conditionalFormatting>
  <conditionalFormatting sqref="O1399">
    <cfRule type="cellIs" dxfId="6525" priority="8072" operator="greaterThanOrEqual">
      <formula>175</formula>
    </cfRule>
  </conditionalFormatting>
  <conditionalFormatting sqref="P1399">
    <cfRule type="cellIs" dxfId="6524" priority="8071" operator="greaterThanOrEqual">
      <formula>2.5</formula>
    </cfRule>
  </conditionalFormatting>
  <conditionalFormatting sqref="Q1399">
    <cfRule type="cellIs" dxfId="6523" priority="8070" operator="greaterThanOrEqual">
      <formula>300</formula>
    </cfRule>
  </conditionalFormatting>
  <conditionalFormatting sqref="R1399">
    <cfRule type="cellIs" dxfId="6522" priority="8069" operator="greaterThanOrEqual">
      <formula>260</formula>
    </cfRule>
  </conditionalFormatting>
  <conditionalFormatting sqref="S1399">
    <cfRule type="containsText" dxfId="6521" priority="8057" operator="containsText" text="&lt;">
      <formula>NOT(ISERROR(SEARCH(("&lt;"),(S1399))))</formula>
    </cfRule>
  </conditionalFormatting>
  <conditionalFormatting sqref="S1399">
    <cfRule type="containsText" dxfId="6520" priority="8058" operator="containsText" text="ND">
      <formula>NOT(ISERROR(SEARCH(("ND"),(S1399))))</formula>
    </cfRule>
  </conditionalFormatting>
  <conditionalFormatting sqref="S1399">
    <cfRule type="cellIs" dxfId="6519" priority="8059" operator="greaterThanOrEqual">
      <formula>200</formula>
    </cfRule>
  </conditionalFormatting>
  <conditionalFormatting sqref="S1399">
    <cfRule type="cellIs" dxfId="6518" priority="8060" operator="greaterThanOrEqual">
      <formula>130</formula>
    </cfRule>
  </conditionalFormatting>
  <conditionalFormatting sqref="AO191 AS191">
    <cfRule type="cellIs" dxfId="6517" priority="8029" operator="greaterThanOrEqual">
      <formula>5</formula>
    </cfRule>
  </conditionalFormatting>
  <conditionalFormatting sqref="AO191">
    <cfRule type="cellIs" dxfId="6516" priority="8030" operator="greaterThanOrEqual">
      <formula>2</formula>
    </cfRule>
  </conditionalFormatting>
  <conditionalFormatting sqref="AP191">
    <cfRule type="cellIs" dxfId="6515" priority="8031" operator="greaterThanOrEqual">
      <formula>60</formula>
    </cfRule>
  </conditionalFormatting>
  <conditionalFormatting sqref="AP191">
    <cfRule type="cellIs" dxfId="6514" priority="8032" operator="greaterThanOrEqual">
      <formula>30</formula>
    </cfRule>
  </conditionalFormatting>
  <conditionalFormatting sqref="AU191">
    <cfRule type="cellIs" dxfId="6513" priority="8033" operator="greaterThanOrEqual">
      <formula>600</formula>
    </cfRule>
  </conditionalFormatting>
  <conditionalFormatting sqref="AU191">
    <cfRule type="cellIs" dxfId="6512" priority="8034" operator="greaterThanOrEqual">
      <formula>260</formula>
    </cfRule>
  </conditionalFormatting>
  <conditionalFormatting sqref="AV191">
    <cfRule type="containsText" dxfId="6511" priority="8035" operator="containsText" text="&lt;">
      <formula>NOT(ISERROR(SEARCH(("&lt;"),(AV191))))</formula>
    </cfRule>
  </conditionalFormatting>
  <conditionalFormatting sqref="AV191">
    <cfRule type="containsText" dxfId="6510" priority="8036" operator="containsText" text="ND">
      <formula>NOT(ISERROR(SEARCH(("ND"),(AV191))))</formula>
    </cfRule>
  </conditionalFormatting>
  <conditionalFormatting sqref="AV191 AQ191">
    <cfRule type="cellIs" dxfId="6509" priority="8037" operator="greaterThanOrEqual">
      <formula>200</formula>
    </cfRule>
  </conditionalFormatting>
  <conditionalFormatting sqref="AV191">
    <cfRule type="cellIs" dxfId="6508" priority="8038" operator="greaterThanOrEqual">
      <formula>130</formula>
    </cfRule>
  </conditionalFormatting>
  <conditionalFormatting sqref="AQ191">
    <cfRule type="cellIs" dxfId="6507" priority="8039" operator="greaterThanOrEqual">
      <formula>120</formula>
    </cfRule>
  </conditionalFormatting>
  <conditionalFormatting sqref="AR191:AT191">
    <cfRule type="containsText" dxfId="6506" priority="8040" operator="containsText" text="ND">
      <formula>NOT(ISERROR(SEARCH(("ND"),(AR191))))</formula>
    </cfRule>
  </conditionalFormatting>
  <conditionalFormatting sqref="AR191">
    <cfRule type="cellIs" dxfId="6505" priority="8041" operator="greaterThanOrEqual">
      <formula>250</formula>
    </cfRule>
  </conditionalFormatting>
  <conditionalFormatting sqref="AR191">
    <cfRule type="cellIs" dxfId="6504" priority="8042" operator="greaterThanOrEqual">
      <formula>175</formula>
    </cfRule>
  </conditionalFormatting>
  <conditionalFormatting sqref="AS191">
    <cfRule type="cellIs" dxfId="6503" priority="8043" operator="greaterThanOrEqual">
      <formula>2.5</formula>
    </cfRule>
  </conditionalFormatting>
  <conditionalFormatting sqref="AT191">
    <cfRule type="cellIs" dxfId="6502" priority="8044" operator="greaterThanOrEqual">
      <formula>500</formula>
    </cfRule>
  </conditionalFormatting>
  <conditionalFormatting sqref="AT191">
    <cfRule type="cellIs" dxfId="6501" priority="8045" operator="greaterThanOrEqual">
      <formula>300</formula>
    </cfRule>
  </conditionalFormatting>
  <conditionalFormatting sqref="L191">
    <cfRule type="cellIs" dxfId="6500" priority="8028" operator="greaterThan">
      <formula>5</formula>
    </cfRule>
  </conditionalFormatting>
  <conditionalFormatting sqref="M191">
    <cfRule type="cellIs" dxfId="6499" priority="8018" operator="greaterThanOrEqual">
      <formula>60</formula>
    </cfRule>
  </conditionalFormatting>
  <conditionalFormatting sqref="N191">
    <cfRule type="cellIs" dxfId="6498" priority="8017" operator="greaterThanOrEqual">
      <formula>200</formula>
    </cfRule>
  </conditionalFormatting>
  <conditionalFormatting sqref="O191">
    <cfRule type="cellIs" dxfId="6497" priority="8016" operator="greaterThanOrEqual">
      <formula>250</formula>
    </cfRule>
  </conditionalFormatting>
  <conditionalFormatting sqref="P191">
    <cfRule type="cellIs" dxfId="6496" priority="8020" operator="greaterThanOrEqual">
      <formula>5</formula>
    </cfRule>
  </conditionalFormatting>
  <conditionalFormatting sqref="Q191">
    <cfRule type="cellIs" dxfId="6495" priority="8014" operator="greaterThanOrEqual">
      <formula>500</formula>
    </cfRule>
  </conditionalFormatting>
  <conditionalFormatting sqref="S191">
    <cfRule type="cellIs" dxfId="6494" priority="8019" operator="greaterThanOrEqual">
      <formula>200</formula>
    </cfRule>
  </conditionalFormatting>
  <conditionalFormatting sqref="L191">
    <cfRule type="cellIs" dxfId="6493" priority="8021" operator="equal">
      <formula>"&lt;1"</formula>
    </cfRule>
  </conditionalFormatting>
  <conditionalFormatting sqref="P191">
    <cfRule type="cellIs" dxfId="6492" priority="8015" operator="equal">
      <formula>"&lt;2"</formula>
    </cfRule>
  </conditionalFormatting>
  <conditionalFormatting sqref="S191">
    <cfRule type="cellIs" dxfId="6491" priority="8013" operator="equal">
      <formula>"&lt;5"</formula>
    </cfRule>
  </conditionalFormatting>
  <conditionalFormatting sqref="M191">
    <cfRule type="cellIs" dxfId="6490" priority="8027" operator="greaterThanOrEqual">
      <formula>30</formula>
    </cfRule>
  </conditionalFormatting>
  <conditionalFormatting sqref="N191">
    <cfRule type="cellIs" dxfId="6489" priority="8026" operator="greaterThanOrEqual">
      <formula>120</formula>
    </cfRule>
  </conditionalFormatting>
  <conditionalFormatting sqref="O191">
    <cfRule type="cellIs" dxfId="6488" priority="8025" operator="greaterThanOrEqual">
      <formula>175</formula>
    </cfRule>
  </conditionalFormatting>
  <conditionalFormatting sqref="P191">
    <cfRule type="cellIs" dxfId="6487" priority="8024" operator="greaterThanOrEqual">
      <formula>2.5</formula>
    </cfRule>
  </conditionalFormatting>
  <conditionalFormatting sqref="Q191">
    <cfRule type="cellIs" dxfId="6486" priority="8023" operator="greaterThanOrEqual">
      <formula>300</formula>
    </cfRule>
  </conditionalFormatting>
  <conditionalFormatting sqref="S191">
    <cfRule type="cellIs" dxfId="6485" priority="8022" operator="greaterThanOrEqual">
      <formula>130</formula>
    </cfRule>
  </conditionalFormatting>
  <conditionalFormatting sqref="R191">
    <cfRule type="cellIs" dxfId="6484" priority="8011" operator="greaterThanOrEqual">
      <formula>600</formula>
    </cfRule>
  </conditionalFormatting>
  <conditionalFormatting sqref="R191">
    <cfRule type="cellIs" dxfId="6483" priority="8012" operator="greaterThanOrEqual">
      <formula>260</formula>
    </cfRule>
  </conditionalFormatting>
  <conditionalFormatting sqref="AJ1390:AK1390">
    <cfRule type="cellIs" dxfId="6482" priority="8000" operator="equal">
      <formula>"管制"</formula>
    </cfRule>
    <cfRule type="cellIs" dxfId="6481" priority="8001" operator="equal">
      <formula>"正常"</formula>
    </cfRule>
    <cfRule type="cellIs" dxfId="6480" priority="8002" operator="equal">
      <formula>"監測"</formula>
    </cfRule>
  </conditionalFormatting>
  <conditionalFormatting sqref="AJ1395:AK1395">
    <cfRule type="cellIs" dxfId="6479" priority="7997" operator="equal">
      <formula>"管制"</formula>
    </cfRule>
    <cfRule type="cellIs" dxfId="6478" priority="7998" operator="equal">
      <formula>"正常"</formula>
    </cfRule>
    <cfRule type="cellIs" dxfId="6477" priority="7999" operator="equal">
      <formula>"監測"</formula>
    </cfRule>
  </conditionalFormatting>
  <conditionalFormatting sqref="AJ1396:AK1396">
    <cfRule type="cellIs" dxfId="6476" priority="7994" operator="equal">
      <formula>"管制"</formula>
    </cfRule>
    <cfRule type="cellIs" dxfId="6475" priority="7995" operator="equal">
      <formula>"正常"</formula>
    </cfRule>
    <cfRule type="cellIs" dxfId="6474" priority="7996" operator="equal">
      <formula>"監測"</formula>
    </cfRule>
  </conditionalFormatting>
  <conditionalFormatting sqref="AJ1400:AK1400">
    <cfRule type="cellIs" dxfId="6473" priority="7991" operator="equal">
      <formula>"管制"</formula>
    </cfRule>
    <cfRule type="cellIs" dxfId="6472" priority="7992" operator="equal">
      <formula>"正常"</formula>
    </cfRule>
    <cfRule type="cellIs" dxfId="6471" priority="7993" operator="equal">
      <formula>"監測"</formula>
    </cfRule>
  </conditionalFormatting>
  <conditionalFormatting sqref="V1410">
    <cfRule type="cellIs" dxfId="6470" priority="7969" operator="equal">
      <formula>"退場"</formula>
    </cfRule>
    <cfRule type="cellIs" dxfId="6469" priority="7970" operator="equal">
      <formula>"持續"</formula>
    </cfRule>
    <cfRule type="cellIs" dxfId="6468" priority="7971" operator="equal">
      <formula>"延長"</formula>
    </cfRule>
    <cfRule type="cellIs" dxfId="6467" priority="7972" operator="equal">
      <formula>"尚未調查"</formula>
    </cfRule>
  </conditionalFormatting>
  <conditionalFormatting sqref="AJ1401:AK1401">
    <cfRule type="cellIs" dxfId="6466" priority="7964" operator="equal">
      <formula>"難以採樣"</formula>
    </cfRule>
    <cfRule type="cellIs" dxfId="6465" priority="7965" operator="equal">
      <formula>"建物"</formula>
    </cfRule>
    <cfRule type="cellIs" dxfId="6464" priority="7966" operator="equal">
      <formula>"管制"</formula>
    </cfRule>
    <cfRule type="cellIs" dxfId="6463" priority="7967" operator="equal">
      <formula>"監測"</formula>
    </cfRule>
    <cfRule type="cellIs" dxfId="6462" priority="7968" operator="equal">
      <formula>"正常"</formula>
    </cfRule>
  </conditionalFormatting>
  <conditionalFormatting sqref="AJ1404:AK1404">
    <cfRule type="cellIs" dxfId="6461" priority="7958" operator="equal">
      <formula>"管制"</formula>
    </cfRule>
    <cfRule type="cellIs" dxfId="6460" priority="7959" operator="equal">
      <formula>"正常"</formula>
    </cfRule>
    <cfRule type="cellIs" dxfId="6459" priority="7960" operator="equal">
      <formula>"監測"</formula>
    </cfRule>
  </conditionalFormatting>
  <conditionalFormatting sqref="AO277 AS277">
    <cfRule type="cellIs" dxfId="6458" priority="7941" operator="greaterThanOrEqual">
      <formula>5</formula>
    </cfRule>
  </conditionalFormatting>
  <conditionalFormatting sqref="AO277">
    <cfRule type="cellIs" dxfId="6457" priority="7942" operator="greaterThanOrEqual">
      <formula>2</formula>
    </cfRule>
  </conditionalFormatting>
  <conditionalFormatting sqref="AP277">
    <cfRule type="cellIs" dxfId="6456" priority="7943" operator="greaterThanOrEqual">
      <formula>60</formula>
    </cfRule>
  </conditionalFormatting>
  <conditionalFormatting sqref="AP277">
    <cfRule type="cellIs" dxfId="6455" priority="7944" operator="greaterThanOrEqual">
      <formula>30</formula>
    </cfRule>
  </conditionalFormatting>
  <conditionalFormatting sqref="AU277">
    <cfRule type="cellIs" dxfId="6454" priority="7945" operator="greaterThanOrEqual">
      <formula>600</formula>
    </cfRule>
  </conditionalFormatting>
  <conditionalFormatting sqref="AU277">
    <cfRule type="cellIs" dxfId="6453" priority="7946" operator="greaterThanOrEqual">
      <formula>260</formula>
    </cfRule>
  </conditionalFormatting>
  <conditionalFormatting sqref="AV277">
    <cfRule type="containsText" dxfId="6452" priority="7947" operator="containsText" text="&lt;">
      <formula>NOT(ISERROR(SEARCH(("&lt;"),(AV277))))</formula>
    </cfRule>
  </conditionalFormatting>
  <conditionalFormatting sqref="AV277">
    <cfRule type="containsText" dxfId="6451" priority="7948" operator="containsText" text="ND">
      <formula>NOT(ISERROR(SEARCH(("ND"),(AV277))))</formula>
    </cfRule>
  </conditionalFormatting>
  <conditionalFormatting sqref="AV277 AQ277">
    <cfRule type="cellIs" dxfId="6450" priority="7949" operator="greaterThanOrEqual">
      <formula>200</formula>
    </cfRule>
  </conditionalFormatting>
  <conditionalFormatting sqref="AV277">
    <cfRule type="cellIs" dxfId="6449" priority="7950" operator="greaterThanOrEqual">
      <formula>130</formula>
    </cfRule>
  </conditionalFormatting>
  <conditionalFormatting sqref="AQ277">
    <cfRule type="cellIs" dxfId="6448" priority="7951" operator="greaterThanOrEqual">
      <formula>120</formula>
    </cfRule>
  </conditionalFormatting>
  <conditionalFormatting sqref="AR277:AT277">
    <cfRule type="containsText" dxfId="6447" priority="7952" operator="containsText" text="ND">
      <formula>NOT(ISERROR(SEARCH(("ND"),(AR277))))</formula>
    </cfRule>
  </conditionalFormatting>
  <conditionalFormatting sqref="AR277">
    <cfRule type="cellIs" dxfId="6446" priority="7953" operator="greaterThanOrEqual">
      <formula>250</formula>
    </cfRule>
  </conditionalFormatting>
  <conditionalFormatting sqref="AR277">
    <cfRule type="cellIs" dxfId="6445" priority="7954" operator="greaterThanOrEqual">
      <formula>175</formula>
    </cfRule>
  </conditionalFormatting>
  <conditionalFormatting sqref="AS277">
    <cfRule type="cellIs" dxfId="6444" priority="7955" operator="greaterThanOrEqual">
      <formula>2.5</formula>
    </cfRule>
  </conditionalFormatting>
  <conditionalFormatting sqref="AT277">
    <cfRule type="cellIs" dxfId="6443" priority="7956" operator="greaterThanOrEqual">
      <formula>500</formula>
    </cfRule>
  </conditionalFormatting>
  <conditionalFormatting sqref="AT277">
    <cfRule type="cellIs" dxfId="6442" priority="7957" operator="greaterThanOrEqual">
      <formula>300</formula>
    </cfRule>
  </conditionalFormatting>
  <conditionalFormatting sqref="AO1418 AS1418">
    <cfRule type="cellIs" dxfId="6441" priority="7924" operator="greaterThanOrEqual">
      <formula>5</formula>
    </cfRule>
  </conditionalFormatting>
  <conditionalFormatting sqref="AO1418">
    <cfRule type="cellIs" dxfId="6440" priority="7925" operator="greaterThanOrEqual">
      <formula>2</formula>
    </cfRule>
  </conditionalFormatting>
  <conditionalFormatting sqref="AP1418">
    <cfRule type="cellIs" dxfId="6439" priority="7926" operator="greaterThanOrEqual">
      <formula>60</formula>
    </cfRule>
  </conditionalFormatting>
  <conditionalFormatting sqref="AP1418">
    <cfRule type="cellIs" dxfId="6438" priority="7927" operator="greaterThanOrEqual">
      <formula>30</formula>
    </cfRule>
  </conditionalFormatting>
  <conditionalFormatting sqref="AU1418">
    <cfRule type="cellIs" dxfId="6437" priority="7928" operator="greaterThanOrEqual">
      <formula>600</formula>
    </cfRule>
  </conditionalFormatting>
  <conditionalFormatting sqref="AU1418">
    <cfRule type="cellIs" dxfId="6436" priority="7929" operator="greaterThanOrEqual">
      <formula>260</formula>
    </cfRule>
  </conditionalFormatting>
  <conditionalFormatting sqref="AV1418">
    <cfRule type="containsText" dxfId="6435" priority="7930" operator="containsText" text="&lt;">
      <formula>NOT(ISERROR(SEARCH(("&lt;"),(AV1418))))</formula>
    </cfRule>
  </conditionalFormatting>
  <conditionalFormatting sqref="AV1418">
    <cfRule type="containsText" dxfId="6434" priority="7931" operator="containsText" text="ND">
      <formula>NOT(ISERROR(SEARCH(("ND"),(AV1418))))</formula>
    </cfRule>
  </conditionalFormatting>
  <conditionalFormatting sqref="AV1418 AQ1418">
    <cfRule type="cellIs" dxfId="6433" priority="7932" operator="greaterThanOrEqual">
      <formula>200</formula>
    </cfRule>
  </conditionalFormatting>
  <conditionalFormatting sqref="AV1418">
    <cfRule type="cellIs" dxfId="6432" priority="7933" operator="greaterThanOrEqual">
      <formula>130</formula>
    </cfRule>
  </conditionalFormatting>
  <conditionalFormatting sqref="AQ1418">
    <cfRule type="cellIs" dxfId="6431" priority="7934" operator="greaterThanOrEqual">
      <formula>120</formula>
    </cfRule>
  </conditionalFormatting>
  <conditionalFormatting sqref="AR1418:AT1418">
    <cfRule type="containsText" dxfId="6430" priority="7935" operator="containsText" text="ND">
      <formula>NOT(ISERROR(SEARCH(("ND"),(AR1418))))</formula>
    </cfRule>
  </conditionalFormatting>
  <conditionalFormatting sqref="AR1418">
    <cfRule type="cellIs" dxfId="6429" priority="7936" operator="greaterThanOrEqual">
      <formula>250</formula>
    </cfRule>
  </conditionalFormatting>
  <conditionalFormatting sqref="AR1418">
    <cfRule type="cellIs" dxfId="6428" priority="7937" operator="greaterThanOrEqual">
      <formula>175</formula>
    </cfRule>
  </conditionalFormatting>
  <conditionalFormatting sqref="AS1418">
    <cfRule type="cellIs" dxfId="6427" priority="7938" operator="greaterThanOrEqual">
      <formula>2.5</formula>
    </cfRule>
  </conditionalFormatting>
  <conditionalFormatting sqref="AT1418">
    <cfRule type="cellIs" dxfId="6426" priority="7939" operator="greaterThanOrEqual">
      <formula>500</formula>
    </cfRule>
  </conditionalFormatting>
  <conditionalFormatting sqref="AT1418">
    <cfRule type="cellIs" dxfId="6425" priority="7940" operator="greaterThanOrEqual">
      <formula>300</formula>
    </cfRule>
  </conditionalFormatting>
  <conditionalFormatting sqref="L1424 P1424">
    <cfRule type="cellIs" dxfId="6424" priority="7899" operator="greaterThanOrEqual">
      <formula>5</formula>
    </cfRule>
  </conditionalFormatting>
  <conditionalFormatting sqref="L1424">
    <cfRule type="cellIs" dxfId="6423" priority="7900" operator="greaterThanOrEqual">
      <formula>2</formula>
    </cfRule>
  </conditionalFormatting>
  <conditionalFormatting sqref="M1424">
    <cfRule type="cellIs" dxfId="6422" priority="7901" operator="greaterThanOrEqual">
      <formula>60</formula>
    </cfRule>
  </conditionalFormatting>
  <conditionalFormatting sqref="M1424">
    <cfRule type="cellIs" dxfId="6421" priority="7902" operator="greaterThanOrEqual">
      <formula>30</formula>
    </cfRule>
  </conditionalFormatting>
  <conditionalFormatting sqref="R1424">
    <cfRule type="cellIs" dxfId="6420" priority="7903" operator="greaterThanOrEqual">
      <formula>600</formula>
    </cfRule>
  </conditionalFormatting>
  <conditionalFormatting sqref="R1424">
    <cfRule type="cellIs" dxfId="6419" priority="7904" operator="greaterThanOrEqual">
      <formula>260</formula>
    </cfRule>
  </conditionalFormatting>
  <conditionalFormatting sqref="S1424">
    <cfRule type="containsText" dxfId="6418" priority="7905" operator="containsText" text="&lt;">
      <formula>NOT(ISERROR(SEARCH(("&lt;"),(S1424))))</formula>
    </cfRule>
  </conditionalFormatting>
  <conditionalFormatting sqref="S1424">
    <cfRule type="containsText" dxfId="6417" priority="7906" operator="containsText" text="ND">
      <formula>NOT(ISERROR(SEARCH(("ND"),(S1424))))</formula>
    </cfRule>
  </conditionalFormatting>
  <conditionalFormatting sqref="S1424 N1424">
    <cfRule type="cellIs" dxfId="6416" priority="7907" operator="greaterThanOrEqual">
      <formula>200</formula>
    </cfRule>
  </conditionalFormatting>
  <conditionalFormatting sqref="S1424">
    <cfRule type="cellIs" dxfId="6415" priority="7908" operator="greaterThanOrEqual">
      <formula>130</formula>
    </cfRule>
  </conditionalFormatting>
  <conditionalFormatting sqref="N1424">
    <cfRule type="cellIs" dxfId="6414" priority="7909" operator="greaterThanOrEqual">
      <formula>120</formula>
    </cfRule>
  </conditionalFormatting>
  <conditionalFormatting sqref="O1424:Q1424">
    <cfRule type="containsText" dxfId="6413" priority="7910" operator="containsText" text="ND">
      <formula>NOT(ISERROR(SEARCH(("ND"),(O1424))))</formula>
    </cfRule>
  </conditionalFormatting>
  <conditionalFormatting sqref="O1424">
    <cfRule type="cellIs" dxfId="6412" priority="7911" operator="greaterThanOrEqual">
      <formula>250</formula>
    </cfRule>
  </conditionalFormatting>
  <conditionalFormatting sqref="O1424">
    <cfRule type="cellIs" dxfId="6411" priority="7912" operator="greaterThanOrEqual">
      <formula>175</formula>
    </cfRule>
  </conditionalFormatting>
  <conditionalFormatting sqref="P1424">
    <cfRule type="cellIs" dxfId="6410" priority="7913" operator="greaterThanOrEqual">
      <formula>2.5</formula>
    </cfRule>
  </conditionalFormatting>
  <conditionalFormatting sqref="Q1424">
    <cfRule type="cellIs" dxfId="6409" priority="7914" operator="greaterThanOrEqual">
      <formula>500</formula>
    </cfRule>
  </conditionalFormatting>
  <conditionalFormatting sqref="Q1424">
    <cfRule type="cellIs" dxfId="6408" priority="7915" operator="greaterThanOrEqual">
      <formula>300</formula>
    </cfRule>
  </conditionalFormatting>
  <conditionalFormatting sqref="AO1426:AO1427 AS1426:AS1427">
    <cfRule type="cellIs" dxfId="6407" priority="7882" operator="greaterThanOrEqual">
      <formula>5</formula>
    </cfRule>
  </conditionalFormatting>
  <conditionalFormatting sqref="AO1426:AO1427">
    <cfRule type="cellIs" dxfId="6406" priority="7883" operator="greaterThanOrEqual">
      <formula>2</formula>
    </cfRule>
  </conditionalFormatting>
  <conditionalFormatting sqref="AP1426:AP1427">
    <cfRule type="cellIs" dxfId="6405" priority="7884" operator="greaterThanOrEqual">
      <formula>60</formula>
    </cfRule>
  </conditionalFormatting>
  <conditionalFormatting sqref="AP1426:AP1427">
    <cfRule type="cellIs" dxfId="6404" priority="7885" operator="greaterThanOrEqual">
      <formula>30</formula>
    </cfRule>
  </conditionalFormatting>
  <conditionalFormatting sqref="AU1426:AU1427">
    <cfRule type="cellIs" dxfId="6403" priority="7886" operator="greaterThanOrEqual">
      <formula>600</formula>
    </cfRule>
  </conditionalFormatting>
  <conditionalFormatting sqref="AU1426:AU1427">
    <cfRule type="cellIs" dxfId="6402" priority="7887" operator="greaterThanOrEqual">
      <formula>260</formula>
    </cfRule>
  </conditionalFormatting>
  <conditionalFormatting sqref="AV1426:AV1427">
    <cfRule type="containsText" dxfId="6401" priority="7888" operator="containsText" text="&lt;">
      <formula>NOT(ISERROR(SEARCH(("&lt;"),(AV1426))))</formula>
    </cfRule>
  </conditionalFormatting>
  <conditionalFormatting sqref="AV1426:AV1427">
    <cfRule type="containsText" dxfId="6400" priority="7889" operator="containsText" text="ND">
      <formula>NOT(ISERROR(SEARCH(("ND"),(AV1426))))</formula>
    </cfRule>
  </conditionalFormatting>
  <conditionalFormatting sqref="AV1426:AV1427 AQ1426:AQ1427">
    <cfRule type="cellIs" dxfId="6399" priority="7890" operator="greaterThanOrEqual">
      <formula>200</formula>
    </cfRule>
  </conditionalFormatting>
  <conditionalFormatting sqref="AV1426:AV1427">
    <cfRule type="cellIs" dxfId="6398" priority="7891" operator="greaterThanOrEqual">
      <formula>130</formula>
    </cfRule>
  </conditionalFormatting>
  <conditionalFormatting sqref="AQ1426:AQ1427">
    <cfRule type="cellIs" dxfId="6397" priority="7892" operator="greaterThanOrEqual">
      <formula>120</formula>
    </cfRule>
  </conditionalFormatting>
  <conditionalFormatting sqref="AR1426:AT1427">
    <cfRule type="containsText" dxfId="6396" priority="7893" operator="containsText" text="ND">
      <formula>NOT(ISERROR(SEARCH(("ND"),(AR1426))))</formula>
    </cfRule>
  </conditionalFormatting>
  <conditionalFormatting sqref="AR1426:AR1427">
    <cfRule type="cellIs" dxfId="6395" priority="7894" operator="greaterThanOrEqual">
      <formula>250</formula>
    </cfRule>
  </conditionalFormatting>
  <conditionalFormatting sqref="AR1426:AR1427">
    <cfRule type="cellIs" dxfId="6394" priority="7895" operator="greaterThanOrEqual">
      <formula>175</formula>
    </cfRule>
  </conditionalFormatting>
  <conditionalFormatting sqref="AS1426:AS1427">
    <cfRule type="cellIs" dxfId="6393" priority="7896" operator="greaterThanOrEqual">
      <formula>2.5</formula>
    </cfRule>
  </conditionalFormatting>
  <conditionalFormatting sqref="AT1426:AT1427">
    <cfRule type="cellIs" dxfId="6392" priority="7897" operator="greaterThanOrEqual">
      <formula>500</formula>
    </cfRule>
  </conditionalFormatting>
  <conditionalFormatting sqref="AT1426:AT1427">
    <cfRule type="cellIs" dxfId="6391" priority="7898" operator="greaterThanOrEqual">
      <formula>300</formula>
    </cfRule>
  </conditionalFormatting>
  <conditionalFormatting sqref="R1428">
    <cfRule type="cellIs" dxfId="6390" priority="7876" operator="greaterThanOrEqual">
      <formula>600</formula>
    </cfRule>
  </conditionalFormatting>
  <conditionalFormatting sqref="R1428">
    <cfRule type="cellIs" dxfId="6389" priority="7877" operator="greaterThanOrEqual">
      <formula>260</formula>
    </cfRule>
  </conditionalFormatting>
  <conditionalFormatting sqref="S1428">
    <cfRule type="containsText" dxfId="6388" priority="7878" operator="containsText" text="&lt;">
      <formula>NOT(ISERROR(SEARCH(("&lt;"),(S1428))))</formula>
    </cfRule>
  </conditionalFormatting>
  <conditionalFormatting sqref="S1428">
    <cfRule type="containsText" dxfId="6387" priority="7879" operator="containsText" text="ND">
      <formula>NOT(ISERROR(SEARCH(("ND"),(S1428))))</formula>
    </cfRule>
  </conditionalFormatting>
  <conditionalFormatting sqref="S1428">
    <cfRule type="cellIs" dxfId="6386" priority="7880" operator="greaterThanOrEqual">
      <formula>200</formula>
    </cfRule>
  </conditionalFormatting>
  <conditionalFormatting sqref="S1428">
    <cfRule type="cellIs" dxfId="6385" priority="7881" operator="greaterThanOrEqual">
      <formula>130</formula>
    </cfRule>
  </conditionalFormatting>
  <conditionalFormatting sqref="AO1429 AS1429">
    <cfRule type="cellIs" dxfId="6384" priority="7859" operator="greaterThanOrEqual">
      <formula>5</formula>
    </cfRule>
  </conditionalFormatting>
  <conditionalFormatting sqref="AO1429">
    <cfRule type="cellIs" dxfId="6383" priority="7860" operator="greaterThanOrEqual">
      <formula>2</formula>
    </cfRule>
  </conditionalFormatting>
  <conditionalFormatting sqref="AP1429">
    <cfRule type="cellIs" dxfId="6382" priority="7861" operator="greaterThanOrEqual">
      <formula>60</formula>
    </cfRule>
  </conditionalFormatting>
  <conditionalFormatting sqref="AP1429">
    <cfRule type="cellIs" dxfId="6381" priority="7862" operator="greaterThanOrEqual">
      <formula>30</formula>
    </cfRule>
  </conditionalFormatting>
  <conditionalFormatting sqref="AU1429">
    <cfRule type="cellIs" dxfId="6380" priority="7863" operator="greaterThanOrEqual">
      <formula>600</formula>
    </cfRule>
  </conditionalFormatting>
  <conditionalFormatting sqref="AU1429">
    <cfRule type="cellIs" dxfId="6379" priority="7864" operator="greaterThanOrEqual">
      <formula>260</formula>
    </cfRule>
  </conditionalFormatting>
  <conditionalFormatting sqref="AV1429">
    <cfRule type="containsText" dxfId="6378" priority="7865" operator="containsText" text="&lt;">
      <formula>NOT(ISERROR(SEARCH(("&lt;"),(AV1429))))</formula>
    </cfRule>
  </conditionalFormatting>
  <conditionalFormatting sqref="AV1429">
    <cfRule type="containsText" dxfId="6377" priority="7866" operator="containsText" text="ND">
      <formula>NOT(ISERROR(SEARCH(("ND"),(AV1429))))</formula>
    </cfRule>
  </conditionalFormatting>
  <conditionalFormatting sqref="AQ1429 AV1429">
    <cfRule type="cellIs" dxfId="6376" priority="7867" operator="greaterThanOrEqual">
      <formula>200</formula>
    </cfRule>
  </conditionalFormatting>
  <conditionalFormatting sqref="AV1429">
    <cfRule type="cellIs" dxfId="6375" priority="7868" operator="greaterThanOrEqual">
      <formula>130</formula>
    </cfRule>
  </conditionalFormatting>
  <conditionalFormatting sqref="AQ1429">
    <cfRule type="cellIs" dxfId="6374" priority="7869" operator="greaterThanOrEqual">
      <formula>120</formula>
    </cfRule>
  </conditionalFormatting>
  <conditionalFormatting sqref="AR1429:AT1429">
    <cfRule type="containsText" dxfId="6373" priority="7870" operator="containsText" text="ND">
      <formula>NOT(ISERROR(SEARCH(("ND"),(AR1429))))</formula>
    </cfRule>
  </conditionalFormatting>
  <conditionalFormatting sqref="AR1429">
    <cfRule type="cellIs" dxfId="6372" priority="7871" operator="greaterThanOrEqual">
      <formula>250</formula>
    </cfRule>
  </conditionalFormatting>
  <conditionalFormatting sqref="AR1429">
    <cfRule type="cellIs" dxfId="6371" priority="7872" operator="greaterThanOrEqual">
      <formula>175</formula>
    </cfRule>
  </conditionalFormatting>
  <conditionalFormatting sqref="AS1429">
    <cfRule type="cellIs" dxfId="6370" priority="7873" operator="greaterThanOrEqual">
      <formula>2.5</formula>
    </cfRule>
  </conditionalFormatting>
  <conditionalFormatting sqref="AT1429">
    <cfRule type="cellIs" dxfId="6369" priority="7874" operator="greaterThanOrEqual">
      <formula>500</formula>
    </cfRule>
  </conditionalFormatting>
  <conditionalFormatting sqref="AT1429">
    <cfRule type="cellIs" dxfId="6368" priority="7875" operator="greaterThanOrEqual">
      <formula>300</formula>
    </cfRule>
  </conditionalFormatting>
  <conditionalFormatting sqref="L1429 P1429">
    <cfRule type="cellIs" dxfId="6367" priority="7842" operator="greaterThanOrEqual">
      <formula>5</formula>
    </cfRule>
  </conditionalFormatting>
  <conditionalFormatting sqref="L1429">
    <cfRule type="cellIs" dxfId="6366" priority="7843" operator="greaterThanOrEqual">
      <formula>2</formula>
    </cfRule>
  </conditionalFormatting>
  <conditionalFormatting sqref="M1429">
    <cfRule type="cellIs" dxfId="6365" priority="7844" operator="greaterThanOrEqual">
      <formula>60</formula>
    </cfRule>
  </conditionalFormatting>
  <conditionalFormatting sqref="M1429">
    <cfRule type="cellIs" dxfId="6364" priority="7845" operator="greaterThanOrEqual">
      <formula>30</formula>
    </cfRule>
  </conditionalFormatting>
  <conditionalFormatting sqref="R1429">
    <cfRule type="cellIs" dxfId="6363" priority="7846" operator="greaterThanOrEqual">
      <formula>600</formula>
    </cfRule>
  </conditionalFormatting>
  <conditionalFormatting sqref="R1429">
    <cfRule type="cellIs" dxfId="6362" priority="7847" operator="greaterThanOrEqual">
      <formula>260</formula>
    </cfRule>
  </conditionalFormatting>
  <conditionalFormatting sqref="S1429">
    <cfRule type="containsText" dxfId="6361" priority="7848" operator="containsText" text="&lt;">
      <formula>NOT(ISERROR(SEARCH(("&lt;"),(S1429))))</formula>
    </cfRule>
  </conditionalFormatting>
  <conditionalFormatting sqref="S1429">
    <cfRule type="containsText" dxfId="6360" priority="7849" operator="containsText" text="ND">
      <formula>NOT(ISERROR(SEARCH(("ND"),(S1429))))</formula>
    </cfRule>
  </conditionalFormatting>
  <conditionalFormatting sqref="S1429 N1429">
    <cfRule type="cellIs" dxfId="6359" priority="7850" operator="greaterThanOrEqual">
      <formula>200</formula>
    </cfRule>
  </conditionalFormatting>
  <conditionalFormatting sqref="S1429">
    <cfRule type="cellIs" dxfId="6358" priority="7851" operator="greaterThanOrEqual">
      <formula>130</formula>
    </cfRule>
  </conditionalFormatting>
  <conditionalFormatting sqref="N1429">
    <cfRule type="cellIs" dxfId="6357" priority="7852" operator="greaterThanOrEqual">
      <formula>120</formula>
    </cfRule>
  </conditionalFormatting>
  <conditionalFormatting sqref="O1429:Q1429">
    <cfRule type="containsText" dxfId="6356" priority="7853" operator="containsText" text="ND">
      <formula>NOT(ISERROR(SEARCH(("ND"),(O1429))))</formula>
    </cfRule>
  </conditionalFormatting>
  <conditionalFormatting sqref="O1429">
    <cfRule type="cellIs" dxfId="6355" priority="7854" operator="greaterThanOrEqual">
      <formula>250</formula>
    </cfRule>
  </conditionalFormatting>
  <conditionalFormatting sqref="O1429">
    <cfRule type="cellIs" dxfId="6354" priority="7855" operator="greaterThanOrEqual">
      <formula>175</formula>
    </cfRule>
  </conditionalFormatting>
  <conditionalFormatting sqref="P1429">
    <cfRule type="cellIs" dxfId="6353" priority="7856" operator="greaterThanOrEqual">
      <formula>2.5</formula>
    </cfRule>
  </conditionalFormatting>
  <conditionalFormatting sqref="Q1429">
    <cfRule type="cellIs" dxfId="6352" priority="7857" operator="greaterThanOrEqual">
      <formula>500</formula>
    </cfRule>
  </conditionalFormatting>
  <conditionalFormatting sqref="Q1429">
    <cfRule type="cellIs" dxfId="6351" priority="7858" operator="greaterThanOrEqual">
      <formula>300</formula>
    </cfRule>
  </conditionalFormatting>
  <conditionalFormatting sqref="AS302 AO302">
    <cfRule type="cellIs" dxfId="6350" priority="7819" operator="greaterThanOrEqual">
      <formula>5</formula>
    </cfRule>
  </conditionalFormatting>
  <conditionalFormatting sqref="AO302">
    <cfRule type="cellIs" dxfId="6349" priority="7820" operator="greaterThanOrEqual">
      <formula>2</formula>
    </cfRule>
  </conditionalFormatting>
  <conditionalFormatting sqref="AP302">
    <cfRule type="cellIs" dxfId="6348" priority="7821" operator="greaterThanOrEqual">
      <formula>60</formula>
    </cfRule>
  </conditionalFormatting>
  <conditionalFormatting sqref="AP302">
    <cfRule type="cellIs" dxfId="6347" priority="7822" operator="greaterThanOrEqual">
      <formula>30</formula>
    </cfRule>
  </conditionalFormatting>
  <conditionalFormatting sqref="AU302">
    <cfRule type="cellIs" dxfId="6346" priority="7823" operator="greaterThanOrEqual">
      <formula>600</formula>
    </cfRule>
  </conditionalFormatting>
  <conditionalFormatting sqref="AU302">
    <cfRule type="cellIs" dxfId="6345" priority="7824" operator="greaterThanOrEqual">
      <formula>260</formula>
    </cfRule>
  </conditionalFormatting>
  <conditionalFormatting sqref="AV302">
    <cfRule type="containsText" dxfId="6344" priority="7825" operator="containsText" text="&lt;">
      <formula>NOT(ISERROR(SEARCH(("&lt;"),(AV302))))</formula>
    </cfRule>
  </conditionalFormatting>
  <conditionalFormatting sqref="AV302">
    <cfRule type="containsText" dxfId="6343" priority="7826" operator="containsText" text="ND">
      <formula>NOT(ISERROR(SEARCH(("ND"),(AV302))))</formula>
    </cfRule>
  </conditionalFormatting>
  <conditionalFormatting sqref="AV302 AQ302">
    <cfRule type="cellIs" dxfId="6342" priority="7827" operator="greaterThanOrEqual">
      <formula>200</formula>
    </cfRule>
  </conditionalFormatting>
  <conditionalFormatting sqref="AV302">
    <cfRule type="cellIs" dxfId="6341" priority="7828" operator="greaterThanOrEqual">
      <formula>130</formula>
    </cfRule>
  </conditionalFormatting>
  <conditionalFormatting sqref="AQ302">
    <cfRule type="cellIs" dxfId="6340" priority="7829" operator="greaterThanOrEqual">
      <formula>120</formula>
    </cfRule>
  </conditionalFormatting>
  <conditionalFormatting sqref="AR302:AT302">
    <cfRule type="containsText" dxfId="6339" priority="7830" operator="containsText" text="ND">
      <formula>NOT(ISERROR(SEARCH(("ND"),(AR302))))</formula>
    </cfRule>
  </conditionalFormatting>
  <conditionalFormatting sqref="AR302">
    <cfRule type="cellIs" dxfId="6338" priority="7831" operator="greaterThanOrEqual">
      <formula>250</formula>
    </cfRule>
  </conditionalFormatting>
  <conditionalFormatting sqref="AR302">
    <cfRule type="cellIs" dxfId="6337" priority="7832" operator="greaterThanOrEqual">
      <formula>175</formula>
    </cfRule>
  </conditionalFormatting>
  <conditionalFormatting sqref="AS302">
    <cfRule type="cellIs" dxfId="6336" priority="7833" operator="greaterThanOrEqual">
      <formula>2.5</formula>
    </cfRule>
  </conditionalFormatting>
  <conditionalFormatting sqref="AT302">
    <cfRule type="cellIs" dxfId="6335" priority="7834" operator="greaterThanOrEqual">
      <formula>500</formula>
    </cfRule>
  </conditionalFormatting>
  <conditionalFormatting sqref="AT302">
    <cfRule type="cellIs" dxfId="6334" priority="7835" operator="greaterThanOrEqual">
      <formula>300</formula>
    </cfRule>
  </conditionalFormatting>
  <conditionalFormatting sqref="AS306 AO306">
    <cfRule type="cellIs" dxfId="6333" priority="7802" operator="greaterThanOrEqual">
      <formula>5</formula>
    </cfRule>
  </conditionalFormatting>
  <conditionalFormatting sqref="AO306">
    <cfRule type="cellIs" dxfId="6332" priority="7803" operator="greaterThanOrEqual">
      <formula>2</formula>
    </cfRule>
  </conditionalFormatting>
  <conditionalFormatting sqref="AP306">
    <cfRule type="cellIs" dxfId="6331" priority="7804" operator="greaterThanOrEqual">
      <formula>60</formula>
    </cfRule>
  </conditionalFormatting>
  <conditionalFormatting sqref="AP306">
    <cfRule type="cellIs" dxfId="6330" priority="7805" operator="greaterThanOrEqual">
      <formula>30</formula>
    </cfRule>
  </conditionalFormatting>
  <conditionalFormatting sqref="AU306">
    <cfRule type="cellIs" dxfId="6329" priority="7806" operator="greaterThanOrEqual">
      <formula>600</formula>
    </cfRule>
  </conditionalFormatting>
  <conditionalFormatting sqref="AU306">
    <cfRule type="cellIs" dxfId="6328" priority="7807" operator="greaterThanOrEqual">
      <formula>260</formula>
    </cfRule>
  </conditionalFormatting>
  <conditionalFormatting sqref="AV306">
    <cfRule type="containsText" dxfId="6327" priority="7808" operator="containsText" text="&lt;">
      <formula>NOT(ISERROR(SEARCH(("&lt;"),(AV306))))</formula>
    </cfRule>
  </conditionalFormatting>
  <conditionalFormatting sqref="AV306">
    <cfRule type="containsText" dxfId="6326" priority="7809" operator="containsText" text="ND">
      <formula>NOT(ISERROR(SEARCH(("ND"),(AV306))))</formula>
    </cfRule>
  </conditionalFormatting>
  <conditionalFormatting sqref="AV306 AQ306">
    <cfRule type="cellIs" dxfId="6325" priority="7810" operator="greaterThanOrEqual">
      <formula>200</formula>
    </cfRule>
  </conditionalFormatting>
  <conditionalFormatting sqref="AV306">
    <cfRule type="cellIs" dxfId="6324" priority="7811" operator="greaterThanOrEqual">
      <formula>130</formula>
    </cfRule>
  </conditionalFormatting>
  <conditionalFormatting sqref="AQ306">
    <cfRule type="cellIs" dxfId="6323" priority="7812" operator="greaterThanOrEqual">
      <formula>120</formula>
    </cfRule>
  </conditionalFormatting>
  <conditionalFormatting sqref="AR306:AT306">
    <cfRule type="containsText" dxfId="6322" priority="7813" operator="containsText" text="ND">
      <formula>NOT(ISERROR(SEARCH(("ND"),(AR306))))</formula>
    </cfRule>
  </conditionalFormatting>
  <conditionalFormatting sqref="AR306">
    <cfRule type="cellIs" dxfId="6321" priority="7814" operator="greaterThanOrEqual">
      <formula>250</formula>
    </cfRule>
  </conditionalFormatting>
  <conditionalFormatting sqref="AR306">
    <cfRule type="cellIs" dxfId="6320" priority="7815" operator="greaterThanOrEqual">
      <formula>175</formula>
    </cfRule>
  </conditionalFormatting>
  <conditionalFormatting sqref="AS306">
    <cfRule type="cellIs" dxfId="6319" priority="7816" operator="greaterThanOrEqual">
      <formula>2.5</formula>
    </cfRule>
  </conditionalFormatting>
  <conditionalFormatting sqref="AT306">
    <cfRule type="cellIs" dxfId="6318" priority="7817" operator="greaterThanOrEqual">
      <formula>500</formula>
    </cfRule>
  </conditionalFormatting>
  <conditionalFormatting sqref="AT306">
    <cfRule type="cellIs" dxfId="6317" priority="7818" operator="greaterThanOrEqual">
      <formula>300</formula>
    </cfRule>
  </conditionalFormatting>
  <conditionalFormatting sqref="AO323 AS323">
    <cfRule type="cellIs" dxfId="6316" priority="7776" operator="greaterThanOrEqual">
      <formula>5</formula>
    </cfRule>
  </conditionalFormatting>
  <conditionalFormatting sqref="AO323">
    <cfRule type="cellIs" dxfId="6315" priority="7777" operator="greaterThanOrEqual">
      <formula>2</formula>
    </cfRule>
  </conditionalFormatting>
  <conditionalFormatting sqref="AP323">
    <cfRule type="cellIs" dxfId="6314" priority="7778" operator="greaterThanOrEqual">
      <formula>60</formula>
    </cfRule>
  </conditionalFormatting>
  <conditionalFormatting sqref="AP323">
    <cfRule type="cellIs" dxfId="6313" priority="7779" operator="greaterThanOrEqual">
      <formula>30</formula>
    </cfRule>
  </conditionalFormatting>
  <conditionalFormatting sqref="AU323">
    <cfRule type="cellIs" dxfId="6312" priority="7780" operator="greaterThanOrEqual">
      <formula>600</formula>
    </cfRule>
  </conditionalFormatting>
  <conditionalFormatting sqref="AU323">
    <cfRule type="cellIs" dxfId="6311" priority="7781" operator="greaterThanOrEqual">
      <formula>260</formula>
    </cfRule>
  </conditionalFormatting>
  <conditionalFormatting sqref="AV323">
    <cfRule type="containsText" dxfId="6310" priority="7782" operator="containsText" text="&lt;">
      <formula>NOT(ISERROR(SEARCH(("&lt;"),(AV323))))</formula>
    </cfRule>
  </conditionalFormatting>
  <conditionalFormatting sqref="AV323">
    <cfRule type="containsText" dxfId="6309" priority="7783" operator="containsText" text="ND">
      <formula>NOT(ISERROR(SEARCH(("ND"),(AV323))))</formula>
    </cfRule>
  </conditionalFormatting>
  <conditionalFormatting sqref="AQ323 AV323">
    <cfRule type="cellIs" dxfId="6308" priority="7784" operator="greaterThanOrEqual">
      <formula>200</formula>
    </cfRule>
  </conditionalFormatting>
  <conditionalFormatting sqref="AV323">
    <cfRule type="cellIs" dxfId="6307" priority="7785" operator="greaterThanOrEqual">
      <formula>130</formula>
    </cfRule>
  </conditionalFormatting>
  <conditionalFormatting sqref="AQ323">
    <cfRule type="cellIs" dxfId="6306" priority="7786" operator="greaterThanOrEqual">
      <formula>120</formula>
    </cfRule>
  </conditionalFormatting>
  <conditionalFormatting sqref="AR323:AT323">
    <cfRule type="containsText" dxfId="6305" priority="7787" operator="containsText" text="ND">
      <formula>NOT(ISERROR(SEARCH(("ND"),(AR323))))</formula>
    </cfRule>
  </conditionalFormatting>
  <conditionalFormatting sqref="AR323">
    <cfRule type="cellIs" dxfId="6304" priority="7788" operator="greaterThanOrEqual">
      <formula>250</formula>
    </cfRule>
  </conditionalFormatting>
  <conditionalFormatting sqref="AR323">
    <cfRule type="cellIs" dxfId="6303" priority="7789" operator="greaterThanOrEqual">
      <formula>175</formula>
    </cfRule>
  </conditionalFormatting>
  <conditionalFormatting sqref="AS323">
    <cfRule type="cellIs" dxfId="6302" priority="7790" operator="greaterThanOrEqual">
      <formula>2.5</formula>
    </cfRule>
  </conditionalFormatting>
  <conditionalFormatting sqref="AT323">
    <cfRule type="cellIs" dxfId="6301" priority="7791" operator="greaterThanOrEqual">
      <formula>500</formula>
    </cfRule>
  </conditionalFormatting>
  <conditionalFormatting sqref="AT323">
    <cfRule type="cellIs" dxfId="6300" priority="7792" operator="greaterThanOrEqual">
      <formula>300</formula>
    </cfRule>
  </conditionalFormatting>
  <conditionalFormatting sqref="AS1433:AS1434 AO1433:AO1434">
    <cfRule type="cellIs" dxfId="6299" priority="7756" operator="greaterThanOrEqual">
      <formula>5</formula>
    </cfRule>
  </conditionalFormatting>
  <conditionalFormatting sqref="AO1433:AO1434">
    <cfRule type="cellIs" dxfId="6298" priority="7757" operator="greaterThanOrEqual">
      <formula>2</formula>
    </cfRule>
  </conditionalFormatting>
  <conditionalFormatting sqref="AP1433:AP1434">
    <cfRule type="cellIs" dxfId="6297" priority="7758" operator="greaterThanOrEqual">
      <formula>60</formula>
    </cfRule>
  </conditionalFormatting>
  <conditionalFormatting sqref="AP1433:AP1434">
    <cfRule type="cellIs" dxfId="6296" priority="7759" operator="greaterThanOrEqual">
      <formula>30</formula>
    </cfRule>
  </conditionalFormatting>
  <conditionalFormatting sqref="AU1433:AU1434">
    <cfRule type="cellIs" dxfId="6295" priority="7760" operator="greaterThanOrEqual">
      <formula>600</formula>
    </cfRule>
  </conditionalFormatting>
  <conditionalFormatting sqref="AU1433:AU1434">
    <cfRule type="cellIs" dxfId="6294" priority="7761" operator="greaterThanOrEqual">
      <formula>260</formula>
    </cfRule>
  </conditionalFormatting>
  <conditionalFormatting sqref="AV1433:AV1434">
    <cfRule type="containsText" dxfId="6293" priority="7762" operator="containsText" text="&lt;">
      <formula>NOT(ISERROR(SEARCH(("&lt;"),(AV1433))))</formula>
    </cfRule>
  </conditionalFormatting>
  <conditionalFormatting sqref="AV1433:AV1434">
    <cfRule type="containsText" dxfId="6292" priority="7763" operator="containsText" text="ND">
      <formula>NOT(ISERROR(SEARCH(("ND"),(AV1433))))</formula>
    </cfRule>
  </conditionalFormatting>
  <conditionalFormatting sqref="AV1433:AV1434 AQ1433:AQ1434">
    <cfRule type="cellIs" dxfId="6291" priority="7764" operator="greaterThanOrEqual">
      <formula>200</formula>
    </cfRule>
  </conditionalFormatting>
  <conditionalFormatting sqref="AV1433:AV1434">
    <cfRule type="cellIs" dxfId="6290" priority="7765" operator="greaterThanOrEqual">
      <formula>130</formula>
    </cfRule>
  </conditionalFormatting>
  <conditionalFormatting sqref="AQ1433:AQ1434">
    <cfRule type="cellIs" dxfId="6289" priority="7766" operator="greaterThanOrEqual">
      <formula>120</formula>
    </cfRule>
  </conditionalFormatting>
  <conditionalFormatting sqref="AR1433:AT1434">
    <cfRule type="containsText" dxfId="6288" priority="7767" operator="containsText" text="ND">
      <formula>NOT(ISERROR(SEARCH(("ND"),(AR1433))))</formula>
    </cfRule>
  </conditionalFormatting>
  <conditionalFormatting sqref="AR1433:AR1434">
    <cfRule type="cellIs" dxfId="6287" priority="7768" operator="greaterThanOrEqual">
      <formula>250</formula>
    </cfRule>
  </conditionalFormatting>
  <conditionalFormatting sqref="AR1433:AR1434">
    <cfRule type="cellIs" dxfId="6286" priority="7769" operator="greaterThanOrEqual">
      <formula>175</formula>
    </cfRule>
  </conditionalFormatting>
  <conditionalFormatting sqref="AS1433:AS1434">
    <cfRule type="cellIs" dxfId="6285" priority="7770" operator="greaterThanOrEqual">
      <formula>2.5</formula>
    </cfRule>
  </conditionalFormatting>
  <conditionalFormatting sqref="AT1433:AT1434">
    <cfRule type="cellIs" dxfId="6284" priority="7771" operator="greaterThanOrEqual">
      <formula>500</formula>
    </cfRule>
  </conditionalFormatting>
  <conditionalFormatting sqref="AT1433:AT1434">
    <cfRule type="cellIs" dxfId="6283" priority="7772" operator="greaterThanOrEqual">
      <formula>300</formula>
    </cfRule>
  </conditionalFormatting>
  <conditionalFormatting sqref="L1433 P1433">
    <cfRule type="cellIs" dxfId="6282" priority="7739" operator="greaterThanOrEqual">
      <formula>5</formula>
    </cfRule>
  </conditionalFormatting>
  <conditionalFormatting sqref="L1433">
    <cfRule type="cellIs" dxfId="6281" priority="7740" operator="greaterThanOrEqual">
      <formula>2</formula>
    </cfRule>
  </conditionalFormatting>
  <conditionalFormatting sqref="M1433">
    <cfRule type="cellIs" dxfId="6280" priority="7741" operator="greaterThanOrEqual">
      <formula>60</formula>
    </cfRule>
  </conditionalFormatting>
  <conditionalFormatting sqref="M1433">
    <cfRule type="cellIs" dxfId="6279" priority="7742" operator="greaterThanOrEqual">
      <formula>30</formula>
    </cfRule>
  </conditionalFormatting>
  <conditionalFormatting sqref="R1433">
    <cfRule type="cellIs" dxfId="6278" priority="7743" operator="greaterThanOrEqual">
      <formula>600</formula>
    </cfRule>
  </conditionalFormatting>
  <conditionalFormatting sqref="R1433">
    <cfRule type="cellIs" dxfId="6277" priority="7744" operator="greaterThanOrEqual">
      <formula>260</formula>
    </cfRule>
  </conditionalFormatting>
  <conditionalFormatting sqref="S1433">
    <cfRule type="containsText" dxfId="6276" priority="7745" operator="containsText" text="&lt;">
      <formula>NOT(ISERROR(SEARCH(("&lt;"),(S1433))))</formula>
    </cfRule>
  </conditionalFormatting>
  <conditionalFormatting sqref="S1433">
    <cfRule type="containsText" dxfId="6275" priority="7746" operator="containsText" text="ND">
      <formula>NOT(ISERROR(SEARCH(("ND"),(S1433))))</formula>
    </cfRule>
  </conditionalFormatting>
  <conditionalFormatting sqref="S1433 N1433">
    <cfRule type="cellIs" dxfId="6274" priority="7747" operator="greaterThanOrEqual">
      <formula>200</formula>
    </cfRule>
  </conditionalFormatting>
  <conditionalFormatting sqref="S1433">
    <cfRule type="cellIs" dxfId="6273" priority="7748" operator="greaterThanOrEqual">
      <formula>130</formula>
    </cfRule>
  </conditionalFormatting>
  <conditionalFormatting sqref="N1433">
    <cfRule type="cellIs" dxfId="6272" priority="7749" operator="greaterThanOrEqual">
      <formula>120</formula>
    </cfRule>
  </conditionalFormatting>
  <conditionalFormatting sqref="O1433:Q1433">
    <cfRule type="containsText" dxfId="6271" priority="7750" operator="containsText" text="ND">
      <formula>NOT(ISERROR(SEARCH(("ND"),(O1433))))</formula>
    </cfRule>
  </conditionalFormatting>
  <conditionalFormatting sqref="O1433">
    <cfRule type="cellIs" dxfId="6270" priority="7751" operator="greaterThanOrEqual">
      <formula>250</formula>
    </cfRule>
  </conditionalFormatting>
  <conditionalFormatting sqref="O1433">
    <cfRule type="cellIs" dxfId="6269" priority="7752" operator="greaterThanOrEqual">
      <formula>175</formula>
    </cfRule>
  </conditionalFormatting>
  <conditionalFormatting sqref="P1433">
    <cfRule type="cellIs" dxfId="6268" priority="7753" operator="greaterThanOrEqual">
      <formula>2.5</formula>
    </cfRule>
  </conditionalFormatting>
  <conditionalFormatting sqref="Q1433">
    <cfRule type="cellIs" dxfId="6267" priority="7754" operator="greaterThanOrEqual">
      <formula>500</formula>
    </cfRule>
  </conditionalFormatting>
  <conditionalFormatting sqref="Q1433">
    <cfRule type="cellIs" dxfId="6266" priority="7755" operator="greaterThanOrEqual">
      <formula>300</formula>
    </cfRule>
  </conditionalFormatting>
  <conditionalFormatting sqref="L1434 P1434">
    <cfRule type="cellIs" dxfId="6265" priority="7722" operator="greaterThanOrEqual">
      <formula>5</formula>
    </cfRule>
  </conditionalFormatting>
  <conditionalFormatting sqref="L1434">
    <cfRule type="cellIs" dxfId="6264" priority="7723" operator="greaterThanOrEqual">
      <formula>2</formula>
    </cfRule>
  </conditionalFormatting>
  <conditionalFormatting sqref="M1434">
    <cfRule type="cellIs" dxfId="6263" priority="7724" operator="greaterThanOrEqual">
      <formula>60</formula>
    </cfRule>
  </conditionalFormatting>
  <conditionalFormatting sqref="M1434">
    <cfRule type="cellIs" dxfId="6262" priority="7725" operator="greaterThanOrEqual">
      <formula>30</formula>
    </cfRule>
  </conditionalFormatting>
  <conditionalFormatting sqref="R1434">
    <cfRule type="cellIs" dxfId="6261" priority="7726" operator="greaterThanOrEqual">
      <formula>600</formula>
    </cfRule>
  </conditionalFormatting>
  <conditionalFormatting sqref="R1434">
    <cfRule type="cellIs" dxfId="6260" priority="7727" operator="greaterThanOrEqual">
      <formula>260</formula>
    </cfRule>
  </conditionalFormatting>
  <conditionalFormatting sqref="S1434">
    <cfRule type="containsText" dxfId="6259" priority="7728" operator="containsText" text="&lt;">
      <formula>NOT(ISERROR(SEARCH(("&lt;"),(S1434))))</formula>
    </cfRule>
  </conditionalFormatting>
  <conditionalFormatting sqref="S1434">
    <cfRule type="containsText" dxfId="6258" priority="7729" operator="containsText" text="ND">
      <formula>NOT(ISERROR(SEARCH(("ND"),(S1434))))</formula>
    </cfRule>
  </conditionalFormatting>
  <conditionalFormatting sqref="S1434 N1434">
    <cfRule type="cellIs" dxfId="6257" priority="7730" operator="greaterThanOrEqual">
      <formula>200</formula>
    </cfRule>
  </conditionalFormatting>
  <conditionalFormatting sqref="S1434">
    <cfRule type="cellIs" dxfId="6256" priority="7731" operator="greaterThanOrEqual">
      <formula>130</formula>
    </cfRule>
  </conditionalFormatting>
  <conditionalFormatting sqref="N1434">
    <cfRule type="cellIs" dxfId="6255" priority="7732" operator="greaterThanOrEqual">
      <formula>120</formula>
    </cfRule>
  </conditionalFormatting>
  <conditionalFormatting sqref="O1434:Q1434">
    <cfRule type="containsText" dxfId="6254" priority="7733" operator="containsText" text="ND">
      <formula>NOT(ISERROR(SEARCH(("ND"),(O1434))))</formula>
    </cfRule>
  </conditionalFormatting>
  <conditionalFormatting sqref="O1434">
    <cfRule type="cellIs" dxfId="6253" priority="7734" operator="greaterThanOrEqual">
      <formula>250</formula>
    </cfRule>
  </conditionalFormatting>
  <conditionalFormatting sqref="O1434">
    <cfRule type="cellIs" dxfId="6252" priority="7735" operator="greaterThanOrEqual">
      <formula>175</formula>
    </cfRule>
  </conditionalFormatting>
  <conditionalFormatting sqref="P1434">
    <cfRule type="cellIs" dxfId="6251" priority="7736" operator="greaterThanOrEqual">
      <formula>2.5</formula>
    </cfRule>
  </conditionalFormatting>
  <conditionalFormatting sqref="Q1434">
    <cfRule type="cellIs" dxfId="6250" priority="7737" operator="greaterThanOrEqual">
      <formula>500</formula>
    </cfRule>
  </conditionalFormatting>
  <conditionalFormatting sqref="Q1434">
    <cfRule type="cellIs" dxfId="6249" priority="7738" operator="greaterThanOrEqual">
      <formula>300</formula>
    </cfRule>
  </conditionalFormatting>
  <conditionalFormatting sqref="AO1436 AS1436">
    <cfRule type="cellIs" dxfId="6248" priority="7702" operator="greaterThanOrEqual">
      <formula>5</formula>
    </cfRule>
  </conditionalFormatting>
  <conditionalFormatting sqref="AO1436">
    <cfRule type="cellIs" dxfId="6247" priority="7703" operator="greaterThanOrEqual">
      <formula>2</formula>
    </cfRule>
  </conditionalFormatting>
  <conditionalFormatting sqref="AP1436">
    <cfRule type="cellIs" dxfId="6246" priority="7704" operator="greaterThanOrEqual">
      <formula>60</formula>
    </cfRule>
  </conditionalFormatting>
  <conditionalFormatting sqref="AP1436">
    <cfRule type="cellIs" dxfId="6245" priority="7705" operator="greaterThanOrEqual">
      <formula>30</formula>
    </cfRule>
  </conditionalFormatting>
  <conditionalFormatting sqref="AU1436">
    <cfRule type="cellIs" dxfId="6244" priority="7706" operator="greaterThanOrEqual">
      <formula>600</formula>
    </cfRule>
  </conditionalFormatting>
  <conditionalFormatting sqref="AU1436">
    <cfRule type="cellIs" dxfId="6243" priority="7707" operator="greaterThanOrEqual">
      <formula>260</formula>
    </cfRule>
  </conditionalFormatting>
  <conditionalFormatting sqref="AV1436">
    <cfRule type="containsText" dxfId="6242" priority="7708" operator="containsText" text="&lt;">
      <formula>NOT(ISERROR(SEARCH(("&lt;"),(AV1436))))</formula>
    </cfRule>
  </conditionalFormatting>
  <conditionalFormatting sqref="AV1436">
    <cfRule type="containsText" dxfId="6241" priority="7709" operator="containsText" text="ND">
      <formula>NOT(ISERROR(SEARCH(("ND"),(AV1436))))</formula>
    </cfRule>
  </conditionalFormatting>
  <conditionalFormatting sqref="AQ1436 AV1436">
    <cfRule type="cellIs" dxfId="6240" priority="7710" operator="greaterThanOrEqual">
      <formula>200</formula>
    </cfRule>
  </conditionalFormatting>
  <conditionalFormatting sqref="AV1436">
    <cfRule type="cellIs" dxfId="6239" priority="7711" operator="greaterThanOrEqual">
      <formula>130</formula>
    </cfRule>
  </conditionalFormatting>
  <conditionalFormatting sqref="AQ1436">
    <cfRule type="cellIs" dxfId="6238" priority="7712" operator="greaterThanOrEqual">
      <formula>120</formula>
    </cfRule>
  </conditionalFormatting>
  <conditionalFormatting sqref="AR1436:AT1436">
    <cfRule type="containsText" dxfId="6237" priority="7713" operator="containsText" text="ND">
      <formula>NOT(ISERROR(SEARCH(("ND"),(AR1436))))</formula>
    </cfRule>
  </conditionalFormatting>
  <conditionalFormatting sqref="AR1436">
    <cfRule type="cellIs" dxfId="6236" priority="7714" operator="greaterThanOrEqual">
      <formula>250</formula>
    </cfRule>
  </conditionalFormatting>
  <conditionalFormatting sqref="AR1436">
    <cfRule type="cellIs" dxfId="6235" priority="7715" operator="greaterThanOrEqual">
      <formula>175</formula>
    </cfRule>
  </conditionalFormatting>
  <conditionalFormatting sqref="AS1436">
    <cfRule type="cellIs" dxfId="6234" priority="7716" operator="greaterThanOrEqual">
      <formula>2.5</formula>
    </cfRule>
  </conditionalFormatting>
  <conditionalFormatting sqref="AT1436">
    <cfRule type="cellIs" dxfId="6233" priority="7717" operator="greaterThanOrEqual">
      <formula>500</formula>
    </cfRule>
  </conditionalFormatting>
  <conditionalFormatting sqref="AT1436">
    <cfRule type="cellIs" dxfId="6232" priority="7718" operator="greaterThanOrEqual">
      <formula>300</formula>
    </cfRule>
  </conditionalFormatting>
  <conditionalFormatting sqref="P1436 L1436">
    <cfRule type="cellIs" dxfId="6231" priority="7685" operator="greaterThanOrEqual">
      <formula>5</formula>
    </cfRule>
  </conditionalFormatting>
  <conditionalFormatting sqref="L1436">
    <cfRule type="cellIs" dxfId="6230" priority="7686" operator="greaterThanOrEqual">
      <formula>2</formula>
    </cfRule>
  </conditionalFormatting>
  <conditionalFormatting sqref="M1436">
    <cfRule type="cellIs" dxfId="6229" priority="7687" operator="greaterThanOrEqual">
      <formula>60</formula>
    </cfRule>
  </conditionalFormatting>
  <conditionalFormatting sqref="M1436">
    <cfRule type="cellIs" dxfId="6228" priority="7688" operator="greaterThanOrEqual">
      <formula>30</formula>
    </cfRule>
  </conditionalFormatting>
  <conditionalFormatting sqref="R1436">
    <cfRule type="cellIs" dxfId="6227" priority="7689" operator="greaterThanOrEqual">
      <formula>600</formula>
    </cfRule>
  </conditionalFormatting>
  <conditionalFormatting sqref="R1436">
    <cfRule type="cellIs" dxfId="6226" priority="7690" operator="greaterThanOrEqual">
      <formula>260</formula>
    </cfRule>
  </conditionalFormatting>
  <conditionalFormatting sqref="S1436">
    <cfRule type="containsText" dxfId="6225" priority="7691" operator="containsText" text="&lt;">
      <formula>NOT(ISERROR(SEARCH(("&lt;"),(S1436))))</formula>
    </cfRule>
  </conditionalFormatting>
  <conditionalFormatting sqref="S1436">
    <cfRule type="containsText" dxfId="6224" priority="7692" operator="containsText" text="ND">
      <formula>NOT(ISERROR(SEARCH(("ND"),(S1436))))</formula>
    </cfRule>
  </conditionalFormatting>
  <conditionalFormatting sqref="S1436 N1436">
    <cfRule type="cellIs" dxfId="6223" priority="7693" operator="greaterThanOrEqual">
      <formula>200</formula>
    </cfRule>
  </conditionalFormatting>
  <conditionalFormatting sqref="S1436">
    <cfRule type="cellIs" dxfId="6222" priority="7694" operator="greaterThanOrEqual">
      <formula>130</formula>
    </cfRule>
  </conditionalFormatting>
  <conditionalFormatting sqref="N1436">
    <cfRule type="cellIs" dxfId="6221" priority="7695" operator="greaterThanOrEqual">
      <formula>120</formula>
    </cfRule>
  </conditionalFormatting>
  <conditionalFormatting sqref="O1436:Q1436">
    <cfRule type="containsText" dxfId="6220" priority="7696" operator="containsText" text="ND">
      <formula>NOT(ISERROR(SEARCH(("ND"),(O1436))))</formula>
    </cfRule>
  </conditionalFormatting>
  <conditionalFormatting sqref="O1436">
    <cfRule type="cellIs" dxfId="6219" priority="7697" operator="greaterThanOrEqual">
      <formula>250</formula>
    </cfRule>
  </conditionalFormatting>
  <conditionalFormatting sqref="O1436">
    <cfRule type="cellIs" dxfId="6218" priority="7698" operator="greaterThanOrEqual">
      <formula>175</formula>
    </cfRule>
  </conditionalFormatting>
  <conditionalFormatting sqref="P1436">
    <cfRule type="cellIs" dxfId="6217" priority="7699" operator="greaterThanOrEqual">
      <formula>2.5</formula>
    </cfRule>
  </conditionalFormatting>
  <conditionalFormatting sqref="Q1436">
    <cfRule type="cellIs" dxfId="6216" priority="7700" operator="greaterThanOrEqual">
      <formula>500</formula>
    </cfRule>
  </conditionalFormatting>
  <conditionalFormatting sqref="Q1436">
    <cfRule type="cellIs" dxfId="6215" priority="7701" operator="greaterThanOrEqual">
      <formula>300</formula>
    </cfRule>
  </conditionalFormatting>
  <conditionalFormatting sqref="AJ338:AK338">
    <cfRule type="cellIs" dxfId="6214" priority="7669" operator="equal">
      <formula>"難以採樣"</formula>
    </cfRule>
    <cfRule type="cellIs" dxfId="6213" priority="7670" operator="equal">
      <formula>"建物"</formula>
    </cfRule>
    <cfRule type="cellIs" dxfId="6212" priority="7671" operator="equal">
      <formula>"管制"</formula>
    </cfRule>
    <cfRule type="cellIs" dxfId="6211" priority="7672" operator="equal">
      <formula>"監測"</formula>
    </cfRule>
    <cfRule type="cellIs" dxfId="6210" priority="7673" operator="equal">
      <formula>"正常"</formula>
    </cfRule>
  </conditionalFormatting>
  <conditionalFormatting sqref="AS337 AO337">
    <cfRule type="cellIs" dxfId="6209" priority="7652" operator="greaterThanOrEqual">
      <formula>5</formula>
    </cfRule>
  </conditionalFormatting>
  <conditionalFormatting sqref="AO337">
    <cfRule type="cellIs" dxfId="6208" priority="7653" operator="greaterThanOrEqual">
      <formula>2</formula>
    </cfRule>
  </conditionalFormatting>
  <conditionalFormatting sqref="AP337">
    <cfRule type="cellIs" dxfId="6207" priority="7654" operator="greaterThanOrEqual">
      <formula>60</formula>
    </cfRule>
  </conditionalFormatting>
  <conditionalFormatting sqref="AP337">
    <cfRule type="cellIs" dxfId="6206" priority="7655" operator="greaterThanOrEqual">
      <formula>30</formula>
    </cfRule>
  </conditionalFormatting>
  <conditionalFormatting sqref="AU337">
    <cfRule type="cellIs" dxfId="6205" priority="7656" operator="greaterThanOrEqual">
      <formula>600</formula>
    </cfRule>
  </conditionalFormatting>
  <conditionalFormatting sqref="AU337">
    <cfRule type="cellIs" dxfId="6204" priority="7657" operator="greaterThanOrEqual">
      <formula>260</formula>
    </cfRule>
  </conditionalFormatting>
  <conditionalFormatting sqref="AV337">
    <cfRule type="containsText" dxfId="6203" priority="7658" operator="containsText" text="&lt;">
      <formula>NOT(ISERROR(SEARCH(("&lt;"),(AV337))))</formula>
    </cfRule>
  </conditionalFormatting>
  <conditionalFormatting sqref="AV337">
    <cfRule type="containsText" dxfId="6202" priority="7659" operator="containsText" text="ND">
      <formula>NOT(ISERROR(SEARCH(("ND"),(AV337))))</formula>
    </cfRule>
  </conditionalFormatting>
  <conditionalFormatting sqref="AV337 AQ337">
    <cfRule type="cellIs" dxfId="6201" priority="7660" operator="greaterThanOrEqual">
      <formula>200</formula>
    </cfRule>
  </conditionalFormatting>
  <conditionalFormatting sqref="AV337">
    <cfRule type="cellIs" dxfId="6200" priority="7661" operator="greaterThanOrEqual">
      <formula>130</formula>
    </cfRule>
  </conditionalFormatting>
  <conditionalFormatting sqref="AQ337">
    <cfRule type="cellIs" dxfId="6199" priority="7662" operator="greaterThanOrEqual">
      <formula>120</formula>
    </cfRule>
  </conditionalFormatting>
  <conditionalFormatting sqref="AR337:AT337">
    <cfRule type="containsText" dxfId="6198" priority="7663" operator="containsText" text="ND">
      <formula>NOT(ISERROR(SEARCH(("ND"),(AR337))))</formula>
    </cfRule>
  </conditionalFormatting>
  <conditionalFormatting sqref="AR337">
    <cfRule type="cellIs" dxfId="6197" priority="7664" operator="greaterThanOrEqual">
      <formula>250</formula>
    </cfRule>
  </conditionalFormatting>
  <conditionalFormatting sqref="AR337">
    <cfRule type="cellIs" dxfId="6196" priority="7665" operator="greaterThanOrEqual">
      <formula>175</formula>
    </cfRule>
  </conditionalFormatting>
  <conditionalFormatting sqref="AS337">
    <cfRule type="cellIs" dxfId="6195" priority="7666" operator="greaterThanOrEqual">
      <formula>2.5</formula>
    </cfRule>
  </conditionalFormatting>
  <conditionalFormatting sqref="AT337">
    <cfRule type="cellIs" dxfId="6194" priority="7667" operator="greaterThanOrEqual">
      <formula>500</formula>
    </cfRule>
  </conditionalFormatting>
  <conditionalFormatting sqref="AT337">
    <cfRule type="cellIs" dxfId="6193" priority="7668" operator="greaterThanOrEqual">
      <formula>300</formula>
    </cfRule>
  </conditionalFormatting>
  <conditionalFormatting sqref="P337 L337">
    <cfRule type="cellIs" dxfId="6192" priority="7635" operator="greaterThanOrEqual">
      <formula>5</formula>
    </cfRule>
  </conditionalFormatting>
  <conditionalFormatting sqref="L337">
    <cfRule type="cellIs" dxfId="6191" priority="7636" operator="greaterThanOrEqual">
      <formula>2</formula>
    </cfRule>
  </conditionalFormatting>
  <conditionalFormatting sqref="M337">
    <cfRule type="cellIs" dxfId="6190" priority="7637" operator="greaterThanOrEqual">
      <formula>60</formula>
    </cfRule>
  </conditionalFormatting>
  <conditionalFormatting sqref="M337">
    <cfRule type="cellIs" dxfId="6189" priority="7638" operator="greaterThanOrEqual">
      <formula>30</formula>
    </cfRule>
  </conditionalFormatting>
  <conditionalFormatting sqref="R337">
    <cfRule type="cellIs" dxfId="6188" priority="7639" operator="greaterThanOrEqual">
      <formula>600</formula>
    </cfRule>
  </conditionalFormatting>
  <conditionalFormatting sqref="R337">
    <cfRule type="cellIs" dxfId="6187" priority="7640" operator="greaterThanOrEqual">
      <formula>260</formula>
    </cfRule>
  </conditionalFormatting>
  <conditionalFormatting sqref="S337">
    <cfRule type="containsText" dxfId="6186" priority="7641" operator="containsText" text="&lt;">
      <formula>NOT(ISERROR(SEARCH(("&lt;"),(S337))))</formula>
    </cfRule>
  </conditionalFormatting>
  <conditionalFormatting sqref="S337">
    <cfRule type="containsText" dxfId="6185" priority="7642" operator="containsText" text="ND">
      <formula>NOT(ISERROR(SEARCH(("ND"),(S337))))</formula>
    </cfRule>
  </conditionalFormatting>
  <conditionalFormatting sqref="S337 N337">
    <cfRule type="cellIs" dxfId="6184" priority="7643" operator="greaterThanOrEqual">
      <formula>200</formula>
    </cfRule>
  </conditionalFormatting>
  <conditionalFormatting sqref="S337">
    <cfRule type="cellIs" dxfId="6183" priority="7644" operator="greaterThanOrEqual">
      <formula>130</formula>
    </cfRule>
  </conditionalFormatting>
  <conditionalFormatting sqref="N337">
    <cfRule type="cellIs" dxfId="6182" priority="7645" operator="greaterThanOrEqual">
      <formula>120</formula>
    </cfRule>
  </conditionalFormatting>
  <conditionalFormatting sqref="O337:Q337">
    <cfRule type="containsText" dxfId="6181" priority="7646" operator="containsText" text="ND">
      <formula>NOT(ISERROR(SEARCH(("ND"),(O337))))</formula>
    </cfRule>
  </conditionalFormatting>
  <conditionalFormatting sqref="O337">
    <cfRule type="cellIs" dxfId="6180" priority="7647" operator="greaterThanOrEqual">
      <formula>250</formula>
    </cfRule>
  </conditionalFormatting>
  <conditionalFormatting sqref="O337">
    <cfRule type="cellIs" dxfId="6179" priority="7648" operator="greaterThanOrEqual">
      <formula>175</formula>
    </cfRule>
  </conditionalFormatting>
  <conditionalFormatting sqref="P337">
    <cfRule type="cellIs" dxfId="6178" priority="7649" operator="greaterThanOrEqual">
      <formula>2.5</formula>
    </cfRule>
  </conditionalFormatting>
  <conditionalFormatting sqref="Q337">
    <cfRule type="cellIs" dxfId="6177" priority="7650" operator="greaterThanOrEqual">
      <formula>500</formula>
    </cfRule>
  </conditionalFormatting>
  <conditionalFormatting sqref="Q337">
    <cfRule type="cellIs" dxfId="6176" priority="7651" operator="greaterThanOrEqual">
      <formula>300</formula>
    </cfRule>
  </conditionalFormatting>
  <conditionalFormatting sqref="AS346 AO346">
    <cfRule type="cellIs" dxfId="6175" priority="7615" operator="greaterThanOrEqual">
      <formula>5</formula>
    </cfRule>
  </conditionalFormatting>
  <conditionalFormatting sqref="AO346">
    <cfRule type="cellIs" dxfId="6174" priority="7616" operator="greaterThanOrEqual">
      <formula>2</formula>
    </cfRule>
  </conditionalFormatting>
  <conditionalFormatting sqref="AP346">
    <cfRule type="cellIs" dxfId="6173" priority="7617" operator="greaterThanOrEqual">
      <formula>60</formula>
    </cfRule>
  </conditionalFormatting>
  <conditionalFormatting sqref="AP346">
    <cfRule type="cellIs" dxfId="6172" priority="7618" operator="greaterThanOrEqual">
      <formula>30</formula>
    </cfRule>
  </conditionalFormatting>
  <conditionalFormatting sqref="AU346">
    <cfRule type="cellIs" dxfId="6171" priority="7619" operator="greaterThanOrEqual">
      <formula>600</formula>
    </cfRule>
  </conditionalFormatting>
  <conditionalFormatting sqref="AU346">
    <cfRule type="cellIs" dxfId="6170" priority="7620" operator="greaterThanOrEqual">
      <formula>260</formula>
    </cfRule>
  </conditionalFormatting>
  <conditionalFormatting sqref="AV346">
    <cfRule type="containsText" dxfId="6169" priority="7621" operator="containsText" text="&lt;">
      <formula>NOT(ISERROR(SEARCH(("&lt;"),(AV346))))</formula>
    </cfRule>
  </conditionalFormatting>
  <conditionalFormatting sqref="AV346">
    <cfRule type="containsText" dxfId="6168" priority="7622" operator="containsText" text="ND">
      <formula>NOT(ISERROR(SEARCH(("ND"),(AV346))))</formula>
    </cfRule>
  </conditionalFormatting>
  <conditionalFormatting sqref="AV346 AQ346">
    <cfRule type="cellIs" dxfId="6167" priority="7623" operator="greaterThanOrEqual">
      <formula>200</formula>
    </cfRule>
  </conditionalFormatting>
  <conditionalFormatting sqref="AV346">
    <cfRule type="cellIs" dxfId="6166" priority="7624" operator="greaterThanOrEqual">
      <formula>130</formula>
    </cfRule>
  </conditionalFormatting>
  <conditionalFormatting sqref="AQ346">
    <cfRule type="cellIs" dxfId="6165" priority="7625" operator="greaterThanOrEqual">
      <formula>120</formula>
    </cfRule>
  </conditionalFormatting>
  <conditionalFormatting sqref="AR346:AT346">
    <cfRule type="containsText" dxfId="6164" priority="7626" operator="containsText" text="ND">
      <formula>NOT(ISERROR(SEARCH(("ND"),(AR346))))</formula>
    </cfRule>
  </conditionalFormatting>
  <conditionalFormatting sqref="AR346">
    <cfRule type="cellIs" dxfId="6163" priority="7627" operator="greaterThanOrEqual">
      <formula>250</formula>
    </cfRule>
  </conditionalFormatting>
  <conditionalFormatting sqref="AR346">
    <cfRule type="cellIs" dxfId="6162" priority="7628" operator="greaterThanOrEqual">
      <formula>175</formula>
    </cfRule>
  </conditionalFormatting>
  <conditionalFormatting sqref="AS346">
    <cfRule type="cellIs" dxfId="6161" priority="7629" operator="greaterThanOrEqual">
      <formula>2.5</formula>
    </cfRule>
  </conditionalFormatting>
  <conditionalFormatting sqref="AT346">
    <cfRule type="cellIs" dxfId="6160" priority="7630" operator="greaterThanOrEqual">
      <formula>500</formula>
    </cfRule>
  </conditionalFormatting>
  <conditionalFormatting sqref="AT346">
    <cfRule type="cellIs" dxfId="6159" priority="7631" operator="greaterThanOrEqual">
      <formula>300</formula>
    </cfRule>
  </conditionalFormatting>
  <conditionalFormatting sqref="AS348 AO348">
    <cfRule type="cellIs" dxfId="6158" priority="7598" operator="greaterThanOrEqual">
      <formula>5</formula>
    </cfRule>
  </conditionalFormatting>
  <conditionalFormatting sqref="AO348">
    <cfRule type="cellIs" dxfId="6157" priority="7599" operator="greaterThanOrEqual">
      <formula>2</formula>
    </cfRule>
  </conditionalFormatting>
  <conditionalFormatting sqref="AP348">
    <cfRule type="cellIs" dxfId="6156" priority="7600" operator="greaterThanOrEqual">
      <formula>60</formula>
    </cfRule>
  </conditionalFormatting>
  <conditionalFormatting sqref="AP348">
    <cfRule type="cellIs" dxfId="6155" priority="7601" operator="greaterThanOrEqual">
      <formula>30</formula>
    </cfRule>
  </conditionalFormatting>
  <conditionalFormatting sqref="AU348">
    <cfRule type="cellIs" dxfId="6154" priority="7602" operator="greaterThanOrEqual">
      <formula>600</formula>
    </cfRule>
  </conditionalFormatting>
  <conditionalFormatting sqref="AU348">
    <cfRule type="cellIs" dxfId="6153" priority="7603" operator="greaterThanOrEqual">
      <formula>260</formula>
    </cfRule>
  </conditionalFormatting>
  <conditionalFormatting sqref="AV348">
    <cfRule type="containsText" dxfId="6152" priority="7604" operator="containsText" text="&lt;">
      <formula>NOT(ISERROR(SEARCH(("&lt;"),(AV348))))</formula>
    </cfRule>
  </conditionalFormatting>
  <conditionalFormatting sqref="AV348">
    <cfRule type="containsText" dxfId="6151" priority="7605" operator="containsText" text="ND">
      <formula>NOT(ISERROR(SEARCH(("ND"),(AV348))))</formula>
    </cfRule>
  </conditionalFormatting>
  <conditionalFormatting sqref="AV348 AQ348">
    <cfRule type="cellIs" dxfId="6150" priority="7606" operator="greaterThanOrEqual">
      <formula>200</formula>
    </cfRule>
  </conditionalFormatting>
  <conditionalFormatting sqref="AV348">
    <cfRule type="cellIs" dxfId="6149" priority="7607" operator="greaterThanOrEqual">
      <formula>130</formula>
    </cfRule>
  </conditionalFormatting>
  <conditionalFormatting sqref="AQ348">
    <cfRule type="cellIs" dxfId="6148" priority="7608" operator="greaterThanOrEqual">
      <formula>120</formula>
    </cfRule>
  </conditionalFormatting>
  <conditionalFormatting sqref="AR348:AT348">
    <cfRule type="containsText" dxfId="6147" priority="7609" operator="containsText" text="ND">
      <formula>NOT(ISERROR(SEARCH(("ND"),(AR348))))</formula>
    </cfRule>
  </conditionalFormatting>
  <conditionalFormatting sqref="AR348">
    <cfRule type="cellIs" dxfId="6146" priority="7610" operator="greaterThanOrEqual">
      <formula>250</formula>
    </cfRule>
  </conditionalFormatting>
  <conditionalFormatting sqref="AR348">
    <cfRule type="cellIs" dxfId="6145" priority="7611" operator="greaterThanOrEqual">
      <formula>175</formula>
    </cfRule>
  </conditionalFormatting>
  <conditionalFormatting sqref="AS348">
    <cfRule type="cellIs" dxfId="6144" priority="7612" operator="greaterThanOrEqual">
      <formula>2.5</formula>
    </cfRule>
  </conditionalFormatting>
  <conditionalFormatting sqref="AT348">
    <cfRule type="cellIs" dxfId="6143" priority="7613" operator="greaterThanOrEqual">
      <formula>500</formula>
    </cfRule>
  </conditionalFormatting>
  <conditionalFormatting sqref="AT348">
    <cfRule type="cellIs" dxfId="6142" priority="7614" operator="greaterThanOrEqual">
      <formula>300</formula>
    </cfRule>
  </conditionalFormatting>
  <conditionalFormatting sqref="AS350 AO350">
    <cfRule type="cellIs" dxfId="6141" priority="7581" operator="greaterThanOrEqual">
      <formula>5</formula>
    </cfRule>
  </conditionalFormatting>
  <conditionalFormatting sqref="AO350">
    <cfRule type="cellIs" dxfId="6140" priority="7582" operator="greaterThanOrEqual">
      <formula>2</formula>
    </cfRule>
  </conditionalFormatting>
  <conditionalFormatting sqref="AP350">
    <cfRule type="cellIs" dxfId="6139" priority="7583" operator="greaterThanOrEqual">
      <formula>60</formula>
    </cfRule>
  </conditionalFormatting>
  <conditionalFormatting sqref="AP350">
    <cfRule type="cellIs" dxfId="6138" priority="7584" operator="greaterThanOrEqual">
      <formula>30</formula>
    </cfRule>
  </conditionalFormatting>
  <conditionalFormatting sqref="AU350">
    <cfRule type="cellIs" dxfId="6137" priority="7585" operator="greaterThanOrEqual">
      <formula>600</formula>
    </cfRule>
  </conditionalFormatting>
  <conditionalFormatting sqref="AU350">
    <cfRule type="cellIs" dxfId="6136" priority="7586" operator="greaterThanOrEqual">
      <formula>260</formula>
    </cfRule>
  </conditionalFormatting>
  <conditionalFormatting sqref="AV350">
    <cfRule type="containsText" dxfId="6135" priority="7587" operator="containsText" text="&lt;">
      <formula>NOT(ISERROR(SEARCH(("&lt;"),(AV350))))</formula>
    </cfRule>
  </conditionalFormatting>
  <conditionalFormatting sqref="AV350">
    <cfRule type="containsText" dxfId="6134" priority="7588" operator="containsText" text="ND">
      <formula>NOT(ISERROR(SEARCH(("ND"),(AV350))))</formula>
    </cfRule>
  </conditionalFormatting>
  <conditionalFormatting sqref="AV350 AQ350">
    <cfRule type="cellIs" dxfId="6133" priority="7589" operator="greaterThanOrEqual">
      <formula>200</formula>
    </cfRule>
  </conditionalFormatting>
  <conditionalFormatting sqref="AV350">
    <cfRule type="cellIs" dxfId="6132" priority="7590" operator="greaterThanOrEqual">
      <formula>130</formula>
    </cfRule>
  </conditionalFormatting>
  <conditionalFormatting sqref="AQ350">
    <cfRule type="cellIs" dxfId="6131" priority="7591" operator="greaterThanOrEqual">
      <formula>120</formula>
    </cfRule>
  </conditionalFormatting>
  <conditionalFormatting sqref="AR350:AT350">
    <cfRule type="containsText" dxfId="6130" priority="7592" operator="containsText" text="ND">
      <formula>NOT(ISERROR(SEARCH(("ND"),(AR350))))</formula>
    </cfRule>
  </conditionalFormatting>
  <conditionalFormatting sqref="AR350">
    <cfRule type="cellIs" dxfId="6129" priority="7593" operator="greaterThanOrEqual">
      <formula>250</formula>
    </cfRule>
  </conditionalFormatting>
  <conditionalFormatting sqref="AR350">
    <cfRule type="cellIs" dxfId="6128" priority="7594" operator="greaterThanOrEqual">
      <formula>175</formula>
    </cfRule>
  </conditionalFormatting>
  <conditionalFormatting sqref="AS350">
    <cfRule type="cellIs" dxfId="6127" priority="7595" operator="greaterThanOrEqual">
      <formula>2.5</formula>
    </cfRule>
  </conditionalFormatting>
  <conditionalFormatting sqref="AT350">
    <cfRule type="cellIs" dxfId="6126" priority="7596" operator="greaterThanOrEqual">
      <formula>500</formula>
    </cfRule>
  </conditionalFormatting>
  <conditionalFormatting sqref="AT350">
    <cfRule type="cellIs" dxfId="6125" priority="7597" operator="greaterThanOrEqual">
      <formula>300</formula>
    </cfRule>
  </conditionalFormatting>
  <conditionalFormatting sqref="P350 L350">
    <cfRule type="cellIs" dxfId="6124" priority="7564" operator="greaterThanOrEqual">
      <formula>5</formula>
    </cfRule>
  </conditionalFormatting>
  <conditionalFormatting sqref="L350">
    <cfRule type="cellIs" dxfId="6123" priority="7565" operator="greaterThanOrEqual">
      <formula>2</formula>
    </cfRule>
  </conditionalFormatting>
  <conditionalFormatting sqref="M350">
    <cfRule type="cellIs" dxfId="6122" priority="7566" operator="greaterThanOrEqual">
      <formula>60</formula>
    </cfRule>
  </conditionalFormatting>
  <conditionalFormatting sqref="M350">
    <cfRule type="cellIs" dxfId="6121" priority="7567" operator="greaterThanOrEqual">
      <formula>30</formula>
    </cfRule>
  </conditionalFormatting>
  <conditionalFormatting sqref="R350">
    <cfRule type="cellIs" dxfId="6120" priority="7568" operator="greaterThanOrEqual">
      <formula>600</formula>
    </cfRule>
  </conditionalFormatting>
  <conditionalFormatting sqref="R350">
    <cfRule type="cellIs" dxfId="6119" priority="7569" operator="greaterThanOrEqual">
      <formula>260</formula>
    </cfRule>
  </conditionalFormatting>
  <conditionalFormatting sqref="S350">
    <cfRule type="containsText" dxfId="6118" priority="7570" operator="containsText" text="&lt;">
      <formula>NOT(ISERROR(SEARCH(("&lt;"),(S350))))</formula>
    </cfRule>
  </conditionalFormatting>
  <conditionalFormatting sqref="S350">
    <cfRule type="containsText" dxfId="6117" priority="7571" operator="containsText" text="ND">
      <formula>NOT(ISERROR(SEARCH(("ND"),(S350))))</formula>
    </cfRule>
  </conditionalFormatting>
  <conditionalFormatting sqref="S350 N350">
    <cfRule type="cellIs" dxfId="6116" priority="7572" operator="greaterThanOrEqual">
      <formula>200</formula>
    </cfRule>
  </conditionalFormatting>
  <conditionalFormatting sqref="S350">
    <cfRule type="cellIs" dxfId="6115" priority="7573" operator="greaterThanOrEqual">
      <formula>130</formula>
    </cfRule>
  </conditionalFormatting>
  <conditionalFormatting sqref="N350">
    <cfRule type="cellIs" dxfId="6114" priority="7574" operator="greaterThanOrEqual">
      <formula>120</formula>
    </cfRule>
  </conditionalFormatting>
  <conditionalFormatting sqref="O350:Q350">
    <cfRule type="containsText" dxfId="6113" priority="7575" operator="containsText" text="ND">
      <formula>NOT(ISERROR(SEARCH(("ND"),(O350))))</formula>
    </cfRule>
  </conditionalFormatting>
  <conditionalFormatting sqref="O350">
    <cfRule type="cellIs" dxfId="6112" priority="7576" operator="greaterThanOrEqual">
      <formula>250</formula>
    </cfRule>
  </conditionalFormatting>
  <conditionalFormatting sqref="O350">
    <cfRule type="cellIs" dxfId="6111" priority="7577" operator="greaterThanOrEqual">
      <formula>175</formula>
    </cfRule>
  </conditionalFormatting>
  <conditionalFormatting sqref="P350">
    <cfRule type="cellIs" dxfId="6110" priority="7578" operator="greaterThanOrEqual">
      <formula>2.5</formula>
    </cfRule>
  </conditionalFormatting>
  <conditionalFormatting sqref="Q350">
    <cfRule type="cellIs" dxfId="6109" priority="7579" operator="greaterThanOrEqual">
      <formula>500</formula>
    </cfRule>
  </conditionalFormatting>
  <conditionalFormatting sqref="Q350">
    <cfRule type="cellIs" dxfId="6108" priority="7580" operator="greaterThanOrEqual">
      <formula>300</formula>
    </cfRule>
  </conditionalFormatting>
  <conditionalFormatting sqref="AS1439 AO1439">
    <cfRule type="cellIs" dxfId="6107" priority="7544" operator="greaterThanOrEqual">
      <formula>5</formula>
    </cfRule>
  </conditionalFormatting>
  <conditionalFormatting sqref="AO1439">
    <cfRule type="cellIs" dxfId="6106" priority="7545" operator="greaterThanOrEqual">
      <formula>2</formula>
    </cfRule>
  </conditionalFormatting>
  <conditionalFormatting sqref="AP1439">
    <cfRule type="cellIs" dxfId="6105" priority="7546" operator="greaterThanOrEqual">
      <formula>60</formula>
    </cfRule>
  </conditionalFormatting>
  <conditionalFormatting sqref="AP1439">
    <cfRule type="cellIs" dxfId="6104" priority="7547" operator="greaterThanOrEqual">
      <formula>30</formula>
    </cfRule>
  </conditionalFormatting>
  <conditionalFormatting sqref="AU1439">
    <cfRule type="cellIs" dxfId="6103" priority="7548" operator="greaterThanOrEqual">
      <formula>600</formula>
    </cfRule>
  </conditionalFormatting>
  <conditionalFormatting sqref="AU1439">
    <cfRule type="cellIs" dxfId="6102" priority="7549" operator="greaterThanOrEqual">
      <formula>260</formula>
    </cfRule>
  </conditionalFormatting>
  <conditionalFormatting sqref="AV1439">
    <cfRule type="containsText" dxfId="6101" priority="7550" operator="containsText" text="&lt;">
      <formula>NOT(ISERROR(SEARCH(("&lt;"),(AV1439))))</formula>
    </cfRule>
  </conditionalFormatting>
  <conditionalFormatting sqref="AV1439">
    <cfRule type="containsText" dxfId="6100" priority="7551" operator="containsText" text="ND">
      <formula>NOT(ISERROR(SEARCH(("ND"),(AV1439))))</formula>
    </cfRule>
  </conditionalFormatting>
  <conditionalFormatting sqref="AV1439 AQ1439">
    <cfRule type="cellIs" dxfId="6099" priority="7552" operator="greaterThanOrEqual">
      <formula>200</formula>
    </cfRule>
  </conditionalFormatting>
  <conditionalFormatting sqref="AV1439">
    <cfRule type="cellIs" dxfId="6098" priority="7553" operator="greaterThanOrEqual">
      <formula>130</formula>
    </cfRule>
  </conditionalFormatting>
  <conditionalFormatting sqref="AQ1439">
    <cfRule type="cellIs" dxfId="6097" priority="7554" operator="greaterThanOrEqual">
      <formula>120</formula>
    </cfRule>
  </conditionalFormatting>
  <conditionalFormatting sqref="AR1439:AT1439">
    <cfRule type="containsText" dxfId="6096" priority="7555" operator="containsText" text="ND">
      <formula>NOT(ISERROR(SEARCH(("ND"),(AR1439))))</formula>
    </cfRule>
  </conditionalFormatting>
  <conditionalFormatting sqref="AR1439">
    <cfRule type="cellIs" dxfId="6095" priority="7556" operator="greaterThanOrEqual">
      <formula>250</formula>
    </cfRule>
  </conditionalFormatting>
  <conditionalFormatting sqref="AR1439">
    <cfRule type="cellIs" dxfId="6094" priority="7557" operator="greaterThanOrEqual">
      <formula>175</formula>
    </cfRule>
  </conditionalFormatting>
  <conditionalFormatting sqref="AS1439">
    <cfRule type="cellIs" dxfId="6093" priority="7558" operator="greaterThanOrEqual">
      <formula>2.5</formula>
    </cfRule>
  </conditionalFormatting>
  <conditionalFormatting sqref="AT1439">
    <cfRule type="cellIs" dxfId="6092" priority="7559" operator="greaterThanOrEqual">
      <formula>500</formula>
    </cfRule>
  </conditionalFormatting>
  <conditionalFormatting sqref="AT1439">
    <cfRule type="cellIs" dxfId="6091" priority="7560" operator="greaterThanOrEqual">
      <formula>300</formula>
    </cfRule>
  </conditionalFormatting>
  <conditionalFormatting sqref="V370">
    <cfRule type="cellIs" dxfId="6090" priority="7520" operator="equal">
      <formula>"延長"</formula>
    </cfRule>
  </conditionalFormatting>
  <conditionalFormatting sqref="L370 P370">
    <cfRule type="cellIs" dxfId="6089" priority="7503" operator="greaterThanOrEqual">
      <formula>5</formula>
    </cfRule>
  </conditionalFormatting>
  <conditionalFormatting sqref="L370">
    <cfRule type="cellIs" dxfId="6088" priority="7504" operator="greaterThanOrEqual">
      <formula>2</formula>
    </cfRule>
  </conditionalFormatting>
  <conditionalFormatting sqref="M370">
    <cfRule type="cellIs" dxfId="6087" priority="7505" operator="greaterThanOrEqual">
      <formula>60</formula>
    </cfRule>
  </conditionalFormatting>
  <conditionalFormatting sqref="M370">
    <cfRule type="cellIs" dxfId="6086" priority="7506" operator="greaterThanOrEqual">
      <formula>30</formula>
    </cfRule>
  </conditionalFormatting>
  <conditionalFormatting sqref="R370">
    <cfRule type="cellIs" dxfId="6085" priority="7507" operator="greaterThanOrEqual">
      <formula>600</formula>
    </cfRule>
  </conditionalFormatting>
  <conditionalFormatting sqref="R370">
    <cfRule type="cellIs" dxfId="6084" priority="7508" operator="greaterThanOrEqual">
      <formula>260</formula>
    </cfRule>
  </conditionalFormatting>
  <conditionalFormatting sqref="N370 S370">
    <cfRule type="cellIs" dxfId="6083" priority="7511" operator="greaterThanOrEqual">
      <formula>200</formula>
    </cfRule>
  </conditionalFormatting>
  <conditionalFormatting sqref="S370">
    <cfRule type="cellIs" dxfId="6082" priority="7512" operator="greaterThanOrEqual">
      <formula>130</formula>
    </cfRule>
  </conditionalFormatting>
  <conditionalFormatting sqref="N370">
    <cfRule type="cellIs" dxfId="6081" priority="7513" operator="greaterThanOrEqual">
      <formula>120</formula>
    </cfRule>
  </conditionalFormatting>
  <conditionalFormatting sqref="O370">
    <cfRule type="cellIs" dxfId="6080" priority="7515" operator="greaterThanOrEqual">
      <formula>250</formula>
    </cfRule>
  </conditionalFormatting>
  <conditionalFormatting sqref="O370">
    <cfRule type="cellIs" dxfId="6079" priority="7516" operator="greaterThanOrEqual">
      <formula>175</formula>
    </cfRule>
  </conditionalFormatting>
  <conditionalFormatting sqref="P370">
    <cfRule type="cellIs" dxfId="6078" priority="7517" operator="greaterThanOrEqual">
      <formula>2.5</formula>
    </cfRule>
  </conditionalFormatting>
  <conditionalFormatting sqref="Q370">
    <cfRule type="cellIs" dxfId="6077" priority="7518" operator="greaterThanOrEqual">
      <formula>500</formula>
    </cfRule>
  </conditionalFormatting>
  <conditionalFormatting sqref="Q370">
    <cfRule type="cellIs" dxfId="6076" priority="7519" operator="greaterThanOrEqual">
      <formula>300</formula>
    </cfRule>
  </conditionalFormatting>
  <conditionalFormatting sqref="V370">
    <cfRule type="cellIs" dxfId="6075" priority="7499" operator="equal">
      <formula>"退場"</formula>
    </cfRule>
    <cfRule type="cellIs" dxfId="6074" priority="7500" operator="equal">
      <formula>"持續"</formula>
    </cfRule>
    <cfRule type="cellIs" dxfId="6073" priority="7501" operator="equal">
      <formula>"延長"</formula>
    </cfRule>
    <cfRule type="cellIs" dxfId="6072" priority="7502" operator="equal">
      <formula>"尚未調查"</formula>
    </cfRule>
  </conditionalFormatting>
  <conditionalFormatting sqref="W370">
    <cfRule type="cellIs" dxfId="6071" priority="7521" operator="lessThan">
      <formula>109</formula>
    </cfRule>
  </conditionalFormatting>
  <conditionalFormatting sqref="X370:AK370">
    <cfRule type="cellIs" dxfId="6070" priority="7489" operator="equal">
      <formula>"管制"</formula>
    </cfRule>
    <cfRule type="cellIs" dxfId="6069" priority="7490" operator="equal">
      <formula>"正常"</formula>
    </cfRule>
    <cfRule type="cellIs" dxfId="6068" priority="7491" operator="equal">
      <formula>"監測"</formula>
    </cfRule>
  </conditionalFormatting>
  <conditionalFormatting sqref="S370">
    <cfRule type="containsText" dxfId="6067" priority="7509" operator="containsText" text="&lt;">
      <formula>NOT(ISERROR(SEARCH(("&lt;"),(S370))))</formula>
    </cfRule>
  </conditionalFormatting>
  <conditionalFormatting sqref="S370">
    <cfRule type="containsText" dxfId="6066" priority="7510" operator="containsText" text="ND">
      <formula>NOT(ISERROR(SEARCH(("ND"),(S370))))</formula>
    </cfRule>
  </conditionalFormatting>
  <conditionalFormatting sqref="O370:Q370">
    <cfRule type="containsText" dxfId="6065" priority="7514" operator="containsText" text="ND">
      <formula>NOT(ISERROR(SEARCH(("ND"),(O370))))</formula>
    </cfRule>
  </conditionalFormatting>
  <conditionalFormatting sqref="W370">
    <cfRule type="containsBlanks" dxfId="6064" priority="7492">
      <formula>LEN(TRIM(W370))=0</formula>
    </cfRule>
  </conditionalFormatting>
  <conditionalFormatting sqref="P327 L327">
    <cfRule type="cellIs" dxfId="6063" priority="7468" operator="greaterThanOrEqual">
      <formula>5</formula>
    </cfRule>
  </conditionalFormatting>
  <conditionalFormatting sqref="L327">
    <cfRule type="cellIs" dxfId="6062" priority="7469" operator="greaterThanOrEqual">
      <formula>2</formula>
    </cfRule>
  </conditionalFormatting>
  <conditionalFormatting sqref="M327">
    <cfRule type="cellIs" dxfId="6061" priority="7470" operator="greaterThanOrEqual">
      <formula>60</formula>
    </cfRule>
  </conditionalFormatting>
  <conditionalFormatting sqref="M327">
    <cfRule type="cellIs" dxfId="6060" priority="7471" operator="greaterThanOrEqual">
      <formula>30</formula>
    </cfRule>
  </conditionalFormatting>
  <conditionalFormatting sqref="R327">
    <cfRule type="cellIs" dxfId="6059" priority="7472" operator="greaterThanOrEqual">
      <formula>600</formula>
    </cfRule>
  </conditionalFormatting>
  <conditionalFormatting sqref="R327">
    <cfRule type="cellIs" dxfId="6058" priority="7473" operator="greaterThanOrEqual">
      <formula>260</formula>
    </cfRule>
  </conditionalFormatting>
  <conditionalFormatting sqref="S327">
    <cfRule type="containsText" dxfId="6057" priority="7474" operator="containsText" text="&lt;">
      <formula>NOT(ISERROR(SEARCH(("&lt;"),(S327))))</formula>
    </cfRule>
  </conditionalFormatting>
  <conditionalFormatting sqref="S327">
    <cfRule type="containsText" dxfId="6056" priority="7475" operator="containsText" text="ND">
      <formula>NOT(ISERROR(SEARCH(("ND"),(S327))))</formula>
    </cfRule>
  </conditionalFormatting>
  <conditionalFormatting sqref="N327 S327">
    <cfRule type="cellIs" dxfId="6055" priority="7476" operator="greaterThanOrEqual">
      <formula>200</formula>
    </cfRule>
  </conditionalFormatting>
  <conditionalFormatting sqref="S327">
    <cfRule type="cellIs" dxfId="6054" priority="7477" operator="greaterThanOrEqual">
      <formula>130</formula>
    </cfRule>
  </conditionalFormatting>
  <conditionalFormatting sqref="N327">
    <cfRule type="cellIs" dxfId="6053" priority="7478" operator="greaterThanOrEqual">
      <formula>120</formula>
    </cfRule>
  </conditionalFormatting>
  <conditionalFormatting sqref="O327:Q327">
    <cfRule type="containsText" dxfId="6052" priority="7479" operator="containsText" text="ND">
      <formula>NOT(ISERROR(SEARCH(("ND"),(O327))))</formula>
    </cfRule>
  </conditionalFormatting>
  <conditionalFormatting sqref="O327">
    <cfRule type="cellIs" dxfId="6051" priority="7480" operator="greaterThanOrEqual">
      <formula>250</formula>
    </cfRule>
  </conditionalFormatting>
  <conditionalFormatting sqref="O327">
    <cfRule type="cellIs" dxfId="6050" priority="7481" operator="greaterThanOrEqual">
      <formula>175</formula>
    </cfRule>
  </conditionalFormatting>
  <conditionalFormatting sqref="P327">
    <cfRule type="cellIs" dxfId="6049" priority="7482" operator="greaterThanOrEqual">
      <formula>2.5</formula>
    </cfRule>
  </conditionalFormatting>
  <conditionalFormatting sqref="Q327">
    <cfRule type="cellIs" dxfId="6048" priority="7483" operator="greaterThanOrEqual">
      <formula>500</formula>
    </cfRule>
  </conditionalFormatting>
  <conditionalFormatting sqref="Q327">
    <cfRule type="cellIs" dxfId="6047" priority="7484" operator="greaterThanOrEqual">
      <formula>300</formula>
    </cfRule>
  </conditionalFormatting>
  <conditionalFormatting sqref="W327">
    <cfRule type="containsBlanks" dxfId="6046" priority="7458">
      <formula>LEN(TRIM(W327))=0</formula>
    </cfRule>
    <cfRule type="cellIs" dxfId="6045" priority="7485" operator="lessThan">
      <formula>109</formula>
    </cfRule>
  </conditionalFormatting>
  <conditionalFormatting sqref="X327:AI327">
    <cfRule type="cellIs" dxfId="6044" priority="7455" operator="equal">
      <formula>"管制"</formula>
    </cfRule>
    <cfRule type="cellIs" dxfId="6043" priority="7456" operator="equal">
      <formula>"正常"</formula>
    </cfRule>
    <cfRule type="cellIs" dxfId="6042" priority="7457" operator="equal">
      <formula>"監測"</formula>
    </cfRule>
  </conditionalFormatting>
  <conditionalFormatting sqref="V327">
    <cfRule type="cellIs" dxfId="6041" priority="7454" operator="equal">
      <formula>"延長"</formula>
    </cfRule>
  </conditionalFormatting>
  <conditionalFormatting sqref="V327">
    <cfRule type="cellIs" dxfId="6040" priority="7450" operator="equal">
      <formula>"退場"</formula>
    </cfRule>
    <cfRule type="cellIs" dxfId="6039" priority="7451" operator="equal">
      <formula>"持續"</formula>
    </cfRule>
    <cfRule type="cellIs" dxfId="6038" priority="7452" operator="equal">
      <formula>"延長"</formula>
    </cfRule>
    <cfRule type="cellIs" dxfId="6037" priority="7453" operator="equal">
      <formula>"尚未調查"</formula>
    </cfRule>
  </conditionalFormatting>
  <conditionalFormatting sqref="AJ327:AK327">
    <cfRule type="cellIs" dxfId="6036" priority="7447" operator="equal">
      <formula>"管制"</formula>
    </cfRule>
    <cfRule type="cellIs" dxfId="6035" priority="7448" operator="equal">
      <formula>"正常"</formula>
    </cfRule>
    <cfRule type="cellIs" dxfId="6034" priority="7449" operator="equal">
      <formula>"監測"</formula>
    </cfRule>
  </conditionalFormatting>
  <conditionalFormatting sqref="AS371 AO371">
    <cfRule type="cellIs" dxfId="6033" priority="7427" operator="greaterThanOrEqual">
      <formula>5</formula>
    </cfRule>
  </conditionalFormatting>
  <conditionalFormatting sqref="AO371">
    <cfRule type="cellIs" dxfId="6032" priority="7428" operator="greaterThanOrEqual">
      <formula>2</formula>
    </cfRule>
  </conditionalFormatting>
  <conditionalFormatting sqref="AP371">
    <cfRule type="cellIs" dxfId="6031" priority="7429" operator="greaterThanOrEqual">
      <formula>60</formula>
    </cfRule>
  </conditionalFormatting>
  <conditionalFormatting sqref="AP371">
    <cfRule type="cellIs" dxfId="6030" priority="7430" operator="greaterThanOrEqual">
      <formula>30</formula>
    </cfRule>
  </conditionalFormatting>
  <conditionalFormatting sqref="AU371">
    <cfRule type="cellIs" dxfId="6029" priority="7431" operator="greaterThanOrEqual">
      <formula>600</formula>
    </cfRule>
  </conditionalFormatting>
  <conditionalFormatting sqref="AU371">
    <cfRule type="cellIs" dxfId="6028" priority="7432" operator="greaterThanOrEqual">
      <formula>260</formula>
    </cfRule>
  </conditionalFormatting>
  <conditionalFormatting sqref="AV371">
    <cfRule type="containsText" dxfId="6027" priority="7433" operator="containsText" text="&lt;">
      <formula>NOT(ISERROR(SEARCH(("&lt;"),(AV371))))</formula>
    </cfRule>
  </conditionalFormatting>
  <conditionalFormatting sqref="AV371">
    <cfRule type="containsText" dxfId="6026" priority="7434" operator="containsText" text="ND">
      <formula>NOT(ISERROR(SEARCH(("ND"),(AV371))))</formula>
    </cfRule>
  </conditionalFormatting>
  <conditionalFormatting sqref="AV371 AQ371">
    <cfRule type="cellIs" dxfId="6025" priority="7435" operator="greaterThanOrEqual">
      <formula>200</formula>
    </cfRule>
  </conditionalFormatting>
  <conditionalFormatting sqref="AV371">
    <cfRule type="cellIs" dxfId="6024" priority="7436" operator="greaterThanOrEqual">
      <formula>130</formula>
    </cfRule>
  </conditionalFormatting>
  <conditionalFormatting sqref="AQ371">
    <cfRule type="cellIs" dxfId="6023" priority="7437" operator="greaterThanOrEqual">
      <formula>120</formula>
    </cfRule>
  </conditionalFormatting>
  <conditionalFormatting sqref="AR371:AT371">
    <cfRule type="containsText" dxfId="6022" priority="7438" operator="containsText" text="ND">
      <formula>NOT(ISERROR(SEARCH(("ND"),(AR371))))</formula>
    </cfRule>
  </conditionalFormatting>
  <conditionalFormatting sqref="AR371">
    <cfRule type="cellIs" dxfId="6021" priority="7439" operator="greaterThanOrEqual">
      <formula>250</formula>
    </cfRule>
  </conditionalFormatting>
  <conditionalFormatting sqref="AR371">
    <cfRule type="cellIs" dxfId="6020" priority="7440" operator="greaterThanOrEqual">
      <formula>175</formula>
    </cfRule>
  </conditionalFormatting>
  <conditionalFormatting sqref="AS371">
    <cfRule type="cellIs" dxfId="6019" priority="7441" operator="greaterThanOrEqual">
      <formula>2.5</formula>
    </cfRule>
  </conditionalFormatting>
  <conditionalFormatting sqref="AT371">
    <cfRule type="cellIs" dxfId="6018" priority="7442" operator="greaterThanOrEqual">
      <formula>500</formula>
    </cfRule>
  </conditionalFormatting>
  <conditionalFormatting sqref="AT371">
    <cfRule type="cellIs" dxfId="6017" priority="7443" operator="greaterThanOrEqual">
      <formula>300</formula>
    </cfRule>
  </conditionalFormatting>
  <conditionalFormatting sqref="V1152:V1154">
    <cfRule type="cellIs" dxfId="6016" priority="7420" operator="equal">
      <formula>"退場"</formula>
    </cfRule>
    <cfRule type="cellIs" dxfId="6015" priority="7421" operator="equal">
      <formula>"持續"</formula>
    </cfRule>
    <cfRule type="cellIs" dxfId="6014" priority="7422" operator="equal">
      <formula>"延長"</formula>
    </cfRule>
    <cfRule type="cellIs" dxfId="6013" priority="7423" operator="equal">
      <formula>"尚未調查"</formula>
    </cfRule>
  </conditionalFormatting>
  <conditionalFormatting sqref="AS1152 AO1152">
    <cfRule type="cellIs" dxfId="6012" priority="7400" operator="greaterThanOrEqual">
      <formula>5</formula>
    </cfRule>
  </conditionalFormatting>
  <conditionalFormatting sqref="AO1152">
    <cfRule type="cellIs" dxfId="6011" priority="7401" operator="greaterThanOrEqual">
      <formula>2</formula>
    </cfRule>
  </conditionalFormatting>
  <conditionalFormatting sqref="AP1152">
    <cfRule type="cellIs" dxfId="6010" priority="7402" operator="greaterThanOrEqual">
      <formula>60</formula>
    </cfRule>
  </conditionalFormatting>
  <conditionalFormatting sqref="AP1152">
    <cfRule type="cellIs" dxfId="6009" priority="7403" operator="greaterThanOrEqual">
      <formula>30</formula>
    </cfRule>
  </conditionalFormatting>
  <conditionalFormatting sqref="AU1152">
    <cfRule type="cellIs" dxfId="6008" priority="7404" operator="greaterThanOrEqual">
      <formula>600</formula>
    </cfRule>
  </conditionalFormatting>
  <conditionalFormatting sqref="AU1152">
    <cfRule type="cellIs" dxfId="6007" priority="7405" operator="greaterThanOrEqual">
      <formula>260</formula>
    </cfRule>
  </conditionalFormatting>
  <conditionalFormatting sqref="AV1152">
    <cfRule type="containsText" dxfId="6006" priority="7406" operator="containsText" text="&lt;">
      <formula>NOT(ISERROR(SEARCH(("&lt;"),(AV1152))))</formula>
    </cfRule>
  </conditionalFormatting>
  <conditionalFormatting sqref="AV1152">
    <cfRule type="containsText" dxfId="6005" priority="7407" operator="containsText" text="ND">
      <formula>NOT(ISERROR(SEARCH(("ND"),(AV1152))))</formula>
    </cfRule>
  </conditionalFormatting>
  <conditionalFormatting sqref="AV1152 AQ1152">
    <cfRule type="cellIs" dxfId="6004" priority="7408" operator="greaterThanOrEqual">
      <formula>200</formula>
    </cfRule>
  </conditionalFormatting>
  <conditionalFormatting sqref="AV1152">
    <cfRule type="cellIs" dxfId="6003" priority="7409" operator="greaterThanOrEqual">
      <formula>130</formula>
    </cfRule>
  </conditionalFormatting>
  <conditionalFormatting sqref="AQ1152">
    <cfRule type="cellIs" dxfId="6002" priority="7410" operator="greaterThanOrEqual">
      <formula>120</formula>
    </cfRule>
  </conditionalFormatting>
  <conditionalFormatting sqref="AR1152:AT1152">
    <cfRule type="containsText" dxfId="6001" priority="7411" operator="containsText" text="ND">
      <formula>NOT(ISERROR(SEARCH(("ND"),(AR1152))))</formula>
    </cfRule>
  </conditionalFormatting>
  <conditionalFormatting sqref="AR1152">
    <cfRule type="cellIs" dxfId="6000" priority="7412" operator="greaterThanOrEqual">
      <formula>250</formula>
    </cfRule>
  </conditionalFormatting>
  <conditionalFormatting sqref="AR1152">
    <cfRule type="cellIs" dxfId="5999" priority="7413" operator="greaterThanOrEqual">
      <formula>175</formula>
    </cfRule>
  </conditionalFormatting>
  <conditionalFormatting sqref="AS1152">
    <cfRule type="cellIs" dxfId="5998" priority="7414" operator="greaterThanOrEqual">
      <formula>2.5</formula>
    </cfRule>
  </conditionalFormatting>
  <conditionalFormatting sqref="AT1152">
    <cfRule type="cellIs" dxfId="5997" priority="7415" operator="greaterThanOrEqual">
      <formula>500</formula>
    </cfRule>
  </conditionalFormatting>
  <conditionalFormatting sqref="AT1152">
    <cfRule type="cellIs" dxfId="5996" priority="7416" operator="greaterThanOrEqual">
      <formula>300</formula>
    </cfRule>
  </conditionalFormatting>
  <conditionalFormatting sqref="AO372 AS372">
    <cfRule type="cellIs" dxfId="5995" priority="7380" operator="greaterThanOrEqual">
      <formula>5</formula>
    </cfRule>
  </conditionalFormatting>
  <conditionalFormatting sqref="AO372">
    <cfRule type="cellIs" dxfId="5994" priority="7381" operator="greaterThanOrEqual">
      <formula>2</formula>
    </cfRule>
  </conditionalFormatting>
  <conditionalFormatting sqref="AP372">
    <cfRule type="cellIs" dxfId="5993" priority="7382" operator="greaterThanOrEqual">
      <formula>60</formula>
    </cfRule>
  </conditionalFormatting>
  <conditionalFormatting sqref="AP372">
    <cfRule type="cellIs" dxfId="5992" priority="7383" operator="greaterThanOrEqual">
      <formula>30</formula>
    </cfRule>
  </conditionalFormatting>
  <conditionalFormatting sqref="AU372">
    <cfRule type="cellIs" dxfId="5991" priority="7384" operator="greaterThanOrEqual">
      <formula>600</formula>
    </cfRule>
  </conditionalFormatting>
  <conditionalFormatting sqref="AU372">
    <cfRule type="cellIs" dxfId="5990" priority="7385" operator="greaterThanOrEqual">
      <formula>260</formula>
    </cfRule>
  </conditionalFormatting>
  <conditionalFormatting sqref="AV372">
    <cfRule type="containsText" dxfId="5989" priority="7386" operator="containsText" text="&lt;">
      <formula>NOT(ISERROR(SEARCH(("&lt;"),(AV372))))</formula>
    </cfRule>
  </conditionalFormatting>
  <conditionalFormatting sqref="AV372">
    <cfRule type="containsText" dxfId="5988" priority="7387" operator="containsText" text="ND">
      <formula>NOT(ISERROR(SEARCH(("ND"),(AV372))))</formula>
    </cfRule>
  </conditionalFormatting>
  <conditionalFormatting sqref="AQ372 AV372">
    <cfRule type="cellIs" dxfId="5987" priority="7388" operator="greaterThanOrEqual">
      <formula>200</formula>
    </cfRule>
  </conditionalFormatting>
  <conditionalFormatting sqref="AV372">
    <cfRule type="cellIs" dxfId="5986" priority="7389" operator="greaterThanOrEqual">
      <formula>130</formula>
    </cfRule>
  </conditionalFormatting>
  <conditionalFormatting sqref="AQ372">
    <cfRule type="cellIs" dxfId="5985" priority="7390" operator="greaterThanOrEqual">
      <formula>120</formula>
    </cfRule>
  </conditionalFormatting>
  <conditionalFormatting sqref="AR372:AT372">
    <cfRule type="containsText" dxfId="5984" priority="7391" operator="containsText" text="ND">
      <formula>NOT(ISERROR(SEARCH(("ND"),(AR372))))</formula>
    </cfRule>
  </conditionalFormatting>
  <conditionalFormatting sqref="AR372">
    <cfRule type="cellIs" dxfId="5983" priority="7392" operator="greaterThanOrEqual">
      <formula>250</formula>
    </cfRule>
  </conditionalFormatting>
  <conditionalFormatting sqref="AR372">
    <cfRule type="cellIs" dxfId="5982" priority="7393" operator="greaterThanOrEqual">
      <formula>175</formula>
    </cfRule>
  </conditionalFormatting>
  <conditionalFormatting sqref="AS372">
    <cfRule type="cellIs" dxfId="5981" priority="7394" operator="greaterThanOrEqual">
      <formula>2.5</formula>
    </cfRule>
  </conditionalFormatting>
  <conditionalFormatting sqref="AT372">
    <cfRule type="cellIs" dxfId="5980" priority="7395" operator="greaterThanOrEqual">
      <formula>500</formula>
    </cfRule>
  </conditionalFormatting>
  <conditionalFormatting sqref="AT372">
    <cfRule type="cellIs" dxfId="5979" priority="7396" operator="greaterThanOrEqual">
      <formula>300</formula>
    </cfRule>
  </conditionalFormatting>
  <conditionalFormatting sqref="AS1442 AO1442">
    <cfRule type="cellIs" dxfId="5978" priority="7354" operator="greaterThanOrEqual">
      <formula>5</formula>
    </cfRule>
  </conditionalFormatting>
  <conditionalFormatting sqref="AO1442">
    <cfRule type="cellIs" dxfId="5977" priority="7355" operator="greaterThanOrEqual">
      <formula>2</formula>
    </cfRule>
  </conditionalFormatting>
  <conditionalFormatting sqref="AP1442">
    <cfRule type="cellIs" dxfId="5976" priority="7356" operator="greaterThanOrEqual">
      <formula>60</formula>
    </cfRule>
  </conditionalFormatting>
  <conditionalFormatting sqref="AP1442">
    <cfRule type="cellIs" dxfId="5975" priority="7357" operator="greaterThanOrEqual">
      <formula>30</formula>
    </cfRule>
  </conditionalFormatting>
  <conditionalFormatting sqref="AU1442">
    <cfRule type="cellIs" dxfId="5974" priority="7358" operator="greaterThanOrEqual">
      <formula>600</formula>
    </cfRule>
  </conditionalFormatting>
  <conditionalFormatting sqref="AU1442">
    <cfRule type="cellIs" dxfId="5973" priority="7359" operator="greaterThanOrEqual">
      <formula>260</formula>
    </cfRule>
  </conditionalFormatting>
  <conditionalFormatting sqref="AV1442">
    <cfRule type="containsText" dxfId="5972" priority="7360" operator="containsText" text="&lt;">
      <formula>NOT(ISERROR(SEARCH(("&lt;"),(AV1442))))</formula>
    </cfRule>
  </conditionalFormatting>
  <conditionalFormatting sqref="AV1442">
    <cfRule type="containsText" dxfId="5971" priority="7361" operator="containsText" text="ND">
      <formula>NOT(ISERROR(SEARCH(("ND"),(AV1442))))</formula>
    </cfRule>
  </conditionalFormatting>
  <conditionalFormatting sqref="AV1442 AQ1442">
    <cfRule type="cellIs" dxfId="5970" priority="7362" operator="greaterThanOrEqual">
      <formula>200</formula>
    </cfRule>
  </conditionalFormatting>
  <conditionalFormatting sqref="AV1442">
    <cfRule type="cellIs" dxfId="5969" priority="7363" operator="greaterThanOrEqual">
      <formula>130</formula>
    </cfRule>
  </conditionalFormatting>
  <conditionalFormatting sqref="AQ1442">
    <cfRule type="cellIs" dxfId="5968" priority="7364" operator="greaterThanOrEqual">
      <formula>120</formula>
    </cfRule>
  </conditionalFormatting>
  <conditionalFormatting sqref="AR1442:AT1442">
    <cfRule type="containsText" dxfId="5967" priority="7365" operator="containsText" text="ND">
      <formula>NOT(ISERROR(SEARCH(("ND"),(AR1442))))</formula>
    </cfRule>
  </conditionalFormatting>
  <conditionalFormatting sqref="AR1442">
    <cfRule type="cellIs" dxfId="5966" priority="7366" operator="greaterThanOrEqual">
      <formula>250</formula>
    </cfRule>
  </conditionalFormatting>
  <conditionalFormatting sqref="AR1442">
    <cfRule type="cellIs" dxfId="5965" priority="7367" operator="greaterThanOrEqual">
      <formula>175</formula>
    </cfRule>
  </conditionalFormatting>
  <conditionalFormatting sqref="AS1442">
    <cfRule type="cellIs" dxfId="5964" priority="7368" operator="greaterThanOrEqual">
      <formula>2.5</formula>
    </cfRule>
  </conditionalFormatting>
  <conditionalFormatting sqref="AT1442">
    <cfRule type="cellIs" dxfId="5963" priority="7369" operator="greaterThanOrEqual">
      <formula>500</formula>
    </cfRule>
  </conditionalFormatting>
  <conditionalFormatting sqref="AT1442">
    <cfRule type="cellIs" dxfId="5962" priority="7370" operator="greaterThanOrEqual">
      <formula>300</formula>
    </cfRule>
  </conditionalFormatting>
  <conditionalFormatting sqref="L1442 P1442">
    <cfRule type="cellIs" dxfId="5961" priority="7337" operator="greaterThanOrEqual">
      <formula>5</formula>
    </cfRule>
  </conditionalFormatting>
  <conditionalFormatting sqref="L1442">
    <cfRule type="cellIs" dxfId="5960" priority="7338" operator="greaterThanOrEqual">
      <formula>2</formula>
    </cfRule>
  </conditionalFormatting>
  <conditionalFormatting sqref="M1442">
    <cfRule type="cellIs" dxfId="5959" priority="7339" operator="greaterThanOrEqual">
      <formula>60</formula>
    </cfRule>
  </conditionalFormatting>
  <conditionalFormatting sqref="M1442">
    <cfRule type="cellIs" dxfId="5958" priority="7340" operator="greaterThanOrEqual">
      <formula>30</formula>
    </cfRule>
  </conditionalFormatting>
  <conditionalFormatting sqref="R1442">
    <cfRule type="cellIs" dxfId="5957" priority="7341" operator="greaterThanOrEqual">
      <formula>600</formula>
    </cfRule>
  </conditionalFormatting>
  <conditionalFormatting sqref="R1442">
    <cfRule type="cellIs" dxfId="5956" priority="7342" operator="greaterThanOrEqual">
      <formula>260</formula>
    </cfRule>
  </conditionalFormatting>
  <conditionalFormatting sqref="S1442">
    <cfRule type="containsText" dxfId="5955" priority="7343" operator="containsText" text="&lt;">
      <formula>NOT(ISERROR(SEARCH(("&lt;"),(S1442))))</formula>
    </cfRule>
  </conditionalFormatting>
  <conditionalFormatting sqref="S1442">
    <cfRule type="containsText" dxfId="5954" priority="7344" operator="containsText" text="ND">
      <formula>NOT(ISERROR(SEARCH(("ND"),(S1442))))</formula>
    </cfRule>
  </conditionalFormatting>
  <conditionalFormatting sqref="N1442 S1442">
    <cfRule type="cellIs" dxfId="5953" priority="7345" operator="greaterThanOrEqual">
      <formula>200</formula>
    </cfRule>
  </conditionalFormatting>
  <conditionalFormatting sqref="S1442">
    <cfRule type="cellIs" dxfId="5952" priority="7346" operator="greaterThanOrEqual">
      <formula>130</formula>
    </cfRule>
  </conditionalFormatting>
  <conditionalFormatting sqref="N1442">
    <cfRule type="cellIs" dxfId="5951" priority="7347" operator="greaterThanOrEqual">
      <formula>120</formula>
    </cfRule>
  </conditionalFormatting>
  <conditionalFormatting sqref="O1442:Q1442">
    <cfRule type="containsText" dxfId="5950" priority="7348" operator="containsText" text="ND">
      <formula>NOT(ISERROR(SEARCH(("ND"),(O1442))))</formula>
    </cfRule>
  </conditionalFormatting>
  <conditionalFormatting sqref="O1442">
    <cfRule type="cellIs" dxfId="5949" priority="7349" operator="greaterThanOrEqual">
      <formula>250</formula>
    </cfRule>
  </conditionalFormatting>
  <conditionalFormatting sqref="O1442">
    <cfRule type="cellIs" dxfId="5948" priority="7350" operator="greaterThanOrEqual">
      <formula>175</formula>
    </cfRule>
  </conditionalFormatting>
  <conditionalFormatting sqref="P1442">
    <cfRule type="cellIs" dxfId="5947" priority="7351" operator="greaterThanOrEqual">
      <formula>2.5</formula>
    </cfRule>
  </conditionalFormatting>
  <conditionalFormatting sqref="Q1442">
    <cfRule type="cellIs" dxfId="5946" priority="7352" operator="greaterThanOrEqual">
      <formula>500</formula>
    </cfRule>
  </conditionalFormatting>
  <conditionalFormatting sqref="Q1442">
    <cfRule type="cellIs" dxfId="5945" priority="7353" operator="greaterThanOrEqual">
      <formula>300</formula>
    </cfRule>
  </conditionalFormatting>
  <conditionalFormatting sqref="AS406 AO406">
    <cfRule type="cellIs" dxfId="5944" priority="7314" operator="greaterThanOrEqual">
      <formula>5</formula>
    </cfRule>
  </conditionalFormatting>
  <conditionalFormatting sqref="AO406">
    <cfRule type="cellIs" dxfId="5943" priority="7315" operator="greaterThanOrEqual">
      <formula>2</formula>
    </cfRule>
  </conditionalFormatting>
  <conditionalFormatting sqref="AP406">
    <cfRule type="cellIs" dxfId="5942" priority="7316" operator="greaterThanOrEqual">
      <formula>60</formula>
    </cfRule>
  </conditionalFormatting>
  <conditionalFormatting sqref="AP406">
    <cfRule type="cellIs" dxfId="5941" priority="7317" operator="greaterThanOrEqual">
      <formula>30</formula>
    </cfRule>
  </conditionalFormatting>
  <conditionalFormatting sqref="AU406">
    <cfRule type="cellIs" dxfId="5940" priority="7318" operator="greaterThanOrEqual">
      <formula>600</formula>
    </cfRule>
  </conditionalFormatting>
  <conditionalFormatting sqref="AU406">
    <cfRule type="cellIs" dxfId="5939" priority="7319" operator="greaterThanOrEqual">
      <formula>260</formula>
    </cfRule>
  </conditionalFormatting>
  <conditionalFormatting sqref="AV406">
    <cfRule type="containsText" dxfId="5938" priority="7320" operator="containsText" text="&lt;">
      <formula>NOT(ISERROR(SEARCH(("&lt;"),(AV406))))</formula>
    </cfRule>
  </conditionalFormatting>
  <conditionalFormatting sqref="AV406">
    <cfRule type="containsText" dxfId="5937" priority="7321" operator="containsText" text="ND">
      <formula>NOT(ISERROR(SEARCH(("ND"),(AV406))))</formula>
    </cfRule>
  </conditionalFormatting>
  <conditionalFormatting sqref="AV406 AQ406">
    <cfRule type="cellIs" dxfId="5936" priority="7322" operator="greaterThanOrEqual">
      <formula>200</formula>
    </cfRule>
  </conditionalFormatting>
  <conditionalFormatting sqref="AV406">
    <cfRule type="cellIs" dxfId="5935" priority="7323" operator="greaterThanOrEqual">
      <formula>130</formula>
    </cfRule>
  </conditionalFormatting>
  <conditionalFormatting sqref="AQ406">
    <cfRule type="cellIs" dxfId="5934" priority="7324" operator="greaterThanOrEqual">
      <formula>120</formula>
    </cfRule>
  </conditionalFormatting>
  <conditionalFormatting sqref="AR406:AT406">
    <cfRule type="containsText" dxfId="5933" priority="7325" operator="containsText" text="ND">
      <formula>NOT(ISERROR(SEARCH(("ND"),(AR406))))</formula>
    </cfRule>
  </conditionalFormatting>
  <conditionalFormatting sqref="AR406">
    <cfRule type="cellIs" dxfId="5932" priority="7326" operator="greaterThanOrEqual">
      <formula>250</formula>
    </cfRule>
  </conditionalFormatting>
  <conditionalFormatting sqref="AR406">
    <cfRule type="cellIs" dxfId="5931" priority="7327" operator="greaterThanOrEqual">
      <formula>175</formula>
    </cfRule>
  </conditionalFormatting>
  <conditionalFormatting sqref="AS406">
    <cfRule type="cellIs" dxfId="5930" priority="7328" operator="greaterThanOrEqual">
      <formula>2.5</formula>
    </cfRule>
  </conditionalFormatting>
  <conditionalFormatting sqref="AT406">
    <cfRule type="cellIs" dxfId="5929" priority="7329" operator="greaterThanOrEqual">
      <formula>500</formula>
    </cfRule>
  </conditionalFormatting>
  <conditionalFormatting sqref="AT406">
    <cfRule type="cellIs" dxfId="5928" priority="7330" operator="greaterThanOrEqual">
      <formula>300</formula>
    </cfRule>
  </conditionalFormatting>
  <conditionalFormatting sqref="V1452:V1464">
    <cfRule type="cellIs" dxfId="5927" priority="7281" operator="equal">
      <formula>"退場"</formula>
    </cfRule>
    <cfRule type="cellIs" dxfId="5926" priority="7282" operator="equal">
      <formula>"持續"</formula>
    </cfRule>
    <cfRule type="cellIs" dxfId="5925" priority="7283" operator="equal">
      <formula>"延長"</formula>
    </cfRule>
    <cfRule type="cellIs" dxfId="5924" priority="7284" operator="equal">
      <formula>"尚未調查"</formula>
    </cfRule>
  </conditionalFormatting>
  <conditionalFormatting sqref="AS1461 AO1461">
    <cfRule type="cellIs" dxfId="5923" priority="7264" operator="greaterThanOrEqual">
      <formula>5</formula>
    </cfRule>
  </conditionalFormatting>
  <conditionalFormatting sqref="AO1461">
    <cfRule type="cellIs" dxfId="5922" priority="7265" operator="greaterThanOrEqual">
      <formula>2</formula>
    </cfRule>
  </conditionalFormatting>
  <conditionalFormatting sqref="AP1461">
    <cfRule type="cellIs" dxfId="5921" priority="7266" operator="greaterThanOrEqual">
      <formula>60</formula>
    </cfRule>
  </conditionalFormatting>
  <conditionalFormatting sqref="AP1461">
    <cfRule type="cellIs" dxfId="5920" priority="7267" operator="greaterThanOrEqual">
      <formula>30</formula>
    </cfRule>
  </conditionalFormatting>
  <conditionalFormatting sqref="AU1461">
    <cfRule type="cellIs" dxfId="5919" priority="7268" operator="greaterThanOrEqual">
      <formula>600</formula>
    </cfRule>
  </conditionalFormatting>
  <conditionalFormatting sqref="AU1461">
    <cfRule type="cellIs" dxfId="5918" priority="7269" operator="greaterThanOrEqual">
      <formula>260</formula>
    </cfRule>
  </conditionalFormatting>
  <conditionalFormatting sqref="AV1461">
    <cfRule type="containsText" dxfId="5917" priority="7270" operator="containsText" text="&lt;">
      <formula>NOT(ISERROR(SEARCH(("&lt;"),(AV1461))))</formula>
    </cfRule>
  </conditionalFormatting>
  <conditionalFormatting sqref="AV1461">
    <cfRule type="containsText" dxfId="5916" priority="7271" operator="containsText" text="ND">
      <formula>NOT(ISERROR(SEARCH(("ND"),(AV1461))))</formula>
    </cfRule>
  </conditionalFormatting>
  <conditionalFormatting sqref="AQ1461 AV1461">
    <cfRule type="cellIs" dxfId="5915" priority="7272" operator="greaterThanOrEqual">
      <formula>200</formula>
    </cfRule>
  </conditionalFormatting>
  <conditionalFormatting sqref="AV1461">
    <cfRule type="cellIs" dxfId="5914" priority="7273" operator="greaterThanOrEqual">
      <formula>130</formula>
    </cfRule>
  </conditionalFormatting>
  <conditionalFormatting sqref="AQ1461">
    <cfRule type="cellIs" dxfId="5913" priority="7274" operator="greaterThanOrEqual">
      <formula>120</formula>
    </cfRule>
  </conditionalFormatting>
  <conditionalFormatting sqref="AR1461:AT1461">
    <cfRule type="containsText" dxfId="5912" priority="7275" operator="containsText" text="ND">
      <formula>NOT(ISERROR(SEARCH(("ND"),(AR1461))))</formula>
    </cfRule>
  </conditionalFormatting>
  <conditionalFormatting sqref="AR1461">
    <cfRule type="cellIs" dxfId="5911" priority="7276" operator="greaterThanOrEqual">
      <formula>250</formula>
    </cfRule>
  </conditionalFormatting>
  <conditionalFormatting sqref="AR1461">
    <cfRule type="cellIs" dxfId="5910" priority="7277" operator="greaterThanOrEqual">
      <formula>175</formula>
    </cfRule>
  </conditionalFormatting>
  <conditionalFormatting sqref="AS1461">
    <cfRule type="cellIs" dxfId="5909" priority="7278" operator="greaterThanOrEqual">
      <formula>2.5</formula>
    </cfRule>
  </conditionalFormatting>
  <conditionalFormatting sqref="AT1461">
    <cfRule type="cellIs" dxfId="5908" priority="7279" operator="greaterThanOrEqual">
      <formula>500</formula>
    </cfRule>
  </conditionalFormatting>
  <conditionalFormatting sqref="AT1461">
    <cfRule type="cellIs" dxfId="5907" priority="7280" operator="greaterThanOrEqual">
      <formula>300</formula>
    </cfRule>
  </conditionalFormatting>
  <conditionalFormatting sqref="P1461 L1461">
    <cfRule type="cellIs" dxfId="5906" priority="7247" operator="greaterThanOrEqual">
      <formula>5</formula>
    </cfRule>
  </conditionalFormatting>
  <conditionalFormatting sqref="L1461">
    <cfRule type="cellIs" dxfId="5905" priority="7248" operator="greaterThanOrEqual">
      <formula>2</formula>
    </cfRule>
  </conditionalFormatting>
  <conditionalFormatting sqref="M1461">
    <cfRule type="cellIs" dxfId="5904" priority="7249" operator="greaterThanOrEqual">
      <formula>60</formula>
    </cfRule>
  </conditionalFormatting>
  <conditionalFormatting sqref="M1461">
    <cfRule type="cellIs" dxfId="5903" priority="7250" operator="greaterThanOrEqual">
      <formula>30</formula>
    </cfRule>
  </conditionalFormatting>
  <conditionalFormatting sqref="R1461">
    <cfRule type="cellIs" dxfId="5902" priority="7251" operator="greaterThanOrEqual">
      <formula>600</formula>
    </cfRule>
  </conditionalFormatting>
  <conditionalFormatting sqref="R1461">
    <cfRule type="cellIs" dxfId="5901" priority="7252" operator="greaterThanOrEqual">
      <formula>260</formula>
    </cfRule>
  </conditionalFormatting>
  <conditionalFormatting sqref="S1461">
    <cfRule type="containsText" dxfId="5900" priority="7253" operator="containsText" text="&lt;">
      <formula>NOT(ISERROR(SEARCH(("&lt;"),(S1461))))</formula>
    </cfRule>
  </conditionalFormatting>
  <conditionalFormatting sqref="S1461">
    <cfRule type="containsText" dxfId="5899" priority="7254" operator="containsText" text="ND">
      <formula>NOT(ISERROR(SEARCH(("ND"),(S1461))))</formula>
    </cfRule>
  </conditionalFormatting>
  <conditionalFormatting sqref="N1461 S1461">
    <cfRule type="cellIs" dxfId="5898" priority="7255" operator="greaterThanOrEqual">
      <formula>200</formula>
    </cfRule>
  </conditionalFormatting>
  <conditionalFormatting sqref="S1461">
    <cfRule type="cellIs" dxfId="5897" priority="7256" operator="greaterThanOrEqual">
      <formula>130</formula>
    </cfRule>
  </conditionalFormatting>
  <conditionalFormatting sqref="N1461">
    <cfRule type="cellIs" dxfId="5896" priority="7257" operator="greaterThanOrEqual">
      <formula>120</formula>
    </cfRule>
  </conditionalFormatting>
  <conditionalFormatting sqref="O1461:Q1461">
    <cfRule type="containsText" dxfId="5895" priority="7258" operator="containsText" text="ND">
      <formula>NOT(ISERROR(SEARCH(("ND"),(O1461))))</formula>
    </cfRule>
  </conditionalFormatting>
  <conditionalFormatting sqref="O1461">
    <cfRule type="cellIs" dxfId="5894" priority="7259" operator="greaterThanOrEqual">
      <formula>250</formula>
    </cfRule>
  </conditionalFormatting>
  <conditionalFormatting sqref="O1461">
    <cfRule type="cellIs" dxfId="5893" priority="7260" operator="greaterThanOrEqual">
      <formula>175</formula>
    </cfRule>
  </conditionalFormatting>
  <conditionalFormatting sqref="P1461">
    <cfRule type="cellIs" dxfId="5892" priority="7261" operator="greaterThanOrEqual">
      <formula>2.5</formula>
    </cfRule>
  </conditionalFormatting>
  <conditionalFormatting sqref="Q1461">
    <cfRule type="cellIs" dxfId="5891" priority="7262" operator="greaterThanOrEqual">
      <formula>500</formula>
    </cfRule>
  </conditionalFormatting>
  <conditionalFormatting sqref="Q1461">
    <cfRule type="cellIs" dxfId="5890" priority="7263" operator="greaterThanOrEqual">
      <formula>300</formula>
    </cfRule>
  </conditionalFormatting>
  <conditionalFormatting sqref="AO473 AS473">
    <cfRule type="cellIs" dxfId="5889" priority="7209" operator="greaterThanOrEqual">
      <formula>5</formula>
    </cfRule>
  </conditionalFormatting>
  <conditionalFormatting sqref="AO473">
    <cfRule type="cellIs" dxfId="5888" priority="7210" operator="greaterThanOrEqual">
      <formula>2</formula>
    </cfRule>
  </conditionalFormatting>
  <conditionalFormatting sqref="AP473">
    <cfRule type="cellIs" dxfId="5887" priority="7211" operator="greaterThanOrEqual">
      <formula>60</formula>
    </cfRule>
  </conditionalFormatting>
  <conditionalFormatting sqref="AP473">
    <cfRule type="cellIs" dxfId="5886" priority="7212" operator="greaterThanOrEqual">
      <formula>30</formula>
    </cfRule>
  </conditionalFormatting>
  <conditionalFormatting sqref="AU473">
    <cfRule type="cellIs" dxfId="5885" priority="7213" operator="greaterThanOrEqual">
      <formula>600</formula>
    </cfRule>
  </conditionalFormatting>
  <conditionalFormatting sqref="AU473">
    <cfRule type="cellIs" dxfId="5884" priority="7214" operator="greaterThanOrEqual">
      <formula>260</formula>
    </cfRule>
  </conditionalFormatting>
  <conditionalFormatting sqref="AV473">
    <cfRule type="containsText" dxfId="5883" priority="7215" operator="containsText" text="&lt;">
      <formula>NOT(ISERROR(SEARCH(("&lt;"),(AV473))))</formula>
    </cfRule>
  </conditionalFormatting>
  <conditionalFormatting sqref="AV473">
    <cfRule type="containsText" dxfId="5882" priority="7216" operator="containsText" text="ND">
      <formula>NOT(ISERROR(SEARCH(("ND"),(AV473))))</formula>
    </cfRule>
  </conditionalFormatting>
  <conditionalFormatting sqref="AV473 AQ473">
    <cfRule type="cellIs" dxfId="5881" priority="7217" operator="greaterThanOrEqual">
      <formula>200</formula>
    </cfRule>
  </conditionalFormatting>
  <conditionalFormatting sqref="AV473">
    <cfRule type="cellIs" dxfId="5880" priority="7218" operator="greaterThanOrEqual">
      <formula>130</formula>
    </cfRule>
  </conditionalFormatting>
  <conditionalFormatting sqref="AQ473">
    <cfRule type="cellIs" dxfId="5879" priority="7219" operator="greaterThanOrEqual">
      <formula>120</formula>
    </cfRule>
  </conditionalFormatting>
  <conditionalFormatting sqref="AR473:AT473">
    <cfRule type="containsText" dxfId="5878" priority="7220" operator="containsText" text="ND">
      <formula>NOT(ISERROR(SEARCH(("ND"),(AR473))))</formula>
    </cfRule>
  </conditionalFormatting>
  <conditionalFormatting sqref="AR473">
    <cfRule type="cellIs" dxfId="5877" priority="7221" operator="greaterThanOrEqual">
      <formula>250</formula>
    </cfRule>
  </conditionalFormatting>
  <conditionalFormatting sqref="AR473">
    <cfRule type="cellIs" dxfId="5876" priority="7222" operator="greaterThanOrEqual">
      <formula>175</formula>
    </cfRule>
  </conditionalFormatting>
  <conditionalFormatting sqref="AS473">
    <cfRule type="cellIs" dxfId="5875" priority="7223" operator="greaterThanOrEqual">
      <formula>2.5</formula>
    </cfRule>
  </conditionalFormatting>
  <conditionalFormatting sqref="AT473">
    <cfRule type="cellIs" dxfId="5874" priority="7224" operator="greaterThanOrEqual">
      <formula>500</formula>
    </cfRule>
  </conditionalFormatting>
  <conditionalFormatting sqref="AT473">
    <cfRule type="cellIs" dxfId="5873" priority="7225" operator="greaterThanOrEqual">
      <formula>300</formula>
    </cfRule>
  </conditionalFormatting>
  <conditionalFormatting sqref="AO474 AS474">
    <cfRule type="cellIs" dxfId="5872" priority="7192" operator="greaterThanOrEqual">
      <formula>5</formula>
    </cfRule>
  </conditionalFormatting>
  <conditionalFormatting sqref="AO474">
    <cfRule type="cellIs" dxfId="5871" priority="7193" operator="greaterThanOrEqual">
      <formula>2</formula>
    </cfRule>
  </conditionalFormatting>
  <conditionalFormatting sqref="AP474">
    <cfRule type="cellIs" dxfId="5870" priority="7194" operator="greaterThanOrEqual">
      <formula>60</formula>
    </cfRule>
  </conditionalFormatting>
  <conditionalFormatting sqref="AP474">
    <cfRule type="cellIs" dxfId="5869" priority="7195" operator="greaterThanOrEqual">
      <formula>30</formula>
    </cfRule>
  </conditionalFormatting>
  <conditionalFormatting sqref="AU474">
    <cfRule type="cellIs" dxfId="5868" priority="7196" operator="greaterThanOrEqual">
      <formula>600</formula>
    </cfRule>
  </conditionalFormatting>
  <conditionalFormatting sqref="AU474">
    <cfRule type="cellIs" dxfId="5867" priority="7197" operator="greaterThanOrEqual">
      <formula>260</formula>
    </cfRule>
  </conditionalFormatting>
  <conditionalFormatting sqref="AV474">
    <cfRule type="containsText" dxfId="5866" priority="7198" operator="containsText" text="&lt;">
      <formula>NOT(ISERROR(SEARCH(("&lt;"),(AV474))))</formula>
    </cfRule>
  </conditionalFormatting>
  <conditionalFormatting sqref="AV474">
    <cfRule type="containsText" dxfId="5865" priority="7199" operator="containsText" text="ND">
      <formula>NOT(ISERROR(SEARCH(("ND"),(AV474))))</formula>
    </cfRule>
  </conditionalFormatting>
  <conditionalFormatting sqref="AV474 AQ474">
    <cfRule type="cellIs" dxfId="5864" priority="7200" operator="greaterThanOrEqual">
      <formula>200</formula>
    </cfRule>
  </conditionalFormatting>
  <conditionalFormatting sqref="AV474">
    <cfRule type="cellIs" dxfId="5863" priority="7201" operator="greaterThanOrEqual">
      <formula>130</formula>
    </cfRule>
  </conditionalFormatting>
  <conditionalFormatting sqref="AQ474">
    <cfRule type="cellIs" dxfId="5862" priority="7202" operator="greaterThanOrEqual">
      <formula>120</formula>
    </cfRule>
  </conditionalFormatting>
  <conditionalFormatting sqref="AR474:AT474">
    <cfRule type="containsText" dxfId="5861" priority="7203" operator="containsText" text="ND">
      <formula>NOT(ISERROR(SEARCH(("ND"),(AR474))))</formula>
    </cfRule>
  </conditionalFormatting>
  <conditionalFormatting sqref="AR474">
    <cfRule type="cellIs" dxfId="5860" priority="7204" operator="greaterThanOrEqual">
      <formula>250</formula>
    </cfRule>
  </conditionalFormatting>
  <conditionalFormatting sqref="AR474">
    <cfRule type="cellIs" dxfId="5859" priority="7205" operator="greaterThanOrEqual">
      <formula>175</formula>
    </cfRule>
  </conditionalFormatting>
  <conditionalFormatting sqref="AS474">
    <cfRule type="cellIs" dxfId="5858" priority="7206" operator="greaterThanOrEqual">
      <formula>2.5</formula>
    </cfRule>
  </conditionalFormatting>
  <conditionalFormatting sqref="AT474">
    <cfRule type="cellIs" dxfId="5857" priority="7207" operator="greaterThanOrEqual">
      <formula>500</formula>
    </cfRule>
  </conditionalFormatting>
  <conditionalFormatting sqref="AT474">
    <cfRule type="cellIs" dxfId="5856" priority="7208" operator="greaterThanOrEqual">
      <formula>300</formula>
    </cfRule>
  </conditionalFormatting>
  <conditionalFormatting sqref="AO478 AS478">
    <cfRule type="cellIs" dxfId="5855" priority="7175" operator="greaterThanOrEqual">
      <formula>5</formula>
    </cfRule>
  </conditionalFormatting>
  <conditionalFormatting sqref="AO478">
    <cfRule type="cellIs" dxfId="5854" priority="7176" operator="greaterThanOrEqual">
      <formula>2</formula>
    </cfRule>
  </conditionalFormatting>
  <conditionalFormatting sqref="AP478">
    <cfRule type="cellIs" dxfId="5853" priority="7177" operator="greaterThanOrEqual">
      <formula>60</formula>
    </cfRule>
  </conditionalFormatting>
  <conditionalFormatting sqref="AP478">
    <cfRule type="cellIs" dxfId="5852" priority="7178" operator="greaterThanOrEqual">
      <formula>30</formula>
    </cfRule>
  </conditionalFormatting>
  <conditionalFormatting sqref="AU478">
    <cfRule type="cellIs" dxfId="5851" priority="7179" operator="greaterThanOrEqual">
      <formula>600</formula>
    </cfRule>
  </conditionalFormatting>
  <conditionalFormatting sqref="AU478">
    <cfRule type="cellIs" dxfId="5850" priority="7180" operator="greaterThanOrEqual">
      <formula>260</formula>
    </cfRule>
  </conditionalFormatting>
  <conditionalFormatting sqref="AV478">
    <cfRule type="containsText" dxfId="5849" priority="7181" operator="containsText" text="&lt;">
      <formula>NOT(ISERROR(SEARCH(("&lt;"),(AV478))))</formula>
    </cfRule>
  </conditionalFormatting>
  <conditionalFormatting sqref="AV478">
    <cfRule type="containsText" dxfId="5848" priority="7182" operator="containsText" text="ND">
      <formula>NOT(ISERROR(SEARCH(("ND"),(AV478))))</formula>
    </cfRule>
  </conditionalFormatting>
  <conditionalFormatting sqref="AV478 AQ478">
    <cfRule type="cellIs" dxfId="5847" priority="7183" operator="greaterThanOrEqual">
      <formula>200</formula>
    </cfRule>
  </conditionalFormatting>
  <conditionalFormatting sqref="AV478">
    <cfRule type="cellIs" dxfId="5846" priority="7184" operator="greaterThanOrEqual">
      <formula>130</formula>
    </cfRule>
  </conditionalFormatting>
  <conditionalFormatting sqref="AQ478">
    <cfRule type="cellIs" dxfId="5845" priority="7185" operator="greaterThanOrEqual">
      <formula>120</formula>
    </cfRule>
  </conditionalFormatting>
  <conditionalFormatting sqref="AR478:AT478">
    <cfRule type="containsText" dxfId="5844" priority="7186" operator="containsText" text="ND">
      <formula>NOT(ISERROR(SEARCH(("ND"),(AR478))))</formula>
    </cfRule>
  </conditionalFormatting>
  <conditionalFormatting sqref="AR478">
    <cfRule type="cellIs" dxfId="5843" priority="7187" operator="greaterThanOrEqual">
      <formula>250</formula>
    </cfRule>
  </conditionalFormatting>
  <conditionalFormatting sqref="AR478">
    <cfRule type="cellIs" dxfId="5842" priority="7188" operator="greaterThanOrEqual">
      <formula>175</formula>
    </cfRule>
  </conditionalFormatting>
  <conditionalFormatting sqref="AS478">
    <cfRule type="cellIs" dxfId="5841" priority="7189" operator="greaterThanOrEqual">
      <formula>2.5</formula>
    </cfRule>
  </conditionalFormatting>
  <conditionalFormatting sqref="AT478">
    <cfRule type="cellIs" dxfId="5840" priority="7190" operator="greaterThanOrEqual">
      <formula>500</formula>
    </cfRule>
  </conditionalFormatting>
  <conditionalFormatting sqref="AT478">
    <cfRule type="cellIs" dxfId="5839" priority="7191" operator="greaterThanOrEqual">
      <formula>300</formula>
    </cfRule>
  </conditionalFormatting>
  <conditionalFormatting sqref="AO484 AS484">
    <cfRule type="cellIs" dxfId="5838" priority="7158" operator="greaterThanOrEqual">
      <formula>5</formula>
    </cfRule>
  </conditionalFormatting>
  <conditionalFormatting sqref="AO484">
    <cfRule type="cellIs" dxfId="5837" priority="7159" operator="greaterThanOrEqual">
      <formula>2</formula>
    </cfRule>
  </conditionalFormatting>
  <conditionalFormatting sqref="AP484">
    <cfRule type="cellIs" dxfId="5836" priority="7160" operator="greaterThanOrEqual">
      <formula>60</formula>
    </cfRule>
  </conditionalFormatting>
  <conditionalFormatting sqref="AP484">
    <cfRule type="cellIs" dxfId="5835" priority="7161" operator="greaterThanOrEqual">
      <formula>30</formula>
    </cfRule>
  </conditionalFormatting>
  <conditionalFormatting sqref="AU484">
    <cfRule type="cellIs" dxfId="5834" priority="7162" operator="greaterThanOrEqual">
      <formula>600</formula>
    </cfRule>
  </conditionalFormatting>
  <conditionalFormatting sqref="AU484">
    <cfRule type="cellIs" dxfId="5833" priority="7163" operator="greaterThanOrEqual">
      <formula>260</formula>
    </cfRule>
  </conditionalFormatting>
  <conditionalFormatting sqref="AV484">
    <cfRule type="containsText" dxfId="5832" priority="7164" operator="containsText" text="&lt;">
      <formula>NOT(ISERROR(SEARCH(("&lt;"),(AV484))))</formula>
    </cfRule>
  </conditionalFormatting>
  <conditionalFormatting sqref="AV484">
    <cfRule type="containsText" dxfId="5831" priority="7165" operator="containsText" text="ND">
      <formula>NOT(ISERROR(SEARCH(("ND"),(AV484))))</formula>
    </cfRule>
  </conditionalFormatting>
  <conditionalFormatting sqref="AV484 AQ484">
    <cfRule type="cellIs" dxfId="5830" priority="7166" operator="greaterThanOrEqual">
      <formula>200</formula>
    </cfRule>
  </conditionalFormatting>
  <conditionalFormatting sqref="AV484">
    <cfRule type="cellIs" dxfId="5829" priority="7167" operator="greaterThanOrEqual">
      <formula>130</formula>
    </cfRule>
  </conditionalFormatting>
  <conditionalFormatting sqref="AQ484">
    <cfRule type="cellIs" dxfId="5828" priority="7168" operator="greaterThanOrEqual">
      <formula>120</formula>
    </cfRule>
  </conditionalFormatting>
  <conditionalFormatting sqref="AR484:AT484">
    <cfRule type="containsText" dxfId="5827" priority="7169" operator="containsText" text="ND">
      <formula>NOT(ISERROR(SEARCH(("ND"),(AR484))))</formula>
    </cfRule>
  </conditionalFormatting>
  <conditionalFormatting sqref="AR484">
    <cfRule type="cellIs" dxfId="5826" priority="7170" operator="greaterThanOrEqual">
      <formula>250</formula>
    </cfRule>
  </conditionalFormatting>
  <conditionalFormatting sqref="AR484">
    <cfRule type="cellIs" dxfId="5825" priority="7171" operator="greaterThanOrEqual">
      <formula>175</formula>
    </cfRule>
  </conditionalFormatting>
  <conditionalFormatting sqref="AS484">
    <cfRule type="cellIs" dxfId="5824" priority="7172" operator="greaterThanOrEqual">
      <formula>2.5</formula>
    </cfRule>
  </conditionalFormatting>
  <conditionalFormatting sqref="AT484">
    <cfRule type="cellIs" dxfId="5823" priority="7173" operator="greaterThanOrEqual">
      <formula>500</formula>
    </cfRule>
  </conditionalFormatting>
  <conditionalFormatting sqref="AT484">
    <cfRule type="cellIs" dxfId="5822" priority="7174" operator="greaterThanOrEqual">
      <formula>300</formula>
    </cfRule>
  </conditionalFormatting>
  <conditionalFormatting sqref="P1383 L1383">
    <cfRule type="cellIs" dxfId="5821" priority="7137" operator="greaterThanOrEqual">
      <formula>5</formula>
    </cfRule>
  </conditionalFormatting>
  <conditionalFormatting sqref="L1383">
    <cfRule type="cellIs" dxfId="5820" priority="7138" operator="greaterThanOrEqual">
      <formula>2</formula>
    </cfRule>
  </conditionalFormatting>
  <conditionalFormatting sqref="M1383">
    <cfRule type="cellIs" dxfId="5819" priority="7139" operator="greaterThanOrEqual">
      <formula>60</formula>
    </cfRule>
  </conditionalFormatting>
  <conditionalFormatting sqref="M1383">
    <cfRule type="cellIs" dxfId="5818" priority="7140" operator="greaterThanOrEqual">
      <formula>30</formula>
    </cfRule>
  </conditionalFormatting>
  <conditionalFormatting sqref="R1383">
    <cfRule type="cellIs" dxfId="5817" priority="7141" operator="greaterThanOrEqual">
      <formula>600</formula>
    </cfRule>
  </conditionalFormatting>
  <conditionalFormatting sqref="R1383">
    <cfRule type="cellIs" dxfId="5816" priority="7142" operator="greaterThanOrEqual">
      <formula>260</formula>
    </cfRule>
  </conditionalFormatting>
  <conditionalFormatting sqref="S1383 N1383">
    <cfRule type="cellIs" dxfId="5815" priority="7143" operator="greaterThanOrEqual">
      <formula>200</formula>
    </cfRule>
  </conditionalFormatting>
  <conditionalFormatting sqref="S1383">
    <cfRule type="cellIs" dxfId="5814" priority="7144" operator="greaterThanOrEqual">
      <formula>130</formula>
    </cfRule>
  </conditionalFormatting>
  <conditionalFormatting sqref="N1383">
    <cfRule type="cellIs" dxfId="5813" priority="7145" operator="greaterThanOrEqual">
      <formula>120</formula>
    </cfRule>
  </conditionalFormatting>
  <conditionalFormatting sqref="O1383">
    <cfRule type="cellIs" dxfId="5812" priority="7146" operator="greaterThanOrEqual">
      <formula>250</formula>
    </cfRule>
  </conditionalFormatting>
  <conditionalFormatting sqref="O1383">
    <cfRule type="cellIs" dxfId="5811" priority="7147" operator="greaterThanOrEqual">
      <formula>175</formula>
    </cfRule>
  </conditionalFormatting>
  <conditionalFormatting sqref="P1383">
    <cfRule type="cellIs" dxfId="5810" priority="7148" operator="greaterThanOrEqual">
      <formula>2.5</formula>
    </cfRule>
  </conditionalFormatting>
  <conditionalFormatting sqref="Q1383">
    <cfRule type="cellIs" dxfId="5809" priority="7149" operator="greaterThanOrEqual">
      <formula>500</formula>
    </cfRule>
  </conditionalFormatting>
  <conditionalFormatting sqref="Q1383">
    <cfRule type="cellIs" dxfId="5808" priority="7150" operator="greaterThanOrEqual">
      <formula>300</formula>
    </cfRule>
  </conditionalFormatting>
  <conditionalFormatting sqref="W1383">
    <cfRule type="cellIs" dxfId="5807" priority="7136" operator="lessThan">
      <formula>109</formula>
    </cfRule>
  </conditionalFormatting>
  <conditionalFormatting sqref="X1383:AK1383">
    <cfRule type="cellIs" dxfId="5806" priority="7133" operator="equal">
      <formula>"管制"</formula>
    </cfRule>
    <cfRule type="cellIs" dxfId="5805" priority="7134" operator="equal">
      <formula>"正常"</formula>
    </cfRule>
    <cfRule type="cellIs" dxfId="5804" priority="7135" operator="equal">
      <formula>"監測"</formula>
    </cfRule>
  </conditionalFormatting>
  <conditionalFormatting sqref="V1383">
    <cfRule type="cellIs" dxfId="5803" priority="7124" operator="equal">
      <formula>"退場"</formula>
    </cfRule>
    <cfRule type="cellIs" dxfId="5802" priority="7125" operator="equal">
      <formula>"持續"</formula>
    </cfRule>
    <cfRule type="cellIs" dxfId="5801" priority="7126" operator="equal">
      <formula>"延長"</formula>
    </cfRule>
    <cfRule type="cellIs" dxfId="5800" priority="7127" operator="equal">
      <formula>"尚未調查"</formula>
    </cfRule>
  </conditionalFormatting>
  <conditionalFormatting sqref="W1383">
    <cfRule type="containsBlanks" dxfId="5799" priority="7151">
      <formula>LEN(TRIM(W1382))=0</formula>
    </cfRule>
  </conditionalFormatting>
  <conditionalFormatting sqref="S1383">
    <cfRule type="containsText" dxfId="5798" priority="7152" operator="containsText" text="&lt;">
      <formula>NOT(ISERROR(SEARCH(("&lt;"),(S1382))))</formula>
    </cfRule>
  </conditionalFormatting>
  <conditionalFormatting sqref="S1383">
    <cfRule type="containsText" dxfId="5797" priority="7153" operator="containsText" text="ND">
      <formula>NOT(ISERROR(SEARCH(("ND"),(S1382))))</formula>
    </cfRule>
  </conditionalFormatting>
  <conditionalFormatting sqref="O1383:Q1383">
    <cfRule type="containsText" dxfId="5796" priority="7154" operator="containsText" text="ND">
      <formula>NOT(ISERROR(SEARCH(("ND"),(O1382))))</formula>
    </cfRule>
  </conditionalFormatting>
  <conditionalFormatting sqref="AK20">
    <cfRule type="cellIs" dxfId="5795" priority="7118" operator="equal">
      <formula>"建物"</formula>
    </cfRule>
    <cfRule type="cellIs" dxfId="5794" priority="7119" operator="equal">
      <formula>"難以採樣"</formula>
    </cfRule>
    <cfRule type="cellIs" dxfId="5793" priority="7120" operator="equal">
      <formula>"管制"</formula>
    </cfRule>
    <cfRule type="cellIs" dxfId="5792" priority="7121" operator="equal">
      <formula>"正常"</formula>
    </cfRule>
    <cfRule type="cellIs" dxfId="5791" priority="7122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790" priority="6280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789" priority="6281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88" priority="6282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87" priority="6283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86" priority="6284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85" priority="6285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84" priority="6286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5783" priority="6287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5782" priority="6288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5781" priority="6289" operator="greaterThanOrEqual">
      <formula>130</formula>
    </cfRule>
  </conditionalFormatting>
  <conditionalFormatting sqref="N2046">
    <cfRule type="cellIs" dxfId="5780" priority="6290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779" priority="6291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778" priority="6292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77" priority="6293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76" priority="6294" operator="greaterThanOrEqual">
      <formula>175</formula>
    </cfRule>
  </conditionalFormatting>
  <conditionalFormatting sqref="P2046">
    <cfRule type="containsText" dxfId="5775" priority="6295" operator="containsText" text="ND">
      <formula>NOT(ISERROR(SEARCH(("ND"),(P2046))))</formula>
    </cfRule>
  </conditionalFormatting>
  <conditionalFormatting sqref="P2046">
    <cfRule type="cellIs" dxfId="5774" priority="6296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773" priority="6297" operator="greaterThanOrEqual">
      <formula>2.5</formula>
    </cfRule>
  </conditionalFormatting>
  <conditionalFormatting sqref="Q2046">
    <cfRule type="containsText" dxfId="5772" priority="6298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71" priority="6299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70" priority="6300" operator="greaterThanOrEqual">
      <formula>300</formula>
    </cfRule>
  </conditionalFormatting>
  <conditionalFormatting sqref="L1690">
    <cfRule type="cellIs" dxfId="5769" priority="6259" operator="greaterThanOrEqual">
      <formula>5</formula>
    </cfRule>
  </conditionalFormatting>
  <conditionalFormatting sqref="L1690">
    <cfRule type="cellIs" dxfId="5768" priority="6260" operator="greaterThanOrEqual">
      <formula>2</formula>
    </cfRule>
  </conditionalFormatting>
  <conditionalFormatting sqref="M1690">
    <cfRule type="cellIs" dxfId="5767" priority="6261" operator="greaterThanOrEqual">
      <formula>60</formula>
    </cfRule>
  </conditionalFormatting>
  <conditionalFormatting sqref="M1690">
    <cfRule type="cellIs" dxfId="5766" priority="6262" operator="greaterThanOrEqual">
      <formula>30</formula>
    </cfRule>
  </conditionalFormatting>
  <conditionalFormatting sqref="R1690">
    <cfRule type="cellIs" dxfId="5765" priority="6263" operator="greaterThanOrEqual">
      <formula>600</formula>
    </cfRule>
  </conditionalFormatting>
  <conditionalFormatting sqref="R1690">
    <cfRule type="cellIs" dxfId="5764" priority="6264" operator="greaterThanOrEqual">
      <formula>260</formula>
    </cfRule>
  </conditionalFormatting>
  <conditionalFormatting sqref="S1690">
    <cfRule type="containsText" dxfId="5763" priority="6265" operator="containsText" text="&lt;">
      <formula>NOT(ISERROR(SEARCH(("&lt;"),(S1690))))</formula>
    </cfRule>
  </conditionalFormatting>
  <conditionalFormatting sqref="S1690">
    <cfRule type="containsText" dxfId="5762" priority="6266" operator="containsText" text="ND">
      <formula>NOT(ISERROR(SEARCH(("ND"),(S1690))))</formula>
    </cfRule>
  </conditionalFormatting>
  <conditionalFormatting sqref="S1690">
    <cfRule type="cellIs" dxfId="5761" priority="6267" operator="greaterThanOrEqual">
      <formula>200</formula>
    </cfRule>
  </conditionalFormatting>
  <conditionalFormatting sqref="S1690">
    <cfRule type="cellIs" dxfId="5760" priority="6268" operator="greaterThanOrEqual">
      <formula>130</formula>
    </cfRule>
  </conditionalFormatting>
  <conditionalFormatting sqref="N1690">
    <cfRule type="cellIs" dxfId="5759" priority="6269" operator="greaterThanOrEqual">
      <formula>200</formula>
    </cfRule>
  </conditionalFormatting>
  <conditionalFormatting sqref="N1690">
    <cfRule type="cellIs" dxfId="5758" priority="6270" operator="greaterThanOrEqual">
      <formula>120</formula>
    </cfRule>
  </conditionalFormatting>
  <conditionalFormatting sqref="O1690">
    <cfRule type="containsText" dxfId="5757" priority="6271" operator="containsText" text="ND">
      <formula>NOT(ISERROR(SEARCH(("ND"),(O1690))))</formula>
    </cfRule>
  </conditionalFormatting>
  <conditionalFormatting sqref="O1690">
    <cfRule type="cellIs" dxfId="5756" priority="6272" operator="greaterThanOrEqual">
      <formula>250</formula>
    </cfRule>
  </conditionalFormatting>
  <conditionalFormatting sqref="O1690">
    <cfRule type="cellIs" dxfId="5755" priority="6273" operator="greaterThanOrEqual">
      <formula>175</formula>
    </cfRule>
  </conditionalFormatting>
  <conditionalFormatting sqref="P1690">
    <cfRule type="containsText" dxfId="5754" priority="6274" operator="containsText" text="ND">
      <formula>NOT(ISERROR(SEARCH(("ND"),(P1690))))</formula>
    </cfRule>
  </conditionalFormatting>
  <conditionalFormatting sqref="P1690">
    <cfRule type="cellIs" dxfId="5753" priority="6275" operator="greaterThanOrEqual">
      <formula>5</formula>
    </cfRule>
  </conditionalFormatting>
  <conditionalFormatting sqref="P1690">
    <cfRule type="cellIs" dxfId="5752" priority="6276" operator="greaterThanOrEqual">
      <formula>2.5</formula>
    </cfRule>
  </conditionalFormatting>
  <conditionalFormatting sqref="Q1690">
    <cfRule type="containsText" dxfId="5751" priority="6277" operator="containsText" text="ND">
      <formula>NOT(ISERROR(SEARCH(("ND"),(Q1690))))</formula>
    </cfRule>
  </conditionalFormatting>
  <conditionalFormatting sqref="Q1690">
    <cfRule type="cellIs" dxfId="5750" priority="6278" operator="greaterThanOrEqual">
      <formula>500</formula>
    </cfRule>
  </conditionalFormatting>
  <conditionalFormatting sqref="Q1690">
    <cfRule type="cellIs" dxfId="5749" priority="6279" operator="greaterThanOrEqual">
      <formula>300</formula>
    </cfRule>
  </conditionalFormatting>
  <conditionalFormatting sqref="L1691">
    <cfRule type="cellIs" dxfId="5748" priority="6238" operator="greaterThanOrEqual">
      <formula>5</formula>
    </cfRule>
  </conditionalFormatting>
  <conditionalFormatting sqref="L1691">
    <cfRule type="cellIs" dxfId="5747" priority="6239" operator="greaterThanOrEqual">
      <formula>2</formula>
    </cfRule>
  </conditionalFormatting>
  <conditionalFormatting sqref="M1691">
    <cfRule type="cellIs" dxfId="5746" priority="6240" operator="greaterThanOrEqual">
      <formula>60</formula>
    </cfRule>
  </conditionalFormatting>
  <conditionalFormatting sqref="M1691">
    <cfRule type="cellIs" dxfId="5745" priority="6241" operator="greaterThanOrEqual">
      <formula>30</formula>
    </cfRule>
  </conditionalFormatting>
  <conditionalFormatting sqref="R1691">
    <cfRule type="cellIs" dxfId="5744" priority="6242" operator="greaterThanOrEqual">
      <formula>600</formula>
    </cfRule>
  </conditionalFormatting>
  <conditionalFormatting sqref="R1691">
    <cfRule type="cellIs" dxfId="5743" priority="6243" operator="greaterThanOrEqual">
      <formula>260</formula>
    </cfRule>
  </conditionalFormatting>
  <conditionalFormatting sqref="S1691">
    <cfRule type="containsText" dxfId="5742" priority="6244" operator="containsText" text="&lt;">
      <formula>NOT(ISERROR(SEARCH(("&lt;"),(S1691))))</formula>
    </cfRule>
  </conditionalFormatting>
  <conditionalFormatting sqref="S1691">
    <cfRule type="containsText" dxfId="5741" priority="6245" operator="containsText" text="ND">
      <formula>NOT(ISERROR(SEARCH(("ND"),(S1691))))</formula>
    </cfRule>
  </conditionalFormatting>
  <conditionalFormatting sqref="S1691">
    <cfRule type="cellIs" dxfId="5740" priority="6246" operator="greaterThanOrEqual">
      <formula>200</formula>
    </cfRule>
  </conditionalFormatting>
  <conditionalFormatting sqref="S1691">
    <cfRule type="cellIs" dxfId="5739" priority="6247" operator="greaterThanOrEqual">
      <formula>130</formula>
    </cfRule>
  </conditionalFormatting>
  <conditionalFormatting sqref="N1691">
    <cfRule type="cellIs" dxfId="5738" priority="6248" operator="greaterThanOrEqual">
      <formula>200</formula>
    </cfRule>
  </conditionalFormatting>
  <conditionalFormatting sqref="N1691">
    <cfRule type="cellIs" dxfId="5737" priority="6249" operator="greaterThanOrEqual">
      <formula>120</formula>
    </cfRule>
  </conditionalFormatting>
  <conditionalFormatting sqref="O1691">
    <cfRule type="containsText" dxfId="5736" priority="6250" operator="containsText" text="ND">
      <formula>NOT(ISERROR(SEARCH(("ND"),(O1691))))</formula>
    </cfRule>
  </conditionalFormatting>
  <conditionalFormatting sqref="O1691">
    <cfRule type="cellIs" dxfId="5735" priority="6251" operator="greaterThanOrEqual">
      <formula>250</formula>
    </cfRule>
  </conditionalFormatting>
  <conditionalFormatting sqref="O1691">
    <cfRule type="cellIs" dxfId="5734" priority="6252" operator="greaterThanOrEqual">
      <formula>175</formula>
    </cfRule>
  </conditionalFormatting>
  <conditionalFormatting sqref="P1691">
    <cfRule type="containsText" dxfId="5733" priority="6253" operator="containsText" text="ND">
      <formula>NOT(ISERROR(SEARCH(("ND"),(P1691))))</formula>
    </cfRule>
  </conditionalFormatting>
  <conditionalFormatting sqref="P1691">
    <cfRule type="cellIs" dxfId="5732" priority="6254" operator="greaterThanOrEqual">
      <formula>5</formula>
    </cfRule>
  </conditionalFormatting>
  <conditionalFormatting sqref="P1691">
    <cfRule type="cellIs" dxfId="5731" priority="6255" operator="greaterThanOrEqual">
      <formula>2.5</formula>
    </cfRule>
  </conditionalFormatting>
  <conditionalFormatting sqref="Q1691">
    <cfRule type="containsText" dxfId="5730" priority="6256" operator="containsText" text="ND">
      <formula>NOT(ISERROR(SEARCH(("ND"),(Q1691))))</formula>
    </cfRule>
  </conditionalFormatting>
  <conditionalFormatting sqref="Q1691">
    <cfRule type="cellIs" dxfId="5729" priority="6257" operator="greaterThanOrEqual">
      <formula>500</formula>
    </cfRule>
  </conditionalFormatting>
  <conditionalFormatting sqref="Q1691">
    <cfRule type="cellIs" dxfId="5728" priority="6258" operator="greaterThanOrEqual">
      <formula>300</formula>
    </cfRule>
  </conditionalFormatting>
  <conditionalFormatting sqref="L2048">
    <cfRule type="cellIs" dxfId="5727" priority="6217" operator="greaterThanOrEqual">
      <formula>5</formula>
    </cfRule>
  </conditionalFormatting>
  <conditionalFormatting sqref="L2048">
    <cfRule type="cellIs" dxfId="5726" priority="6218" operator="greaterThanOrEqual">
      <formula>2</formula>
    </cfRule>
  </conditionalFormatting>
  <conditionalFormatting sqref="M2048">
    <cfRule type="cellIs" dxfId="5725" priority="6219" operator="greaterThanOrEqual">
      <formula>60</formula>
    </cfRule>
  </conditionalFormatting>
  <conditionalFormatting sqref="M2048">
    <cfRule type="cellIs" dxfId="5724" priority="6220" operator="greaterThanOrEqual">
      <formula>30</formula>
    </cfRule>
  </conditionalFormatting>
  <conditionalFormatting sqref="R2048">
    <cfRule type="cellIs" dxfId="5723" priority="6221" operator="greaterThanOrEqual">
      <formula>600</formula>
    </cfRule>
  </conditionalFormatting>
  <conditionalFormatting sqref="R2048">
    <cfRule type="cellIs" dxfId="5722" priority="6222" operator="greaterThanOrEqual">
      <formula>260</formula>
    </cfRule>
  </conditionalFormatting>
  <conditionalFormatting sqref="S2048">
    <cfRule type="containsText" dxfId="5721" priority="6223" operator="containsText" text="&lt;">
      <formula>NOT(ISERROR(SEARCH(("&lt;"),(S2048))))</formula>
    </cfRule>
  </conditionalFormatting>
  <conditionalFormatting sqref="S2048">
    <cfRule type="containsText" dxfId="5720" priority="6224" operator="containsText" text="ND">
      <formula>NOT(ISERROR(SEARCH(("ND"),(S2048))))</formula>
    </cfRule>
  </conditionalFormatting>
  <conditionalFormatting sqref="S2048">
    <cfRule type="cellIs" dxfId="5719" priority="6225" operator="greaterThanOrEqual">
      <formula>200</formula>
    </cfRule>
  </conditionalFormatting>
  <conditionalFormatting sqref="S2048">
    <cfRule type="cellIs" dxfId="5718" priority="6226" operator="greaterThanOrEqual">
      <formula>130</formula>
    </cfRule>
  </conditionalFormatting>
  <conditionalFormatting sqref="N2048">
    <cfRule type="cellIs" dxfId="5717" priority="6227" operator="greaterThanOrEqual">
      <formula>200</formula>
    </cfRule>
  </conditionalFormatting>
  <conditionalFormatting sqref="N2048">
    <cfRule type="cellIs" dxfId="5716" priority="6228" operator="greaterThanOrEqual">
      <formula>120</formula>
    </cfRule>
  </conditionalFormatting>
  <conditionalFormatting sqref="O2048">
    <cfRule type="containsText" dxfId="5715" priority="6229" operator="containsText" text="ND">
      <formula>NOT(ISERROR(SEARCH(("ND"),(O2048))))</formula>
    </cfRule>
  </conditionalFormatting>
  <conditionalFormatting sqref="O2048">
    <cfRule type="cellIs" dxfId="5714" priority="6230" operator="greaterThanOrEqual">
      <formula>250</formula>
    </cfRule>
  </conditionalFormatting>
  <conditionalFormatting sqref="O2048">
    <cfRule type="cellIs" dxfId="5713" priority="6231" operator="greaterThanOrEqual">
      <formula>175</formula>
    </cfRule>
  </conditionalFormatting>
  <conditionalFormatting sqref="P2048">
    <cfRule type="containsText" dxfId="5712" priority="6232" operator="containsText" text="ND">
      <formula>NOT(ISERROR(SEARCH(("ND"),(P2048))))</formula>
    </cfRule>
  </conditionalFormatting>
  <conditionalFormatting sqref="P2048">
    <cfRule type="cellIs" dxfId="5711" priority="6233" operator="greaterThanOrEqual">
      <formula>5</formula>
    </cfRule>
  </conditionalFormatting>
  <conditionalFormatting sqref="P2048">
    <cfRule type="cellIs" dxfId="5710" priority="6234" operator="greaterThanOrEqual">
      <formula>2.5</formula>
    </cfRule>
  </conditionalFormatting>
  <conditionalFormatting sqref="Q2048">
    <cfRule type="containsText" dxfId="5709" priority="6235" operator="containsText" text="ND">
      <formula>NOT(ISERROR(SEARCH(("ND"),(Q2048))))</formula>
    </cfRule>
  </conditionalFormatting>
  <conditionalFormatting sqref="Q2048">
    <cfRule type="cellIs" dxfId="5708" priority="6236" operator="greaterThanOrEqual">
      <formula>500</formula>
    </cfRule>
  </conditionalFormatting>
  <conditionalFormatting sqref="Q2048">
    <cfRule type="cellIs" dxfId="5707" priority="6237" operator="greaterThanOrEqual">
      <formula>300</formula>
    </cfRule>
  </conditionalFormatting>
  <conditionalFormatting sqref="L1626">
    <cfRule type="cellIs" dxfId="5706" priority="6211" operator="greaterThanOrEqual">
      <formula>5</formula>
    </cfRule>
  </conditionalFormatting>
  <conditionalFormatting sqref="L1626">
    <cfRule type="cellIs" dxfId="5705" priority="6212" operator="greaterThanOrEqual">
      <formula>2</formula>
    </cfRule>
  </conditionalFormatting>
  <conditionalFormatting sqref="M1626">
    <cfRule type="cellIs" dxfId="5704" priority="6213" operator="greaterThanOrEqual">
      <formula>60</formula>
    </cfRule>
  </conditionalFormatting>
  <conditionalFormatting sqref="M1626">
    <cfRule type="cellIs" dxfId="5703" priority="6214" operator="greaterThanOrEqual">
      <formula>30</formula>
    </cfRule>
  </conditionalFormatting>
  <conditionalFormatting sqref="R1626">
    <cfRule type="cellIs" dxfId="5702" priority="6215" operator="greaterThanOrEqual">
      <formula>600</formula>
    </cfRule>
  </conditionalFormatting>
  <conditionalFormatting sqref="R1626">
    <cfRule type="cellIs" dxfId="5701" priority="6216" operator="greaterThanOrEqual">
      <formula>260</formula>
    </cfRule>
  </conditionalFormatting>
  <conditionalFormatting sqref="L1629">
    <cfRule type="cellIs" dxfId="5700" priority="6207" operator="greaterThanOrEqual">
      <formula>5</formula>
    </cfRule>
  </conditionalFormatting>
  <conditionalFormatting sqref="L1629">
    <cfRule type="cellIs" dxfId="5699" priority="6208" operator="greaterThanOrEqual">
      <formula>2</formula>
    </cfRule>
  </conditionalFormatting>
  <conditionalFormatting sqref="M1629">
    <cfRule type="cellIs" dxfId="5698" priority="6209" operator="greaterThanOrEqual">
      <formula>60</formula>
    </cfRule>
  </conditionalFormatting>
  <conditionalFormatting sqref="M1629">
    <cfRule type="cellIs" dxfId="5697" priority="6210" operator="greaterThanOrEqual">
      <formula>30</formula>
    </cfRule>
  </conditionalFormatting>
  <conditionalFormatting sqref="L1627:L1628">
    <cfRule type="cellIs" dxfId="5696" priority="6186" operator="greaterThanOrEqual">
      <formula>5</formula>
    </cfRule>
  </conditionalFormatting>
  <conditionalFormatting sqref="L1627:L1628">
    <cfRule type="cellIs" dxfId="5695" priority="6187" operator="greaterThanOrEqual">
      <formula>2</formula>
    </cfRule>
  </conditionalFormatting>
  <conditionalFormatting sqref="M1627:M1628">
    <cfRule type="cellIs" dxfId="5694" priority="6188" operator="greaterThanOrEqual">
      <formula>60</formula>
    </cfRule>
  </conditionalFormatting>
  <conditionalFormatting sqref="M1627:M1628">
    <cfRule type="cellIs" dxfId="5693" priority="6189" operator="greaterThanOrEqual">
      <formula>30</formula>
    </cfRule>
  </conditionalFormatting>
  <conditionalFormatting sqref="R1627:R1628">
    <cfRule type="cellIs" dxfId="5692" priority="6190" operator="greaterThanOrEqual">
      <formula>600</formula>
    </cfRule>
  </conditionalFormatting>
  <conditionalFormatting sqref="R1627:R1628">
    <cfRule type="cellIs" dxfId="5691" priority="6191" operator="greaterThanOrEqual">
      <formula>260</formula>
    </cfRule>
  </conditionalFormatting>
  <conditionalFormatting sqref="S1627:S1628">
    <cfRule type="containsText" dxfId="5690" priority="6192" operator="containsText" text="&lt;">
      <formula>NOT(ISERROR(SEARCH(("&lt;"),(S1627))))</formula>
    </cfRule>
  </conditionalFormatting>
  <conditionalFormatting sqref="S1627:S1628">
    <cfRule type="containsText" dxfId="5689" priority="6193" operator="containsText" text="ND">
      <formula>NOT(ISERROR(SEARCH(("ND"),(S1627))))</formula>
    </cfRule>
  </conditionalFormatting>
  <conditionalFormatting sqref="S1627:S1628">
    <cfRule type="cellIs" dxfId="5688" priority="6194" operator="greaterThanOrEqual">
      <formula>200</formula>
    </cfRule>
  </conditionalFormatting>
  <conditionalFormatting sqref="S1627:S1628">
    <cfRule type="cellIs" dxfId="5687" priority="6195" operator="greaterThanOrEqual">
      <formula>130</formula>
    </cfRule>
  </conditionalFormatting>
  <conditionalFormatting sqref="N1627:N1628">
    <cfRule type="cellIs" dxfId="5686" priority="6196" operator="greaterThanOrEqual">
      <formula>200</formula>
    </cfRule>
  </conditionalFormatting>
  <conditionalFormatting sqref="N1627:N1628">
    <cfRule type="cellIs" dxfId="5685" priority="6197" operator="greaterThanOrEqual">
      <formula>120</formula>
    </cfRule>
  </conditionalFormatting>
  <conditionalFormatting sqref="O1627:O1628">
    <cfRule type="containsText" dxfId="5684" priority="6198" operator="containsText" text="ND">
      <formula>NOT(ISERROR(SEARCH(("ND"),(O1627))))</formula>
    </cfRule>
  </conditionalFormatting>
  <conditionalFormatting sqref="O1627:O1628">
    <cfRule type="cellIs" dxfId="5683" priority="6199" operator="greaterThanOrEqual">
      <formula>250</formula>
    </cfRule>
  </conditionalFormatting>
  <conditionalFormatting sqref="O1627:O1628">
    <cfRule type="cellIs" dxfId="5682" priority="6200" operator="greaterThanOrEqual">
      <formula>175</formula>
    </cfRule>
  </conditionalFormatting>
  <conditionalFormatting sqref="P1627:P1628">
    <cfRule type="containsText" dxfId="5681" priority="6201" operator="containsText" text="ND">
      <formula>NOT(ISERROR(SEARCH(("ND"),(P1627))))</formula>
    </cfRule>
  </conditionalFormatting>
  <conditionalFormatting sqref="P1627:P1628">
    <cfRule type="cellIs" dxfId="5680" priority="6202" operator="greaterThanOrEqual">
      <formula>5</formula>
    </cfRule>
  </conditionalFormatting>
  <conditionalFormatting sqref="P1627:P1628">
    <cfRule type="cellIs" dxfId="5679" priority="6203" operator="greaterThanOrEqual">
      <formula>2.5</formula>
    </cfRule>
  </conditionalFormatting>
  <conditionalFormatting sqref="Q1627:Q1628">
    <cfRule type="containsText" dxfId="5678" priority="6204" operator="containsText" text="ND">
      <formula>NOT(ISERROR(SEARCH(("ND"),(Q1627))))</formula>
    </cfRule>
  </conditionalFormatting>
  <conditionalFormatting sqref="Q1627:Q1628">
    <cfRule type="cellIs" dxfId="5677" priority="6205" operator="greaterThanOrEqual">
      <formula>500</formula>
    </cfRule>
  </conditionalFormatting>
  <conditionalFormatting sqref="Q1627:Q1628">
    <cfRule type="cellIs" dxfId="5676" priority="6206" operator="greaterThanOrEqual">
      <formula>300</formula>
    </cfRule>
  </conditionalFormatting>
  <conditionalFormatting sqref="S1631">
    <cfRule type="containsText" dxfId="5675" priority="6171" operator="containsText" text="&lt;">
      <formula>NOT(ISERROR(SEARCH(("&lt;"),(S1631))))</formula>
    </cfRule>
  </conditionalFormatting>
  <conditionalFormatting sqref="S1631">
    <cfRule type="containsText" dxfId="5674" priority="6172" operator="containsText" text="ND">
      <formula>NOT(ISERROR(SEARCH(("ND"),(S1631))))</formula>
    </cfRule>
  </conditionalFormatting>
  <conditionalFormatting sqref="S1631">
    <cfRule type="cellIs" dxfId="5673" priority="6173" operator="greaterThanOrEqual">
      <formula>200</formula>
    </cfRule>
  </conditionalFormatting>
  <conditionalFormatting sqref="S1631">
    <cfRule type="cellIs" dxfId="5672" priority="6174" operator="greaterThanOrEqual">
      <formula>130</formula>
    </cfRule>
  </conditionalFormatting>
  <conditionalFormatting sqref="N1631">
    <cfRule type="cellIs" dxfId="5671" priority="6175" operator="greaterThanOrEqual">
      <formula>200</formula>
    </cfRule>
  </conditionalFormatting>
  <conditionalFormatting sqref="N1631">
    <cfRule type="cellIs" dxfId="5670" priority="6176" operator="greaterThanOrEqual">
      <formula>120</formula>
    </cfRule>
  </conditionalFormatting>
  <conditionalFormatting sqref="O1631">
    <cfRule type="containsText" dxfId="5669" priority="6177" operator="containsText" text="ND">
      <formula>NOT(ISERROR(SEARCH(("ND"),(O1631))))</formula>
    </cfRule>
  </conditionalFormatting>
  <conditionalFormatting sqref="O1631">
    <cfRule type="cellIs" dxfId="5668" priority="6178" operator="greaterThanOrEqual">
      <formula>250</formula>
    </cfRule>
  </conditionalFormatting>
  <conditionalFormatting sqref="O1631">
    <cfRule type="cellIs" dxfId="5667" priority="6179" operator="greaterThanOrEqual">
      <formula>175</formula>
    </cfRule>
  </conditionalFormatting>
  <conditionalFormatting sqref="P1631">
    <cfRule type="containsText" dxfId="5666" priority="6180" operator="containsText" text="ND">
      <formula>NOT(ISERROR(SEARCH(("ND"),(P1631))))</formula>
    </cfRule>
  </conditionalFormatting>
  <conditionalFormatting sqref="P1631">
    <cfRule type="cellIs" dxfId="5665" priority="6181" operator="greaterThanOrEqual">
      <formula>5</formula>
    </cfRule>
  </conditionalFormatting>
  <conditionalFormatting sqref="P1631">
    <cfRule type="cellIs" dxfId="5664" priority="6182" operator="greaterThanOrEqual">
      <formula>2.5</formula>
    </cfRule>
  </conditionalFormatting>
  <conditionalFormatting sqref="Q1631">
    <cfRule type="containsText" dxfId="5663" priority="6183" operator="containsText" text="ND">
      <formula>NOT(ISERROR(SEARCH(("ND"),(Q1631))))</formula>
    </cfRule>
  </conditionalFormatting>
  <conditionalFormatting sqref="Q1631">
    <cfRule type="cellIs" dxfId="5662" priority="6184" operator="greaterThanOrEqual">
      <formula>500</formula>
    </cfRule>
  </conditionalFormatting>
  <conditionalFormatting sqref="Q1631">
    <cfRule type="cellIs" dxfId="5661" priority="6185" operator="greaterThanOrEqual">
      <formula>300</formula>
    </cfRule>
  </conditionalFormatting>
  <conditionalFormatting sqref="L2049:L2051">
    <cfRule type="cellIs" dxfId="5660" priority="6150" operator="greaterThanOrEqual">
      <formula>5</formula>
    </cfRule>
  </conditionalFormatting>
  <conditionalFormatting sqref="L2049:L2051">
    <cfRule type="cellIs" dxfId="5659" priority="6151" operator="greaterThanOrEqual">
      <formula>2</formula>
    </cfRule>
  </conditionalFormatting>
  <conditionalFormatting sqref="M2049:M2051">
    <cfRule type="cellIs" dxfId="5658" priority="6152" operator="greaterThanOrEqual">
      <formula>60</formula>
    </cfRule>
  </conditionalFormatting>
  <conditionalFormatting sqref="M2049:M2051">
    <cfRule type="cellIs" dxfId="5657" priority="6153" operator="greaterThanOrEqual">
      <formula>30</formula>
    </cfRule>
  </conditionalFormatting>
  <conditionalFormatting sqref="R2049:R2051">
    <cfRule type="cellIs" dxfId="5656" priority="6154" operator="greaterThanOrEqual">
      <formula>600</formula>
    </cfRule>
  </conditionalFormatting>
  <conditionalFormatting sqref="R2049:R2051">
    <cfRule type="cellIs" dxfId="5655" priority="6155" operator="greaterThanOrEqual">
      <formula>260</formula>
    </cfRule>
  </conditionalFormatting>
  <conditionalFormatting sqref="S2049:S2051">
    <cfRule type="containsText" dxfId="5654" priority="6156" operator="containsText" text="&lt;">
      <formula>NOT(ISERROR(SEARCH(("&lt;"),(S2049))))</formula>
    </cfRule>
  </conditionalFormatting>
  <conditionalFormatting sqref="S2049:S2051">
    <cfRule type="containsText" dxfId="5653" priority="6157" operator="containsText" text="ND">
      <formula>NOT(ISERROR(SEARCH(("ND"),(S2049))))</formula>
    </cfRule>
  </conditionalFormatting>
  <conditionalFormatting sqref="S2049:S2051">
    <cfRule type="cellIs" dxfId="5652" priority="6158" operator="greaterThanOrEqual">
      <formula>200</formula>
    </cfRule>
  </conditionalFormatting>
  <conditionalFormatting sqref="S2049:S2051">
    <cfRule type="cellIs" dxfId="5651" priority="6159" operator="greaterThanOrEqual">
      <formula>130</formula>
    </cfRule>
  </conditionalFormatting>
  <conditionalFormatting sqref="N2049:N2051">
    <cfRule type="cellIs" dxfId="5650" priority="6160" operator="greaterThanOrEqual">
      <formula>200</formula>
    </cfRule>
  </conditionalFormatting>
  <conditionalFormatting sqref="N2049:N2051">
    <cfRule type="cellIs" dxfId="5649" priority="6161" operator="greaterThanOrEqual">
      <formula>120</formula>
    </cfRule>
  </conditionalFormatting>
  <conditionalFormatting sqref="O2049:O2051">
    <cfRule type="containsText" dxfId="5648" priority="6162" operator="containsText" text="ND">
      <formula>NOT(ISERROR(SEARCH(("ND"),(O2049))))</formula>
    </cfRule>
  </conditionalFormatting>
  <conditionalFormatting sqref="O2049:O2051">
    <cfRule type="cellIs" dxfId="5647" priority="6163" operator="greaterThanOrEqual">
      <formula>250</formula>
    </cfRule>
  </conditionalFormatting>
  <conditionalFormatting sqref="O2049:O2051">
    <cfRule type="cellIs" dxfId="5646" priority="6164" operator="greaterThanOrEqual">
      <formula>175</formula>
    </cfRule>
  </conditionalFormatting>
  <conditionalFormatting sqref="P2049:P2051">
    <cfRule type="containsText" dxfId="5645" priority="6165" operator="containsText" text="ND">
      <formula>NOT(ISERROR(SEARCH(("ND"),(P2049))))</formula>
    </cfRule>
  </conditionalFormatting>
  <conditionalFormatting sqref="P2049:P2051">
    <cfRule type="cellIs" dxfId="5644" priority="6166" operator="greaterThanOrEqual">
      <formula>5</formula>
    </cfRule>
  </conditionalFormatting>
  <conditionalFormatting sqref="P2049:P2051">
    <cfRule type="cellIs" dxfId="5643" priority="6167" operator="greaterThanOrEqual">
      <formula>2.5</formula>
    </cfRule>
  </conditionalFormatting>
  <conditionalFormatting sqref="Q2049:Q2051">
    <cfRule type="containsText" dxfId="5642" priority="6168" operator="containsText" text="ND">
      <formula>NOT(ISERROR(SEARCH(("ND"),(Q2049))))</formula>
    </cfRule>
  </conditionalFormatting>
  <conditionalFormatting sqref="Q2049:Q2051">
    <cfRule type="cellIs" dxfId="5641" priority="6169" operator="greaterThanOrEqual">
      <formula>500</formula>
    </cfRule>
  </conditionalFormatting>
  <conditionalFormatting sqref="Q2049:Q2051">
    <cfRule type="cellIs" dxfId="5640" priority="6170" operator="greaterThanOrEqual">
      <formula>300</formula>
    </cfRule>
  </conditionalFormatting>
  <conditionalFormatting sqref="L1835">
    <cfRule type="cellIs" dxfId="5639" priority="6129" operator="greaterThanOrEqual">
      <formula>5</formula>
    </cfRule>
  </conditionalFormatting>
  <conditionalFormatting sqref="L1835">
    <cfRule type="cellIs" dxfId="5638" priority="6130" operator="greaterThanOrEqual">
      <formula>2</formula>
    </cfRule>
  </conditionalFormatting>
  <conditionalFormatting sqref="M1835">
    <cfRule type="cellIs" dxfId="5637" priority="6131" operator="greaterThanOrEqual">
      <formula>60</formula>
    </cfRule>
  </conditionalFormatting>
  <conditionalFormatting sqref="M1835">
    <cfRule type="cellIs" dxfId="5636" priority="6132" operator="greaterThanOrEqual">
      <formula>30</formula>
    </cfRule>
  </conditionalFormatting>
  <conditionalFormatting sqref="R1835">
    <cfRule type="cellIs" dxfId="5635" priority="6133" operator="greaterThanOrEqual">
      <formula>600</formula>
    </cfRule>
  </conditionalFormatting>
  <conditionalFormatting sqref="R1835">
    <cfRule type="cellIs" dxfId="5634" priority="6134" operator="greaterThanOrEqual">
      <formula>260</formula>
    </cfRule>
  </conditionalFormatting>
  <conditionalFormatting sqref="S1835">
    <cfRule type="containsText" dxfId="5633" priority="6135" operator="containsText" text="&lt;">
      <formula>NOT(ISERROR(SEARCH(("&lt;"),(S1835))))</formula>
    </cfRule>
  </conditionalFormatting>
  <conditionalFormatting sqref="S1835">
    <cfRule type="containsText" dxfId="5632" priority="6136" operator="containsText" text="ND">
      <formula>NOT(ISERROR(SEARCH(("ND"),(S1835))))</formula>
    </cfRule>
  </conditionalFormatting>
  <conditionalFormatting sqref="S1835">
    <cfRule type="cellIs" dxfId="5631" priority="6137" operator="greaterThanOrEqual">
      <formula>200</formula>
    </cfRule>
  </conditionalFormatting>
  <conditionalFormatting sqref="S1835">
    <cfRule type="cellIs" dxfId="5630" priority="6138" operator="greaterThanOrEqual">
      <formula>130</formula>
    </cfRule>
  </conditionalFormatting>
  <conditionalFormatting sqref="N1835">
    <cfRule type="cellIs" dxfId="5629" priority="6139" operator="greaterThanOrEqual">
      <formula>200</formula>
    </cfRule>
  </conditionalFormatting>
  <conditionalFormatting sqref="N1835">
    <cfRule type="cellIs" dxfId="5628" priority="6140" operator="greaterThanOrEqual">
      <formula>120</formula>
    </cfRule>
  </conditionalFormatting>
  <conditionalFormatting sqref="O1835">
    <cfRule type="containsText" dxfId="5627" priority="6141" operator="containsText" text="ND">
      <formula>NOT(ISERROR(SEARCH(("ND"),(O1835))))</formula>
    </cfRule>
  </conditionalFormatting>
  <conditionalFormatting sqref="O1835">
    <cfRule type="cellIs" dxfId="5626" priority="6142" operator="greaterThanOrEqual">
      <formula>250</formula>
    </cfRule>
  </conditionalFormatting>
  <conditionalFormatting sqref="O1835">
    <cfRule type="cellIs" dxfId="5625" priority="6143" operator="greaterThanOrEqual">
      <formula>175</formula>
    </cfRule>
  </conditionalFormatting>
  <conditionalFormatting sqref="P1835">
    <cfRule type="containsText" dxfId="5624" priority="6144" operator="containsText" text="ND">
      <formula>NOT(ISERROR(SEARCH(("ND"),(P1835))))</formula>
    </cfRule>
  </conditionalFormatting>
  <conditionalFormatting sqref="P1835">
    <cfRule type="cellIs" dxfId="5623" priority="6145" operator="greaterThanOrEqual">
      <formula>5</formula>
    </cfRule>
  </conditionalFormatting>
  <conditionalFormatting sqref="P1835">
    <cfRule type="cellIs" dxfId="5622" priority="6146" operator="greaterThanOrEqual">
      <formula>2.5</formula>
    </cfRule>
  </conditionalFormatting>
  <conditionalFormatting sqref="Q1835">
    <cfRule type="containsText" dxfId="5621" priority="6147" operator="containsText" text="ND">
      <formula>NOT(ISERROR(SEARCH(("ND"),(Q1835))))</formula>
    </cfRule>
  </conditionalFormatting>
  <conditionalFormatting sqref="Q1835">
    <cfRule type="cellIs" dxfId="5620" priority="6148" operator="greaterThanOrEqual">
      <formula>500</formula>
    </cfRule>
  </conditionalFormatting>
  <conditionalFormatting sqref="Q1835">
    <cfRule type="cellIs" dxfId="5619" priority="6149" operator="greaterThanOrEqual">
      <formula>300</formula>
    </cfRule>
  </conditionalFormatting>
  <conditionalFormatting sqref="L2183">
    <cfRule type="cellIs" dxfId="5618" priority="6108" operator="greaterThanOrEqual">
      <formula>5</formula>
    </cfRule>
  </conditionalFormatting>
  <conditionalFormatting sqref="L2183">
    <cfRule type="cellIs" dxfId="5617" priority="6109" operator="greaterThanOrEqual">
      <formula>2</formula>
    </cfRule>
  </conditionalFormatting>
  <conditionalFormatting sqref="M2183">
    <cfRule type="cellIs" dxfId="5616" priority="6110" operator="greaterThanOrEqual">
      <formula>60</formula>
    </cfRule>
  </conditionalFormatting>
  <conditionalFormatting sqref="M2183">
    <cfRule type="cellIs" dxfId="5615" priority="6111" operator="greaterThanOrEqual">
      <formula>30</formula>
    </cfRule>
  </conditionalFormatting>
  <conditionalFormatting sqref="R2183">
    <cfRule type="cellIs" dxfId="5614" priority="6112" operator="greaterThanOrEqual">
      <formula>600</formula>
    </cfRule>
  </conditionalFormatting>
  <conditionalFormatting sqref="R2183">
    <cfRule type="cellIs" dxfId="5613" priority="6113" operator="greaterThanOrEqual">
      <formula>260</formula>
    </cfRule>
  </conditionalFormatting>
  <conditionalFormatting sqref="S2183">
    <cfRule type="containsText" dxfId="5612" priority="6114" operator="containsText" text="&lt;">
      <formula>NOT(ISERROR(SEARCH(("&lt;"),(S2183))))</formula>
    </cfRule>
  </conditionalFormatting>
  <conditionalFormatting sqref="S2183">
    <cfRule type="containsText" dxfId="5611" priority="6115" operator="containsText" text="ND">
      <formula>NOT(ISERROR(SEARCH(("ND"),(S2183))))</formula>
    </cfRule>
  </conditionalFormatting>
  <conditionalFormatting sqref="S2183">
    <cfRule type="cellIs" dxfId="5610" priority="6116" operator="greaterThanOrEqual">
      <formula>200</formula>
    </cfRule>
  </conditionalFormatting>
  <conditionalFormatting sqref="S2183">
    <cfRule type="cellIs" dxfId="5609" priority="6117" operator="greaterThanOrEqual">
      <formula>130</formula>
    </cfRule>
  </conditionalFormatting>
  <conditionalFormatting sqref="N2183">
    <cfRule type="cellIs" dxfId="5608" priority="6118" operator="greaterThanOrEqual">
      <formula>200</formula>
    </cfRule>
  </conditionalFormatting>
  <conditionalFormatting sqref="N2183">
    <cfRule type="cellIs" dxfId="5607" priority="6119" operator="greaterThanOrEqual">
      <formula>120</formula>
    </cfRule>
  </conditionalFormatting>
  <conditionalFormatting sqref="O2183">
    <cfRule type="containsText" dxfId="5606" priority="6120" operator="containsText" text="ND">
      <formula>NOT(ISERROR(SEARCH(("ND"),(O2183))))</formula>
    </cfRule>
  </conditionalFormatting>
  <conditionalFormatting sqref="O2183">
    <cfRule type="cellIs" dxfId="5605" priority="6121" operator="greaterThanOrEqual">
      <formula>250</formula>
    </cfRule>
  </conditionalFormatting>
  <conditionalFormatting sqref="O2183">
    <cfRule type="cellIs" dxfId="5604" priority="6122" operator="greaterThanOrEqual">
      <formula>175</formula>
    </cfRule>
  </conditionalFormatting>
  <conditionalFormatting sqref="P2183">
    <cfRule type="containsText" dxfId="5603" priority="6123" operator="containsText" text="ND">
      <formula>NOT(ISERROR(SEARCH(("ND"),(P2183))))</formula>
    </cfRule>
  </conditionalFormatting>
  <conditionalFormatting sqref="P2183">
    <cfRule type="cellIs" dxfId="5602" priority="6124" operator="greaterThanOrEqual">
      <formula>5</formula>
    </cfRule>
  </conditionalFormatting>
  <conditionalFormatting sqref="P2183">
    <cfRule type="cellIs" dxfId="5601" priority="6125" operator="greaterThanOrEqual">
      <formula>2.5</formula>
    </cfRule>
  </conditionalFormatting>
  <conditionalFormatting sqref="Q2183">
    <cfRule type="containsText" dxfId="5600" priority="6126" operator="containsText" text="ND">
      <formula>NOT(ISERROR(SEARCH(("ND"),(Q2183))))</formula>
    </cfRule>
  </conditionalFormatting>
  <conditionalFormatting sqref="Q2183">
    <cfRule type="cellIs" dxfId="5599" priority="6127" operator="greaterThanOrEqual">
      <formula>500</formula>
    </cfRule>
  </conditionalFormatting>
  <conditionalFormatting sqref="Q2183">
    <cfRule type="cellIs" dxfId="5598" priority="6128" operator="greaterThanOrEqual">
      <formula>300</formula>
    </cfRule>
  </conditionalFormatting>
  <conditionalFormatting sqref="L2188">
    <cfRule type="cellIs" dxfId="5597" priority="6082" operator="greaterThanOrEqual">
      <formula>5</formula>
    </cfRule>
  </conditionalFormatting>
  <conditionalFormatting sqref="L2188">
    <cfRule type="cellIs" dxfId="5596" priority="6083" operator="greaterThanOrEqual">
      <formula>2</formula>
    </cfRule>
  </conditionalFormatting>
  <conditionalFormatting sqref="M2188">
    <cfRule type="cellIs" dxfId="5595" priority="6084" operator="greaterThanOrEqual">
      <formula>60</formula>
    </cfRule>
  </conditionalFormatting>
  <conditionalFormatting sqref="M2188">
    <cfRule type="cellIs" dxfId="5594" priority="6085" operator="greaterThanOrEqual">
      <formula>30</formula>
    </cfRule>
  </conditionalFormatting>
  <conditionalFormatting sqref="R2188">
    <cfRule type="cellIs" dxfId="5593" priority="6086" operator="greaterThanOrEqual">
      <formula>600</formula>
    </cfRule>
  </conditionalFormatting>
  <conditionalFormatting sqref="R2188">
    <cfRule type="cellIs" dxfId="5592" priority="6087" operator="greaterThanOrEqual">
      <formula>260</formula>
    </cfRule>
  </conditionalFormatting>
  <conditionalFormatting sqref="S2188">
    <cfRule type="containsText" dxfId="5591" priority="6088" operator="containsText" text="&lt;">
      <formula>NOT(ISERROR(SEARCH(("&lt;"),(S2188))))</formula>
    </cfRule>
  </conditionalFormatting>
  <conditionalFormatting sqref="S2188">
    <cfRule type="containsText" dxfId="5590" priority="6089" operator="containsText" text="ND">
      <formula>NOT(ISERROR(SEARCH(("ND"),(S2188))))</formula>
    </cfRule>
  </conditionalFormatting>
  <conditionalFormatting sqref="S2188">
    <cfRule type="cellIs" dxfId="5589" priority="6090" operator="greaterThanOrEqual">
      <formula>200</formula>
    </cfRule>
  </conditionalFormatting>
  <conditionalFormatting sqref="S2188">
    <cfRule type="cellIs" dxfId="5588" priority="6091" operator="greaterThanOrEqual">
      <formula>130</formula>
    </cfRule>
  </conditionalFormatting>
  <conditionalFormatting sqref="N2188">
    <cfRule type="cellIs" dxfId="5587" priority="6092" operator="greaterThanOrEqual">
      <formula>200</formula>
    </cfRule>
  </conditionalFormatting>
  <conditionalFormatting sqref="N2188">
    <cfRule type="cellIs" dxfId="5586" priority="6093" operator="greaterThanOrEqual">
      <formula>120</formula>
    </cfRule>
  </conditionalFormatting>
  <conditionalFormatting sqref="O2188">
    <cfRule type="containsText" dxfId="5585" priority="6094" operator="containsText" text="ND">
      <formula>NOT(ISERROR(SEARCH(("ND"),(O2188))))</formula>
    </cfRule>
  </conditionalFormatting>
  <conditionalFormatting sqref="O2188">
    <cfRule type="cellIs" dxfId="5584" priority="6095" operator="greaterThanOrEqual">
      <formula>250</formula>
    </cfRule>
  </conditionalFormatting>
  <conditionalFormatting sqref="O2188">
    <cfRule type="cellIs" dxfId="5583" priority="6096" operator="greaterThanOrEqual">
      <formula>175</formula>
    </cfRule>
  </conditionalFormatting>
  <conditionalFormatting sqref="P2188">
    <cfRule type="containsText" dxfId="5582" priority="6097" operator="containsText" text="ND">
      <formula>NOT(ISERROR(SEARCH(("ND"),(P2188))))</formula>
    </cfRule>
  </conditionalFormatting>
  <conditionalFormatting sqref="P2188">
    <cfRule type="cellIs" dxfId="5581" priority="6098" operator="greaterThanOrEqual">
      <formula>5</formula>
    </cfRule>
  </conditionalFormatting>
  <conditionalFormatting sqref="P2188">
    <cfRule type="cellIs" dxfId="5580" priority="6099" operator="greaterThanOrEqual">
      <formula>2.5</formula>
    </cfRule>
  </conditionalFormatting>
  <conditionalFormatting sqref="Q2188">
    <cfRule type="containsText" dxfId="5579" priority="6100" operator="containsText" text="ND">
      <formula>NOT(ISERROR(SEARCH(("ND"),(Q2188))))</formula>
    </cfRule>
  </conditionalFormatting>
  <conditionalFormatting sqref="Q2188">
    <cfRule type="cellIs" dxfId="5578" priority="6101" operator="greaterThanOrEqual">
      <formula>500</formula>
    </cfRule>
  </conditionalFormatting>
  <conditionalFormatting sqref="Q2188">
    <cfRule type="cellIs" dxfId="5577" priority="6102" operator="greaterThanOrEqual">
      <formula>300</formula>
    </cfRule>
  </conditionalFormatting>
  <conditionalFormatting sqref="L2189:L2193">
    <cfRule type="cellIs" dxfId="5576" priority="6061" operator="greaterThanOrEqual">
      <formula>5</formula>
    </cfRule>
  </conditionalFormatting>
  <conditionalFormatting sqref="L2189:L2193">
    <cfRule type="cellIs" dxfId="5575" priority="6062" operator="greaterThanOrEqual">
      <formula>2</formula>
    </cfRule>
  </conditionalFormatting>
  <conditionalFormatting sqref="M2189:M2193">
    <cfRule type="cellIs" dxfId="5574" priority="6063" operator="greaterThanOrEqual">
      <formula>60</formula>
    </cfRule>
  </conditionalFormatting>
  <conditionalFormatting sqref="M2189:M2193">
    <cfRule type="cellIs" dxfId="5573" priority="6064" operator="greaterThanOrEqual">
      <formula>30</formula>
    </cfRule>
  </conditionalFormatting>
  <conditionalFormatting sqref="R2189:R2193">
    <cfRule type="cellIs" dxfId="5572" priority="6065" operator="greaterThanOrEqual">
      <formula>600</formula>
    </cfRule>
  </conditionalFormatting>
  <conditionalFormatting sqref="R2189:R2193">
    <cfRule type="cellIs" dxfId="5571" priority="6066" operator="greaterThanOrEqual">
      <formula>260</formula>
    </cfRule>
  </conditionalFormatting>
  <conditionalFormatting sqref="S2189:S2193">
    <cfRule type="containsText" dxfId="5570" priority="6067" operator="containsText" text="&lt;">
      <formula>NOT(ISERROR(SEARCH(("&lt;"),(S2189))))</formula>
    </cfRule>
  </conditionalFormatting>
  <conditionalFormatting sqref="S2189:S2193">
    <cfRule type="containsText" dxfId="5569" priority="6068" operator="containsText" text="ND">
      <formula>NOT(ISERROR(SEARCH(("ND"),(S2189))))</formula>
    </cfRule>
  </conditionalFormatting>
  <conditionalFormatting sqref="S2189:S2193">
    <cfRule type="cellIs" dxfId="5568" priority="6069" operator="greaterThanOrEqual">
      <formula>200</formula>
    </cfRule>
  </conditionalFormatting>
  <conditionalFormatting sqref="S2189:S2193">
    <cfRule type="cellIs" dxfId="5567" priority="6070" operator="greaterThanOrEqual">
      <formula>130</formula>
    </cfRule>
  </conditionalFormatting>
  <conditionalFormatting sqref="N2189:N2193">
    <cfRule type="cellIs" dxfId="5566" priority="6071" operator="greaterThanOrEqual">
      <formula>200</formula>
    </cfRule>
  </conditionalFormatting>
  <conditionalFormatting sqref="N2189:N2193">
    <cfRule type="cellIs" dxfId="5565" priority="6072" operator="greaterThanOrEqual">
      <formula>120</formula>
    </cfRule>
  </conditionalFormatting>
  <conditionalFormatting sqref="O2189:O2193">
    <cfRule type="containsText" dxfId="5564" priority="6073" operator="containsText" text="ND">
      <formula>NOT(ISERROR(SEARCH(("ND"),(O2189))))</formula>
    </cfRule>
  </conditionalFormatting>
  <conditionalFormatting sqref="O2189:O2193">
    <cfRule type="cellIs" dxfId="5563" priority="6074" operator="greaterThanOrEqual">
      <formula>250</formula>
    </cfRule>
  </conditionalFormatting>
  <conditionalFormatting sqref="O2189:O2193">
    <cfRule type="cellIs" dxfId="5562" priority="6075" operator="greaterThanOrEqual">
      <formula>175</formula>
    </cfRule>
  </conditionalFormatting>
  <conditionalFormatting sqref="P2189:P2193">
    <cfRule type="containsText" dxfId="5561" priority="6076" operator="containsText" text="ND">
      <formula>NOT(ISERROR(SEARCH(("ND"),(P2189))))</formula>
    </cfRule>
  </conditionalFormatting>
  <conditionalFormatting sqref="P2189:P2193">
    <cfRule type="cellIs" dxfId="5560" priority="6077" operator="greaterThanOrEqual">
      <formula>5</formula>
    </cfRule>
  </conditionalFormatting>
  <conditionalFormatting sqref="P2189:P2193">
    <cfRule type="cellIs" dxfId="5559" priority="6078" operator="greaterThanOrEqual">
      <formula>2.5</formula>
    </cfRule>
  </conditionalFormatting>
  <conditionalFormatting sqref="Q2189:Q2193">
    <cfRule type="containsText" dxfId="5558" priority="6079" operator="containsText" text="ND">
      <formula>NOT(ISERROR(SEARCH(("ND"),(Q2189))))</formula>
    </cfRule>
  </conditionalFormatting>
  <conditionalFormatting sqref="Q2189:Q2193">
    <cfRule type="cellIs" dxfId="5557" priority="6080" operator="greaterThanOrEqual">
      <formula>500</formula>
    </cfRule>
  </conditionalFormatting>
  <conditionalFormatting sqref="Q2189:Q2193">
    <cfRule type="cellIs" dxfId="5556" priority="6081" operator="greaterThanOrEqual">
      <formula>300</formula>
    </cfRule>
  </conditionalFormatting>
  <conditionalFormatting sqref="L1697:L1698 P1697:P1698">
    <cfRule type="cellIs" dxfId="5555" priority="6044" operator="greaterThanOrEqual">
      <formula>5</formula>
    </cfRule>
  </conditionalFormatting>
  <conditionalFormatting sqref="L1697:L1698">
    <cfRule type="cellIs" dxfId="5554" priority="6045" operator="greaterThanOrEqual">
      <formula>2</formula>
    </cfRule>
  </conditionalFormatting>
  <conditionalFormatting sqref="M1697:M1698">
    <cfRule type="cellIs" dxfId="5553" priority="6046" operator="greaterThanOrEqual">
      <formula>60</formula>
    </cfRule>
  </conditionalFormatting>
  <conditionalFormatting sqref="M1697:M1698">
    <cfRule type="cellIs" dxfId="5552" priority="6047" operator="greaterThanOrEqual">
      <formula>30</formula>
    </cfRule>
  </conditionalFormatting>
  <conditionalFormatting sqref="R1697:R1698">
    <cfRule type="cellIs" dxfId="5551" priority="6048" operator="greaterThanOrEqual">
      <formula>600</formula>
    </cfRule>
  </conditionalFormatting>
  <conditionalFormatting sqref="R1697:R1698">
    <cfRule type="cellIs" dxfId="5550" priority="6049" operator="greaterThanOrEqual">
      <formula>260</formula>
    </cfRule>
  </conditionalFormatting>
  <conditionalFormatting sqref="S1697:S1698">
    <cfRule type="containsText" dxfId="5549" priority="6050" operator="containsText" text="&lt;">
      <formula>NOT(ISERROR(SEARCH(("&lt;"),(S1697))))</formula>
    </cfRule>
  </conditionalFormatting>
  <conditionalFormatting sqref="S1697:S1698">
    <cfRule type="containsText" dxfId="5548" priority="6051" operator="containsText" text="ND">
      <formula>NOT(ISERROR(SEARCH(("ND"),(S1697))))</formula>
    </cfRule>
  </conditionalFormatting>
  <conditionalFormatting sqref="S1697:S1698 N1697:N1698">
    <cfRule type="cellIs" dxfId="5547" priority="6052" operator="greaterThanOrEqual">
      <formula>200</formula>
    </cfRule>
  </conditionalFormatting>
  <conditionalFormatting sqref="S1697:S1698">
    <cfRule type="cellIs" dxfId="5546" priority="6053" operator="greaterThanOrEqual">
      <formula>130</formula>
    </cfRule>
  </conditionalFormatting>
  <conditionalFormatting sqref="N1697:N1698">
    <cfRule type="cellIs" dxfId="5545" priority="6054" operator="greaterThanOrEqual">
      <formula>120</formula>
    </cfRule>
  </conditionalFormatting>
  <conditionalFormatting sqref="O1697:Q1698">
    <cfRule type="containsText" dxfId="5544" priority="6055" operator="containsText" text="ND">
      <formula>NOT(ISERROR(SEARCH(("ND"),(O1697))))</formula>
    </cfRule>
  </conditionalFormatting>
  <conditionalFormatting sqref="O1697:O1698">
    <cfRule type="cellIs" dxfId="5543" priority="6056" operator="greaterThanOrEqual">
      <formula>250</formula>
    </cfRule>
  </conditionalFormatting>
  <conditionalFormatting sqref="O1697:O1698">
    <cfRule type="cellIs" dxfId="5542" priority="6057" operator="greaterThanOrEqual">
      <formula>175</formula>
    </cfRule>
  </conditionalFormatting>
  <conditionalFormatting sqref="P1697:P1698">
    <cfRule type="cellIs" dxfId="5541" priority="6058" operator="greaterThanOrEqual">
      <formula>2.5</formula>
    </cfRule>
  </conditionalFormatting>
  <conditionalFormatting sqref="Q1697:Q1698">
    <cfRule type="cellIs" dxfId="5540" priority="6059" operator="greaterThanOrEqual">
      <formula>500</formula>
    </cfRule>
  </conditionalFormatting>
  <conditionalFormatting sqref="Q1697:Q1698">
    <cfRule type="cellIs" dxfId="5539" priority="6060" operator="greaterThanOrEqual">
      <formula>300</formula>
    </cfRule>
  </conditionalFormatting>
  <conditionalFormatting sqref="N1843 R1843">
    <cfRule type="cellIs" dxfId="5538" priority="6032" operator="greaterThanOrEqual">
      <formula>5</formula>
    </cfRule>
  </conditionalFormatting>
  <conditionalFormatting sqref="N1843">
    <cfRule type="cellIs" dxfId="5537" priority="6033" operator="greaterThanOrEqual">
      <formula>2</formula>
    </cfRule>
  </conditionalFormatting>
  <conditionalFormatting sqref="O1843">
    <cfRule type="cellIs" dxfId="5536" priority="6034" operator="greaterThanOrEqual">
      <formula>60</formula>
    </cfRule>
  </conditionalFormatting>
  <conditionalFormatting sqref="O1843">
    <cfRule type="cellIs" dxfId="5535" priority="6035" operator="greaterThanOrEqual">
      <formula>30</formula>
    </cfRule>
  </conditionalFormatting>
  <conditionalFormatting sqref="P1843">
    <cfRule type="cellIs" dxfId="5534" priority="6036" operator="greaterThanOrEqual">
      <formula>200</formula>
    </cfRule>
  </conditionalFormatting>
  <conditionalFormatting sqref="P1843">
    <cfRule type="cellIs" dxfId="5533" priority="6037" operator="greaterThanOrEqual">
      <formula>120</formula>
    </cfRule>
  </conditionalFormatting>
  <conditionalFormatting sqref="Q1843:S1843">
    <cfRule type="containsText" dxfId="5532" priority="6038" operator="containsText" text="ND">
      <formula>NOT(ISERROR(SEARCH(("ND"),(Q1843))))</formula>
    </cfRule>
  </conditionalFormatting>
  <conditionalFormatting sqref="Q1843">
    <cfRule type="cellIs" dxfId="5531" priority="6039" operator="greaterThanOrEqual">
      <formula>250</formula>
    </cfRule>
  </conditionalFormatting>
  <conditionalFormatting sqref="Q1843">
    <cfRule type="cellIs" dxfId="5530" priority="6040" operator="greaterThanOrEqual">
      <formula>175</formula>
    </cfRule>
  </conditionalFormatting>
  <conditionalFormatting sqref="R1843">
    <cfRule type="cellIs" dxfId="5529" priority="6041" operator="greaterThanOrEqual">
      <formula>2.5</formula>
    </cfRule>
  </conditionalFormatting>
  <conditionalFormatting sqref="S1843">
    <cfRule type="cellIs" dxfId="5528" priority="6042" operator="greaterThanOrEqual">
      <formula>500</formula>
    </cfRule>
  </conditionalFormatting>
  <conditionalFormatting sqref="S1843">
    <cfRule type="cellIs" dxfId="5527" priority="6043" operator="greaterThanOrEqual">
      <formula>300</formula>
    </cfRule>
  </conditionalFormatting>
  <conditionalFormatting sqref="L2194">
    <cfRule type="cellIs" dxfId="5526" priority="6011" operator="greaterThanOrEqual">
      <formula>5</formula>
    </cfRule>
  </conditionalFormatting>
  <conditionalFormatting sqref="L2194">
    <cfRule type="cellIs" dxfId="5525" priority="6012" operator="greaterThanOrEqual">
      <formula>2</formula>
    </cfRule>
  </conditionalFormatting>
  <conditionalFormatting sqref="M2194">
    <cfRule type="cellIs" dxfId="5524" priority="6013" operator="greaterThanOrEqual">
      <formula>60</formula>
    </cfRule>
  </conditionalFormatting>
  <conditionalFormatting sqref="M2194">
    <cfRule type="cellIs" dxfId="5523" priority="6014" operator="greaterThanOrEqual">
      <formula>30</formula>
    </cfRule>
  </conditionalFormatting>
  <conditionalFormatting sqref="R2194">
    <cfRule type="cellIs" dxfId="5522" priority="6015" operator="greaterThanOrEqual">
      <formula>600</formula>
    </cfRule>
  </conditionalFormatting>
  <conditionalFormatting sqref="R2194">
    <cfRule type="cellIs" dxfId="5521" priority="6016" operator="greaterThanOrEqual">
      <formula>260</formula>
    </cfRule>
  </conditionalFormatting>
  <conditionalFormatting sqref="S2194">
    <cfRule type="containsText" dxfId="5520" priority="6017" operator="containsText" text="&lt;">
      <formula>NOT(ISERROR(SEARCH(("&lt;"),(S2194))))</formula>
    </cfRule>
  </conditionalFormatting>
  <conditionalFormatting sqref="S2194">
    <cfRule type="containsText" dxfId="5519" priority="6018" operator="containsText" text="ND">
      <formula>NOT(ISERROR(SEARCH(("ND"),(S2194))))</formula>
    </cfRule>
  </conditionalFormatting>
  <conditionalFormatting sqref="S2194">
    <cfRule type="cellIs" dxfId="5518" priority="6019" operator="greaterThanOrEqual">
      <formula>200</formula>
    </cfRule>
  </conditionalFormatting>
  <conditionalFormatting sqref="S2194">
    <cfRule type="cellIs" dxfId="5517" priority="6020" operator="greaterThanOrEqual">
      <formula>130</formula>
    </cfRule>
  </conditionalFormatting>
  <conditionalFormatting sqref="N2194">
    <cfRule type="cellIs" dxfId="5516" priority="6021" operator="greaterThanOrEqual">
      <formula>200</formula>
    </cfRule>
  </conditionalFormatting>
  <conditionalFormatting sqref="N2194">
    <cfRule type="cellIs" dxfId="5515" priority="6022" operator="greaterThanOrEqual">
      <formula>120</formula>
    </cfRule>
  </conditionalFormatting>
  <conditionalFormatting sqref="O2194">
    <cfRule type="containsText" dxfId="5514" priority="6023" operator="containsText" text="ND">
      <formula>NOT(ISERROR(SEARCH(("ND"),(O2194))))</formula>
    </cfRule>
  </conditionalFormatting>
  <conditionalFormatting sqref="O2194">
    <cfRule type="cellIs" dxfId="5513" priority="6024" operator="greaterThanOrEqual">
      <formula>250</formula>
    </cfRule>
  </conditionalFormatting>
  <conditionalFormatting sqref="O2194">
    <cfRule type="cellIs" dxfId="5512" priority="6025" operator="greaterThanOrEqual">
      <formula>175</formula>
    </cfRule>
  </conditionalFormatting>
  <conditionalFormatting sqref="P2194">
    <cfRule type="containsText" dxfId="5511" priority="6026" operator="containsText" text="ND">
      <formula>NOT(ISERROR(SEARCH(("ND"),(P2194))))</formula>
    </cfRule>
  </conditionalFormatting>
  <conditionalFormatting sqref="P2194">
    <cfRule type="cellIs" dxfId="5510" priority="6027" operator="greaterThanOrEqual">
      <formula>5</formula>
    </cfRule>
  </conditionalFormatting>
  <conditionalFormatting sqref="P2194">
    <cfRule type="cellIs" dxfId="5509" priority="6028" operator="greaterThanOrEqual">
      <formula>2.5</formula>
    </cfRule>
  </conditionalFormatting>
  <conditionalFormatting sqref="Q2194">
    <cfRule type="containsText" dxfId="5508" priority="6029" operator="containsText" text="ND">
      <formula>NOT(ISERROR(SEARCH(("ND"),(Q2194))))</formula>
    </cfRule>
  </conditionalFormatting>
  <conditionalFormatting sqref="Q2194">
    <cfRule type="cellIs" dxfId="5507" priority="6030" operator="greaterThanOrEqual">
      <formula>500</formula>
    </cfRule>
  </conditionalFormatting>
  <conditionalFormatting sqref="Q2194">
    <cfRule type="cellIs" dxfId="5506" priority="6031" operator="greaterThanOrEqual">
      <formula>300</formula>
    </cfRule>
  </conditionalFormatting>
  <conditionalFormatting sqref="L2055">
    <cfRule type="cellIs" dxfId="5505" priority="5990" operator="greaterThanOrEqual">
      <formula>5</formula>
    </cfRule>
  </conditionalFormatting>
  <conditionalFormatting sqref="L2055">
    <cfRule type="cellIs" dxfId="5504" priority="5991" operator="greaterThanOrEqual">
      <formula>2</formula>
    </cfRule>
  </conditionalFormatting>
  <conditionalFormatting sqref="M2055">
    <cfRule type="cellIs" dxfId="5503" priority="5992" operator="greaterThanOrEqual">
      <formula>60</formula>
    </cfRule>
  </conditionalFormatting>
  <conditionalFormatting sqref="M2055">
    <cfRule type="cellIs" dxfId="5502" priority="5993" operator="greaterThanOrEqual">
      <formula>30</formula>
    </cfRule>
  </conditionalFormatting>
  <conditionalFormatting sqref="R2055">
    <cfRule type="cellIs" dxfId="5501" priority="5994" operator="greaterThanOrEqual">
      <formula>600</formula>
    </cfRule>
  </conditionalFormatting>
  <conditionalFormatting sqref="R2055">
    <cfRule type="cellIs" dxfId="5500" priority="5995" operator="greaterThanOrEqual">
      <formula>260</formula>
    </cfRule>
  </conditionalFormatting>
  <conditionalFormatting sqref="S2055">
    <cfRule type="containsText" dxfId="5499" priority="5996" operator="containsText" text="&lt;">
      <formula>NOT(ISERROR(SEARCH(("&lt;"),(S2055))))</formula>
    </cfRule>
  </conditionalFormatting>
  <conditionalFormatting sqref="S2055">
    <cfRule type="containsText" dxfId="5498" priority="5997" operator="containsText" text="ND">
      <formula>NOT(ISERROR(SEARCH(("ND"),(S2055))))</formula>
    </cfRule>
  </conditionalFormatting>
  <conditionalFormatting sqref="S2055">
    <cfRule type="cellIs" dxfId="5497" priority="5998" operator="greaterThanOrEqual">
      <formula>200</formula>
    </cfRule>
  </conditionalFormatting>
  <conditionalFormatting sqref="S2055">
    <cfRule type="cellIs" dxfId="5496" priority="5999" operator="greaterThanOrEqual">
      <formula>130</formula>
    </cfRule>
  </conditionalFormatting>
  <conditionalFormatting sqref="N2055">
    <cfRule type="cellIs" dxfId="5495" priority="6000" operator="greaterThanOrEqual">
      <formula>200</formula>
    </cfRule>
  </conditionalFormatting>
  <conditionalFormatting sqref="N2055">
    <cfRule type="cellIs" dxfId="5494" priority="6001" operator="greaterThanOrEqual">
      <formula>120</formula>
    </cfRule>
  </conditionalFormatting>
  <conditionalFormatting sqref="O2055">
    <cfRule type="containsText" dxfId="5493" priority="6002" operator="containsText" text="ND">
      <formula>NOT(ISERROR(SEARCH(("ND"),(O2055))))</formula>
    </cfRule>
  </conditionalFormatting>
  <conditionalFormatting sqref="O2055">
    <cfRule type="cellIs" dxfId="5492" priority="6003" operator="greaterThanOrEqual">
      <formula>250</formula>
    </cfRule>
  </conditionalFormatting>
  <conditionalFormatting sqref="O2055">
    <cfRule type="cellIs" dxfId="5491" priority="6004" operator="greaterThanOrEqual">
      <formula>175</formula>
    </cfRule>
  </conditionalFormatting>
  <conditionalFormatting sqref="P2055">
    <cfRule type="containsText" dxfId="5490" priority="6005" operator="containsText" text="ND">
      <formula>NOT(ISERROR(SEARCH(("ND"),(P2055))))</formula>
    </cfRule>
  </conditionalFormatting>
  <conditionalFormatting sqref="P2055">
    <cfRule type="cellIs" dxfId="5489" priority="6006" operator="greaterThanOrEqual">
      <formula>5</formula>
    </cfRule>
  </conditionalFormatting>
  <conditionalFormatting sqref="P2055">
    <cfRule type="cellIs" dxfId="5488" priority="6007" operator="greaterThanOrEqual">
      <formula>2.5</formula>
    </cfRule>
  </conditionalFormatting>
  <conditionalFormatting sqref="Q2055">
    <cfRule type="containsText" dxfId="5487" priority="6008" operator="containsText" text="ND">
      <formula>NOT(ISERROR(SEARCH(("ND"),(Q2055))))</formula>
    </cfRule>
  </conditionalFormatting>
  <conditionalFormatting sqref="Q2055">
    <cfRule type="cellIs" dxfId="5486" priority="6009" operator="greaterThanOrEqual">
      <formula>500</formula>
    </cfRule>
  </conditionalFormatting>
  <conditionalFormatting sqref="Q2055">
    <cfRule type="cellIs" dxfId="5485" priority="6010" operator="greaterThanOrEqual">
      <formula>300</formula>
    </cfRule>
  </conditionalFormatting>
  <conditionalFormatting sqref="L1699">
    <cfRule type="cellIs" dxfId="5484" priority="5964" operator="greaterThanOrEqual">
      <formula>5</formula>
    </cfRule>
  </conditionalFormatting>
  <conditionalFormatting sqref="L1699">
    <cfRule type="cellIs" dxfId="5483" priority="5965" operator="greaterThanOrEqual">
      <formula>2</formula>
    </cfRule>
  </conditionalFormatting>
  <conditionalFormatting sqref="M1699">
    <cfRule type="cellIs" dxfId="5482" priority="5966" operator="greaterThanOrEqual">
      <formula>60</formula>
    </cfRule>
  </conditionalFormatting>
  <conditionalFormatting sqref="M1699">
    <cfRule type="cellIs" dxfId="5481" priority="5967" operator="greaterThanOrEqual">
      <formula>30</formula>
    </cfRule>
  </conditionalFormatting>
  <conditionalFormatting sqref="R1699">
    <cfRule type="cellIs" dxfId="5480" priority="5968" operator="greaterThanOrEqual">
      <formula>600</formula>
    </cfRule>
  </conditionalFormatting>
  <conditionalFormatting sqref="R1699">
    <cfRule type="cellIs" dxfId="5479" priority="5969" operator="greaterThanOrEqual">
      <formula>260</formula>
    </cfRule>
  </conditionalFormatting>
  <conditionalFormatting sqref="S1699">
    <cfRule type="containsText" dxfId="5478" priority="5970" operator="containsText" text="&lt;">
      <formula>NOT(ISERROR(SEARCH(("&lt;"),(S1699))))</formula>
    </cfRule>
  </conditionalFormatting>
  <conditionalFormatting sqref="S1699">
    <cfRule type="containsText" dxfId="5477" priority="5971" operator="containsText" text="ND">
      <formula>NOT(ISERROR(SEARCH(("ND"),(S1699))))</formula>
    </cfRule>
  </conditionalFormatting>
  <conditionalFormatting sqref="S1699">
    <cfRule type="cellIs" dxfId="5476" priority="5972" operator="greaterThanOrEqual">
      <formula>200</formula>
    </cfRule>
  </conditionalFormatting>
  <conditionalFormatting sqref="S1699">
    <cfRule type="cellIs" dxfId="5475" priority="5973" operator="greaterThanOrEqual">
      <formula>130</formula>
    </cfRule>
  </conditionalFormatting>
  <conditionalFormatting sqref="N1699">
    <cfRule type="cellIs" dxfId="5474" priority="5974" operator="greaterThanOrEqual">
      <formula>200</formula>
    </cfRule>
  </conditionalFormatting>
  <conditionalFormatting sqref="N1699">
    <cfRule type="cellIs" dxfId="5473" priority="5975" operator="greaterThanOrEqual">
      <formula>120</formula>
    </cfRule>
  </conditionalFormatting>
  <conditionalFormatting sqref="O1699">
    <cfRule type="containsText" dxfId="5472" priority="5976" operator="containsText" text="ND">
      <formula>NOT(ISERROR(SEARCH(("ND"),(O1699))))</formula>
    </cfRule>
  </conditionalFormatting>
  <conditionalFormatting sqref="O1699">
    <cfRule type="cellIs" dxfId="5471" priority="5977" operator="greaterThanOrEqual">
      <formula>250</formula>
    </cfRule>
  </conditionalFormatting>
  <conditionalFormatting sqref="O1699">
    <cfRule type="cellIs" dxfId="5470" priority="5978" operator="greaterThanOrEqual">
      <formula>175</formula>
    </cfRule>
  </conditionalFormatting>
  <conditionalFormatting sqref="P1699">
    <cfRule type="containsText" dxfId="5469" priority="5979" operator="containsText" text="ND">
      <formula>NOT(ISERROR(SEARCH(("ND"),(P1699))))</formula>
    </cfRule>
  </conditionalFormatting>
  <conditionalFormatting sqref="P1699">
    <cfRule type="cellIs" dxfId="5468" priority="5980" operator="greaterThanOrEqual">
      <formula>5</formula>
    </cfRule>
  </conditionalFormatting>
  <conditionalFormatting sqref="P1699">
    <cfRule type="cellIs" dxfId="5467" priority="5981" operator="greaterThanOrEqual">
      <formula>2.5</formula>
    </cfRule>
  </conditionalFormatting>
  <conditionalFormatting sqref="Q1699">
    <cfRule type="containsText" dxfId="5466" priority="5982" operator="containsText" text="ND">
      <formula>NOT(ISERROR(SEARCH(("ND"),(Q1699))))</formula>
    </cfRule>
  </conditionalFormatting>
  <conditionalFormatting sqref="Q1699">
    <cfRule type="cellIs" dxfId="5465" priority="5983" operator="greaterThanOrEqual">
      <formula>500</formula>
    </cfRule>
  </conditionalFormatting>
  <conditionalFormatting sqref="Q1699">
    <cfRule type="cellIs" dxfId="5464" priority="5984" operator="greaterThanOrEqual">
      <formula>300</formula>
    </cfRule>
  </conditionalFormatting>
  <conditionalFormatting sqref="L1700">
    <cfRule type="cellIs" dxfId="5463" priority="5943" operator="greaterThanOrEqual">
      <formula>5</formula>
    </cfRule>
  </conditionalFormatting>
  <conditionalFormatting sqref="L1700">
    <cfRule type="cellIs" dxfId="5462" priority="5944" operator="greaterThanOrEqual">
      <formula>2</formula>
    </cfRule>
  </conditionalFormatting>
  <conditionalFormatting sqref="M1700">
    <cfRule type="cellIs" dxfId="5461" priority="5945" operator="greaterThanOrEqual">
      <formula>60</formula>
    </cfRule>
  </conditionalFormatting>
  <conditionalFormatting sqref="M1700">
    <cfRule type="cellIs" dxfId="5460" priority="5946" operator="greaterThanOrEqual">
      <formula>30</formula>
    </cfRule>
  </conditionalFormatting>
  <conditionalFormatting sqref="R1700">
    <cfRule type="cellIs" dxfId="5459" priority="5947" operator="greaterThanOrEqual">
      <formula>600</formula>
    </cfRule>
  </conditionalFormatting>
  <conditionalFormatting sqref="R1700">
    <cfRule type="cellIs" dxfId="5458" priority="5948" operator="greaterThanOrEqual">
      <formula>260</formula>
    </cfRule>
  </conditionalFormatting>
  <conditionalFormatting sqref="S1700">
    <cfRule type="containsText" dxfId="5457" priority="5949" operator="containsText" text="&lt;">
      <formula>NOT(ISERROR(SEARCH(("&lt;"),(S1700))))</formula>
    </cfRule>
  </conditionalFormatting>
  <conditionalFormatting sqref="S1700">
    <cfRule type="containsText" dxfId="5456" priority="5950" operator="containsText" text="ND">
      <formula>NOT(ISERROR(SEARCH(("ND"),(S1700))))</formula>
    </cfRule>
  </conditionalFormatting>
  <conditionalFormatting sqref="S1700">
    <cfRule type="cellIs" dxfId="5455" priority="5951" operator="greaterThanOrEqual">
      <formula>200</formula>
    </cfRule>
  </conditionalFormatting>
  <conditionalFormatting sqref="S1700">
    <cfRule type="cellIs" dxfId="5454" priority="5952" operator="greaterThanOrEqual">
      <formula>130</formula>
    </cfRule>
  </conditionalFormatting>
  <conditionalFormatting sqref="N1700">
    <cfRule type="cellIs" dxfId="5453" priority="5953" operator="greaterThanOrEqual">
      <formula>200</formula>
    </cfRule>
  </conditionalFormatting>
  <conditionalFormatting sqref="N1700">
    <cfRule type="cellIs" dxfId="5452" priority="5954" operator="greaterThanOrEqual">
      <formula>120</formula>
    </cfRule>
  </conditionalFormatting>
  <conditionalFormatting sqref="O1700">
    <cfRule type="containsText" dxfId="5451" priority="5955" operator="containsText" text="ND">
      <formula>NOT(ISERROR(SEARCH(("ND"),(O1700))))</formula>
    </cfRule>
  </conditionalFormatting>
  <conditionalFormatting sqref="O1700">
    <cfRule type="cellIs" dxfId="5450" priority="5956" operator="greaterThanOrEqual">
      <formula>250</formula>
    </cfRule>
  </conditionalFormatting>
  <conditionalFormatting sqref="O1700">
    <cfRule type="cellIs" dxfId="5449" priority="5957" operator="greaterThanOrEqual">
      <formula>175</formula>
    </cfRule>
  </conditionalFormatting>
  <conditionalFormatting sqref="P1700">
    <cfRule type="containsText" dxfId="5448" priority="5958" operator="containsText" text="ND">
      <formula>NOT(ISERROR(SEARCH(("ND"),(P1700))))</formula>
    </cfRule>
  </conditionalFormatting>
  <conditionalFormatting sqref="P1700">
    <cfRule type="cellIs" dxfId="5447" priority="5959" operator="greaterThanOrEqual">
      <formula>5</formula>
    </cfRule>
  </conditionalFormatting>
  <conditionalFormatting sqref="P1700">
    <cfRule type="cellIs" dxfId="5446" priority="5960" operator="greaterThanOrEqual">
      <formula>2.5</formula>
    </cfRule>
  </conditionalFormatting>
  <conditionalFormatting sqref="Q1700">
    <cfRule type="containsText" dxfId="5445" priority="5961" operator="containsText" text="ND">
      <formula>NOT(ISERROR(SEARCH(("ND"),(Q1700))))</formula>
    </cfRule>
  </conditionalFormatting>
  <conditionalFormatting sqref="Q1700">
    <cfRule type="cellIs" dxfId="5444" priority="5962" operator="greaterThanOrEqual">
      <formula>500</formula>
    </cfRule>
  </conditionalFormatting>
  <conditionalFormatting sqref="Q1700">
    <cfRule type="cellIs" dxfId="5443" priority="5963" operator="greaterThanOrEqual">
      <formula>300</formula>
    </cfRule>
  </conditionalFormatting>
  <conditionalFormatting sqref="L1701:L1702">
    <cfRule type="cellIs" dxfId="5442" priority="5922" operator="greaterThanOrEqual">
      <formula>5</formula>
    </cfRule>
  </conditionalFormatting>
  <conditionalFormatting sqref="L1701:L1702">
    <cfRule type="cellIs" dxfId="5441" priority="5923" operator="greaterThanOrEqual">
      <formula>2</formula>
    </cfRule>
  </conditionalFormatting>
  <conditionalFormatting sqref="M1701:M1702">
    <cfRule type="cellIs" dxfId="5440" priority="5924" operator="greaterThanOrEqual">
      <formula>60</formula>
    </cfRule>
  </conditionalFormatting>
  <conditionalFormatting sqref="M1701:M1702">
    <cfRule type="cellIs" dxfId="5439" priority="5925" operator="greaterThanOrEqual">
      <formula>30</formula>
    </cfRule>
  </conditionalFormatting>
  <conditionalFormatting sqref="R1701:R1702">
    <cfRule type="cellIs" dxfId="5438" priority="5926" operator="greaterThanOrEqual">
      <formula>600</formula>
    </cfRule>
  </conditionalFormatting>
  <conditionalFormatting sqref="R1701:R1702">
    <cfRule type="cellIs" dxfId="5437" priority="5927" operator="greaterThanOrEqual">
      <formula>260</formula>
    </cfRule>
  </conditionalFormatting>
  <conditionalFormatting sqref="S1701:S1702">
    <cfRule type="containsText" dxfId="5436" priority="5928" operator="containsText" text="&lt;">
      <formula>NOT(ISERROR(SEARCH(("&lt;"),(S1701))))</formula>
    </cfRule>
  </conditionalFormatting>
  <conditionalFormatting sqref="S1701:S1702">
    <cfRule type="containsText" dxfId="5435" priority="5929" operator="containsText" text="ND">
      <formula>NOT(ISERROR(SEARCH(("ND"),(S1701))))</formula>
    </cfRule>
  </conditionalFormatting>
  <conditionalFormatting sqref="S1701:S1702">
    <cfRule type="cellIs" dxfId="5434" priority="5930" operator="greaterThanOrEqual">
      <formula>200</formula>
    </cfRule>
  </conditionalFormatting>
  <conditionalFormatting sqref="S1701:S1702">
    <cfRule type="cellIs" dxfId="5433" priority="5931" operator="greaterThanOrEqual">
      <formula>130</formula>
    </cfRule>
  </conditionalFormatting>
  <conditionalFormatting sqref="N1701:N1702">
    <cfRule type="cellIs" dxfId="5432" priority="5932" operator="greaterThanOrEqual">
      <formula>200</formula>
    </cfRule>
  </conditionalFormatting>
  <conditionalFormatting sqref="N1701:N1702">
    <cfRule type="cellIs" dxfId="5431" priority="5933" operator="greaterThanOrEqual">
      <formula>120</formula>
    </cfRule>
  </conditionalFormatting>
  <conditionalFormatting sqref="O1701:O1702">
    <cfRule type="containsText" dxfId="5430" priority="5934" operator="containsText" text="ND">
      <formula>NOT(ISERROR(SEARCH(("ND"),(O1701))))</formula>
    </cfRule>
  </conditionalFormatting>
  <conditionalFormatting sqref="O1701:O1702">
    <cfRule type="cellIs" dxfId="5429" priority="5935" operator="greaterThanOrEqual">
      <formula>250</formula>
    </cfRule>
  </conditionalFormatting>
  <conditionalFormatting sqref="O1701:O1702">
    <cfRule type="cellIs" dxfId="5428" priority="5936" operator="greaterThanOrEqual">
      <formula>175</formula>
    </cfRule>
  </conditionalFormatting>
  <conditionalFormatting sqref="P1701:P1702">
    <cfRule type="containsText" dxfId="5427" priority="5937" operator="containsText" text="ND">
      <formula>NOT(ISERROR(SEARCH(("ND"),(P1701))))</formula>
    </cfRule>
  </conditionalFormatting>
  <conditionalFormatting sqref="P1701:P1702">
    <cfRule type="cellIs" dxfId="5426" priority="5938" operator="greaterThanOrEqual">
      <formula>5</formula>
    </cfRule>
  </conditionalFormatting>
  <conditionalFormatting sqref="P1701:P1702">
    <cfRule type="cellIs" dxfId="5425" priority="5939" operator="greaterThanOrEqual">
      <formula>2.5</formula>
    </cfRule>
  </conditionalFormatting>
  <conditionalFormatting sqref="Q1701:Q1702">
    <cfRule type="containsText" dxfId="5424" priority="5940" operator="containsText" text="ND">
      <formula>NOT(ISERROR(SEARCH(("ND"),(Q1701))))</formula>
    </cfRule>
  </conditionalFormatting>
  <conditionalFormatting sqref="Q1701:Q1702">
    <cfRule type="cellIs" dxfId="5423" priority="5941" operator="greaterThanOrEqual">
      <formula>500</formula>
    </cfRule>
  </conditionalFormatting>
  <conditionalFormatting sqref="Q1701:Q1702">
    <cfRule type="cellIs" dxfId="5422" priority="5942" operator="greaterThanOrEqual">
      <formula>300</formula>
    </cfRule>
  </conditionalFormatting>
  <conditionalFormatting sqref="L1703">
    <cfRule type="cellIs" dxfId="5421" priority="5901" operator="greaterThanOrEqual">
      <formula>5</formula>
    </cfRule>
  </conditionalFormatting>
  <conditionalFormatting sqref="L1703">
    <cfRule type="cellIs" dxfId="5420" priority="5902" operator="greaterThanOrEqual">
      <formula>2</formula>
    </cfRule>
  </conditionalFormatting>
  <conditionalFormatting sqref="M1703">
    <cfRule type="cellIs" dxfId="5419" priority="5903" operator="greaterThanOrEqual">
      <formula>60</formula>
    </cfRule>
  </conditionalFormatting>
  <conditionalFormatting sqref="M1703">
    <cfRule type="cellIs" dxfId="5418" priority="5904" operator="greaterThanOrEqual">
      <formula>30</formula>
    </cfRule>
  </conditionalFormatting>
  <conditionalFormatting sqref="R1703">
    <cfRule type="cellIs" dxfId="5417" priority="5905" operator="greaterThanOrEqual">
      <formula>600</formula>
    </cfRule>
  </conditionalFormatting>
  <conditionalFormatting sqref="R1703">
    <cfRule type="cellIs" dxfId="5416" priority="5906" operator="greaterThanOrEqual">
      <formula>260</formula>
    </cfRule>
  </conditionalFormatting>
  <conditionalFormatting sqref="S1703">
    <cfRule type="containsText" dxfId="5415" priority="5907" operator="containsText" text="&lt;">
      <formula>NOT(ISERROR(SEARCH(("&lt;"),(S1703))))</formula>
    </cfRule>
  </conditionalFormatting>
  <conditionalFormatting sqref="S1703">
    <cfRule type="containsText" dxfId="5414" priority="5908" operator="containsText" text="ND">
      <formula>NOT(ISERROR(SEARCH(("ND"),(S1703))))</formula>
    </cfRule>
  </conditionalFormatting>
  <conditionalFormatting sqref="S1703">
    <cfRule type="cellIs" dxfId="5413" priority="5909" operator="greaterThanOrEqual">
      <formula>200</formula>
    </cfRule>
  </conditionalFormatting>
  <conditionalFormatting sqref="S1703">
    <cfRule type="cellIs" dxfId="5412" priority="5910" operator="greaterThanOrEqual">
      <formula>130</formula>
    </cfRule>
  </conditionalFormatting>
  <conditionalFormatting sqref="N1703">
    <cfRule type="cellIs" dxfId="5411" priority="5911" operator="greaterThanOrEqual">
      <formula>200</formula>
    </cfRule>
  </conditionalFormatting>
  <conditionalFormatting sqref="N1703">
    <cfRule type="cellIs" dxfId="5410" priority="5912" operator="greaterThanOrEqual">
      <formula>120</formula>
    </cfRule>
  </conditionalFormatting>
  <conditionalFormatting sqref="O1703">
    <cfRule type="containsText" dxfId="5409" priority="5913" operator="containsText" text="ND">
      <formula>NOT(ISERROR(SEARCH(("ND"),(O1703))))</formula>
    </cfRule>
  </conditionalFormatting>
  <conditionalFormatting sqref="O1703">
    <cfRule type="cellIs" dxfId="5408" priority="5914" operator="greaterThanOrEqual">
      <formula>250</formula>
    </cfRule>
  </conditionalFormatting>
  <conditionalFormatting sqref="O1703">
    <cfRule type="cellIs" dxfId="5407" priority="5915" operator="greaterThanOrEqual">
      <formula>175</formula>
    </cfRule>
  </conditionalFormatting>
  <conditionalFormatting sqref="P1703">
    <cfRule type="containsText" dxfId="5406" priority="5916" operator="containsText" text="ND">
      <formula>NOT(ISERROR(SEARCH(("ND"),(P1703))))</formula>
    </cfRule>
  </conditionalFormatting>
  <conditionalFormatting sqref="P1703">
    <cfRule type="cellIs" dxfId="5405" priority="5917" operator="greaterThanOrEqual">
      <formula>5</formula>
    </cfRule>
  </conditionalFormatting>
  <conditionalFormatting sqref="P1703">
    <cfRule type="cellIs" dxfId="5404" priority="5918" operator="greaterThanOrEqual">
      <formula>2.5</formula>
    </cfRule>
  </conditionalFormatting>
  <conditionalFormatting sqref="Q1703">
    <cfRule type="containsText" dxfId="5403" priority="5919" operator="containsText" text="ND">
      <formula>NOT(ISERROR(SEARCH(("ND"),(Q1703))))</formula>
    </cfRule>
  </conditionalFormatting>
  <conditionalFormatting sqref="Q1703">
    <cfRule type="cellIs" dxfId="5402" priority="5920" operator="greaterThanOrEqual">
      <formula>500</formula>
    </cfRule>
  </conditionalFormatting>
  <conditionalFormatting sqref="Q1703">
    <cfRule type="cellIs" dxfId="5401" priority="5921" operator="greaterThanOrEqual">
      <formula>300</formula>
    </cfRule>
  </conditionalFormatting>
  <conditionalFormatting sqref="L1633:L1635">
    <cfRule type="cellIs" dxfId="5400" priority="5880" operator="greaterThanOrEqual">
      <formula>5</formula>
    </cfRule>
  </conditionalFormatting>
  <conditionalFormatting sqref="L1633:L1635">
    <cfRule type="cellIs" dxfId="5399" priority="5881" operator="greaterThanOrEqual">
      <formula>2</formula>
    </cfRule>
  </conditionalFormatting>
  <conditionalFormatting sqref="M1633:M1635">
    <cfRule type="cellIs" dxfId="5398" priority="5882" operator="greaterThanOrEqual">
      <formula>60</formula>
    </cfRule>
  </conditionalFormatting>
  <conditionalFormatting sqref="M1633:M1635">
    <cfRule type="cellIs" dxfId="5397" priority="5883" operator="greaterThanOrEqual">
      <formula>30</formula>
    </cfRule>
  </conditionalFormatting>
  <conditionalFormatting sqref="R1633:R1635">
    <cfRule type="cellIs" dxfId="5396" priority="5884" operator="greaterThanOrEqual">
      <formula>600</formula>
    </cfRule>
  </conditionalFormatting>
  <conditionalFormatting sqref="R1633:R1635">
    <cfRule type="cellIs" dxfId="5395" priority="5885" operator="greaterThanOrEqual">
      <formula>260</formula>
    </cfRule>
  </conditionalFormatting>
  <conditionalFormatting sqref="S1633:S1635">
    <cfRule type="containsText" dxfId="5394" priority="5886" operator="containsText" text="&lt;">
      <formula>NOT(ISERROR(SEARCH(("&lt;"),(S1633))))</formula>
    </cfRule>
  </conditionalFormatting>
  <conditionalFormatting sqref="S1633:S1635">
    <cfRule type="containsText" dxfId="5393" priority="5887" operator="containsText" text="ND">
      <formula>NOT(ISERROR(SEARCH(("ND"),(S1633))))</formula>
    </cfRule>
  </conditionalFormatting>
  <conditionalFormatting sqref="S1633:S1635">
    <cfRule type="cellIs" dxfId="5392" priority="5888" operator="greaterThanOrEqual">
      <formula>200</formula>
    </cfRule>
  </conditionalFormatting>
  <conditionalFormatting sqref="S1633:S1635">
    <cfRule type="cellIs" dxfId="5391" priority="5889" operator="greaterThanOrEqual">
      <formula>130</formula>
    </cfRule>
  </conditionalFormatting>
  <conditionalFormatting sqref="N1633:N1635">
    <cfRule type="cellIs" dxfId="5390" priority="5890" operator="greaterThanOrEqual">
      <formula>200</formula>
    </cfRule>
  </conditionalFormatting>
  <conditionalFormatting sqref="N1633:N1635">
    <cfRule type="cellIs" dxfId="5389" priority="5891" operator="greaterThanOrEqual">
      <formula>120</formula>
    </cfRule>
  </conditionalFormatting>
  <conditionalFormatting sqref="O1633:O1635">
    <cfRule type="containsText" dxfId="5388" priority="5892" operator="containsText" text="ND">
      <formula>NOT(ISERROR(SEARCH(("ND"),(O1633))))</formula>
    </cfRule>
  </conditionalFormatting>
  <conditionalFormatting sqref="O1633:O1635">
    <cfRule type="cellIs" dxfId="5387" priority="5893" operator="greaterThanOrEqual">
      <formula>250</formula>
    </cfRule>
  </conditionalFormatting>
  <conditionalFormatting sqref="O1633:O1635">
    <cfRule type="cellIs" dxfId="5386" priority="5894" operator="greaterThanOrEqual">
      <formula>175</formula>
    </cfRule>
  </conditionalFormatting>
  <conditionalFormatting sqref="P1633:P1635">
    <cfRule type="containsText" dxfId="5385" priority="5895" operator="containsText" text="ND">
      <formula>NOT(ISERROR(SEARCH(("ND"),(P1633))))</formula>
    </cfRule>
  </conditionalFormatting>
  <conditionalFormatting sqref="P1633:P1635">
    <cfRule type="cellIs" dxfId="5384" priority="5896" operator="greaterThanOrEqual">
      <formula>5</formula>
    </cfRule>
  </conditionalFormatting>
  <conditionalFormatting sqref="P1633:P1635">
    <cfRule type="cellIs" dxfId="5383" priority="5897" operator="greaterThanOrEqual">
      <formula>2.5</formula>
    </cfRule>
  </conditionalFormatting>
  <conditionalFormatting sqref="Q1633:Q1635">
    <cfRule type="containsText" dxfId="5382" priority="5898" operator="containsText" text="ND">
      <formula>NOT(ISERROR(SEARCH(("ND"),(Q1633))))</formula>
    </cfRule>
  </conditionalFormatting>
  <conditionalFormatting sqref="Q1633:Q1635">
    <cfRule type="cellIs" dxfId="5381" priority="5899" operator="greaterThanOrEqual">
      <formula>500</formula>
    </cfRule>
  </conditionalFormatting>
  <conditionalFormatting sqref="Q1633:Q1635">
    <cfRule type="cellIs" dxfId="5380" priority="5900" operator="greaterThanOrEqual">
      <formula>300</formula>
    </cfRule>
  </conditionalFormatting>
  <conditionalFormatting sqref="L2195:L2196">
    <cfRule type="cellIs" dxfId="5379" priority="5859" operator="greaterThanOrEqual">
      <formula>5</formula>
    </cfRule>
  </conditionalFormatting>
  <conditionalFormatting sqref="L2195:L2196">
    <cfRule type="cellIs" dxfId="5378" priority="5860" operator="greaterThanOrEqual">
      <formula>2</formula>
    </cfRule>
  </conditionalFormatting>
  <conditionalFormatting sqref="M2195:M2196">
    <cfRule type="cellIs" dxfId="5377" priority="5861" operator="greaterThanOrEqual">
      <formula>60</formula>
    </cfRule>
  </conditionalFormatting>
  <conditionalFormatting sqref="M2195:M2196">
    <cfRule type="cellIs" dxfId="5376" priority="5862" operator="greaterThanOrEqual">
      <formula>30</formula>
    </cfRule>
  </conditionalFormatting>
  <conditionalFormatting sqref="R2195:R2196">
    <cfRule type="cellIs" dxfId="5375" priority="5863" operator="greaterThanOrEqual">
      <formula>600</formula>
    </cfRule>
  </conditionalFormatting>
  <conditionalFormatting sqref="R2195:R2196">
    <cfRule type="cellIs" dxfId="5374" priority="5864" operator="greaterThanOrEqual">
      <formula>260</formula>
    </cfRule>
  </conditionalFormatting>
  <conditionalFormatting sqref="S2195:S2196">
    <cfRule type="containsText" dxfId="5373" priority="5865" operator="containsText" text="&lt;">
      <formula>NOT(ISERROR(SEARCH(("&lt;"),(S2195))))</formula>
    </cfRule>
  </conditionalFormatting>
  <conditionalFormatting sqref="S2195:S2196">
    <cfRule type="containsText" dxfId="5372" priority="5866" operator="containsText" text="ND">
      <formula>NOT(ISERROR(SEARCH(("ND"),(S2195))))</formula>
    </cfRule>
  </conditionalFormatting>
  <conditionalFormatting sqref="S2195:S2196">
    <cfRule type="cellIs" dxfId="5371" priority="5867" operator="greaterThanOrEqual">
      <formula>200</formula>
    </cfRule>
  </conditionalFormatting>
  <conditionalFormatting sqref="S2195:S2196">
    <cfRule type="cellIs" dxfId="5370" priority="5868" operator="greaterThanOrEqual">
      <formula>130</formula>
    </cfRule>
  </conditionalFormatting>
  <conditionalFormatting sqref="N2195:N2196">
    <cfRule type="cellIs" dxfId="5369" priority="5869" operator="greaterThanOrEqual">
      <formula>200</formula>
    </cfRule>
  </conditionalFormatting>
  <conditionalFormatting sqref="N2195:N2196">
    <cfRule type="cellIs" dxfId="5368" priority="5870" operator="greaterThanOrEqual">
      <formula>120</formula>
    </cfRule>
  </conditionalFormatting>
  <conditionalFormatting sqref="O2195:O2196">
    <cfRule type="containsText" dxfId="5367" priority="5871" operator="containsText" text="ND">
      <formula>NOT(ISERROR(SEARCH(("ND"),(O2195))))</formula>
    </cfRule>
  </conditionalFormatting>
  <conditionalFormatting sqref="O2195:O2196">
    <cfRule type="cellIs" dxfId="5366" priority="5872" operator="greaterThanOrEqual">
      <formula>250</formula>
    </cfRule>
  </conditionalFormatting>
  <conditionalFormatting sqref="O2195:O2196">
    <cfRule type="cellIs" dxfId="5365" priority="5873" operator="greaterThanOrEqual">
      <formula>175</formula>
    </cfRule>
  </conditionalFormatting>
  <conditionalFormatting sqref="P2195:P2196">
    <cfRule type="containsText" dxfId="5364" priority="5874" operator="containsText" text="ND">
      <formula>NOT(ISERROR(SEARCH(("ND"),(P2195))))</formula>
    </cfRule>
  </conditionalFormatting>
  <conditionalFormatting sqref="P2195:P2196">
    <cfRule type="cellIs" dxfId="5363" priority="5875" operator="greaterThanOrEqual">
      <formula>5</formula>
    </cfRule>
  </conditionalFormatting>
  <conditionalFormatting sqref="P2195:P2196">
    <cfRule type="cellIs" dxfId="5362" priority="5876" operator="greaterThanOrEqual">
      <formula>2.5</formula>
    </cfRule>
  </conditionalFormatting>
  <conditionalFormatting sqref="Q2195:Q2196">
    <cfRule type="containsText" dxfId="5361" priority="5877" operator="containsText" text="ND">
      <formula>NOT(ISERROR(SEARCH(("ND"),(Q2195))))</formula>
    </cfRule>
  </conditionalFormatting>
  <conditionalFormatting sqref="Q2195:Q2196">
    <cfRule type="cellIs" dxfId="5360" priority="5878" operator="greaterThanOrEqual">
      <formula>500</formula>
    </cfRule>
  </conditionalFormatting>
  <conditionalFormatting sqref="Q2195:Q2196">
    <cfRule type="cellIs" dxfId="5359" priority="5879" operator="greaterThanOrEqual">
      <formula>300</formula>
    </cfRule>
  </conditionalFormatting>
  <conditionalFormatting sqref="L1839">
    <cfRule type="cellIs" dxfId="5358" priority="5838" operator="greaterThanOrEqual">
      <formula>5</formula>
    </cfRule>
  </conditionalFormatting>
  <conditionalFormatting sqref="L1839">
    <cfRule type="cellIs" dxfId="5357" priority="5839" operator="greaterThanOrEqual">
      <formula>2</formula>
    </cfRule>
  </conditionalFormatting>
  <conditionalFormatting sqref="M1839">
    <cfRule type="cellIs" dxfId="5356" priority="5840" operator="greaterThanOrEqual">
      <formula>60</formula>
    </cfRule>
  </conditionalFormatting>
  <conditionalFormatting sqref="M1839">
    <cfRule type="cellIs" dxfId="5355" priority="5841" operator="greaterThanOrEqual">
      <formula>30</formula>
    </cfRule>
  </conditionalFormatting>
  <conditionalFormatting sqref="R1839">
    <cfRule type="cellIs" dxfId="5354" priority="5842" operator="greaterThanOrEqual">
      <formula>600</formula>
    </cfRule>
  </conditionalFormatting>
  <conditionalFormatting sqref="R1839">
    <cfRule type="cellIs" dxfId="5353" priority="5843" operator="greaterThanOrEqual">
      <formula>260</formula>
    </cfRule>
  </conditionalFormatting>
  <conditionalFormatting sqref="S1839">
    <cfRule type="containsText" dxfId="5352" priority="5844" operator="containsText" text="&lt;">
      <formula>NOT(ISERROR(SEARCH(("&lt;"),(S1839))))</formula>
    </cfRule>
  </conditionalFormatting>
  <conditionalFormatting sqref="S1839">
    <cfRule type="containsText" dxfId="5351" priority="5845" operator="containsText" text="ND">
      <formula>NOT(ISERROR(SEARCH(("ND"),(S1839))))</formula>
    </cfRule>
  </conditionalFormatting>
  <conditionalFormatting sqref="S1839">
    <cfRule type="cellIs" dxfId="5350" priority="5846" operator="greaterThanOrEqual">
      <formula>200</formula>
    </cfRule>
  </conditionalFormatting>
  <conditionalFormatting sqref="S1839">
    <cfRule type="cellIs" dxfId="5349" priority="5847" operator="greaterThanOrEqual">
      <formula>130</formula>
    </cfRule>
  </conditionalFormatting>
  <conditionalFormatting sqref="N1839">
    <cfRule type="cellIs" dxfId="5348" priority="5848" operator="greaterThanOrEqual">
      <formula>200</formula>
    </cfRule>
  </conditionalFormatting>
  <conditionalFormatting sqref="N1839">
    <cfRule type="cellIs" dxfId="5347" priority="5849" operator="greaterThanOrEqual">
      <formula>120</formula>
    </cfRule>
  </conditionalFormatting>
  <conditionalFormatting sqref="O1839">
    <cfRule type="containsText" dxfId="5346" priority="5850" operator="containsText" text="ND">
      <formula>NOT(ISERROR(SEARCH(("ND"),(O1839))))</formula>
    </cfRule>
  </conditionalFormatting>
  <conditionalFormatting sqref="O1839">
    <cfRule type="cellIs" dxfId="5345" priority="5851" operator="greaterThanOrEqual">
      <formula>250</formula>
    </cfRule>
  </conditionalFormatting>
  <conditionalFormatting sqref="O1839">
    <cfRule type="cellIs" dxfId="5344" priority="5852" operator="greaterThanOrEqual">
      <formula>175</formula>
    </cfRule>
  </conditionalFormatting>
  <conditionalFormatting sqref="P1839">
    <cfRule type="containsText" dxfId="5343" priority="5853" operator="containsText" text="ND">
      <formula>NOT(ISERROR(SEARCH(("ND"),(P1839))))</formula>
    </cfRule>
  </conditionalFormatting>
  <conditionalFormatting sqref="P1839">
    <cfRule type="cellIs" dxfId="5342" priority="5854" operator="greaterThanOrEqual">
      <formula>5</formula>
    </cfRule>
  </conditionalFormatting>
  <conditionalFormatting sqref="P1839">
    <cfRule type="cellIs" dxfId="5341" priority="5855" operator="greaterThanOrEqual">
      <formula>2.5</formula>
    </cfRule>
  </conditionalFormatting>
  <conditionalFormatting sqref="Q1839">
    <cfRule type="containsText" dxfId="5340" priority="5856" operator="containsText" text="ND">
      <formula>NOT(ISERROR(SEARCH(("ND"),(Q1839))))</formula>
    </cfRule>
  </conditionalFormatting>
  <conditionalFormatting sqref="Q1839">
    <cfRule type="cellIs" dxfId="5339" priority="5857" operator="greaterThanOrEqual">
      <formula>500</formula>
    </cfRule>
  </conditionalFormatting>
  <conditionalFormatting sqref="Q1839">
    <cfRule type="cellIs" dxfId="5338" priority="5858" operator="greaterThanOrEqual">
      <formula>300</formula>
    </cfRule>
  </conditionalFormatting>
  <conditionalFormatting sqref="L1840">
    <cfRule type="cellIs" dxfId="5337" priority="5817" operator="greaterThanOrEqual">
      <formula>5</formula>
    </cfRule>
  </conditionalFormatting>
  <conditionalFormatting sqref="L1840">
    <cfRule type="cellIs" dxfId="5336" priority="5818" operator="greaterThanOrEqual">
      <formula>2</formula>
    </cfRule>
  </conditionalFormatting>
  <conditionalFormatting sqref="M1840">
    <cfRule type="cellIs" dxfId="5335" priority="5819" operator="greaterThanOrEqual">
      <formula>60</formula>
    </cfRule>
  </conditionalFormatting>
  <conditionalFormatting sqref="M1840">
    <cfRule type="cellIs" dxfId="5334" priority="5820" operator="greaterThanOrEqual">
      <formula>30</formula>
    </cfRule>
  </conditionalFormatting>
  <conditionalFormatting sqref="R1840">
    <cfRule type="cellIs" dxfId="5333" priority="5821" operator="greaterThanOrEqual">
      <formula>600</formula>
    </cfRule>
  </conditionalFormatting>
  <conditionalFormatting sqref="R1840">
    <cfRule type="cellIs" dxfId="5332" priority="5822" operator="greaterThanOrEqual">
      <formula>260</formula>
    </cfRule>
  </conditionalFormatting>
  <conditionalFormatting sqref="S1840">
    <cfRule type="containsText" dxfId="5331" priority="5823" operator="containsText" text="&lt;">
      <formula>NOT(ISERROR(SEARCH(("&lt;"),(S1840))))</formula>
    </cfRule>
  </conditionalFormatting>
  <conditionalFormatting sqref="S1840">
    <cfRule type="containsText" dxfId="5330" priority="5824" operator="containsText" text="ND">
      <formula>NOT(ISERROR(SEARCH(("ND"),(S1840))))</formula>
    </cfRule>
  </conditionalFormatting>
  <conditionalFormatting sqref="S1840">
    <cfRule type="cellIs" dxfId="5329" priority="5825" operator="greaterThanOrEqual">
      <formula>200</formula>
    </cfRule>
  </conditionalFormatting>
  <conditionalFormatting sqref="S1840">
    <cfRule type="cellIs" dxfId="5328" priority="5826" operator="greaterThanOrEqual">
      <formula>130</formula>
    </cfRule>
  </conditionalFormatting>
  <conditionalFormatting sqref="N1840">
    <cfRule type="cellIs" dxfId="5327" priority="5827" operator="greaterThanOrEqual">
      <formula>200</formula>
    </cfRule>
  </conditionalFormatting>
  <conditionalFormatting sqref="N1840">
    <cfRule type="cellIs" dxfId="5326" priority="5828" operator="greaterThanOrEqual">
      <formula>120</formula>
    </cfRule>
  </conditionalFormatting>
  <conditionalFormatting sqref="O1840">
    <cfRule type="containsText" dxfId="5325" priority="5829" operator="containsText" text="ND">
      <formula>NOT(ISERROR(SEARCH(("ND"),(O1840))))</formula>
    </cfRule>
  </conditionalFormatting>
  <conditionalFormatting sqref="O1840">
    <cfRule type="cellIs" dxfId="5324" priority="5830" operator="greaterThanOrEqual">
      <formula>250</formula>
    </cfRule>
  </conditionalFormatting>
  <conditionalFormatting sqref="O1840">
    <cfRule type="cellIs" dxfId="5323" priority="5831" operator="greaterThanOrEqual">
      <formula>175</formula>
    </cfRule>
  </conditionalFormatting>
  <conditionalFormatting sqref="P1840">
    <cfRule type="containsText" dxfId="5322" priority="5832" operator="containsText" text="ND">
      <formula>NOT(ISERROR(SEARCH(("ND"),(P1840))))</formula>
    </cfRule>
  </conditionalFormatting>
  <conditionalFormatting sqref="P1840">
    <cfRule type="cellIs" dxfId="5321" priority="5833" operator="greaterThanOrEqual">
      <formula>5</formula>
    </cfRule>
  </conditionalFormatting>
  <conditionalFormatting sqref="P1840">
    <cfRule type="cellIs" dxfId="5320" priority="5834" operator="greaterThanOrEqual">
      <formula>2.5</formula>
    </cfRule>
  </conditionalFormatting>
  <conditionalFormatting sqref="Q1840">
    <cfRule type="containsText" dxfId="5319" priority="5835" operator="containsText" text="ND">
      <formula>NOT(ISERROR(SEARCH(("ND"),(Q1840))))</formula>
    </cfRule>
  </conditionalFormatting>
  <conditionalFormatting sqref="Q1840">
    <cfRule type="cellIs" dxfId="5318" priority="5836" operator="greaterThanOrEqual">
      <formula>500</formula>
    </cfRule>
  </conditionalFormatting>
  <conditionalFormatting sqref="Q1840">
    <cfRule type="cellIs" dxfId="5317" priority="5837" operator="greaterThanOrEqual">
      <formula>300</formula>
    </cfRule>
  </conditionalFormatting>
  <conditionalFormatting sqref="L2056">
    <cfRule type="cellIs" dxfId="5316" priority="5796" operator="greaterThanOrEqual">
      <formula>5</formula>
    </cfRule>
  </conditionalFormatting>
  <conditionalFormatting sqref="L2056">
    <cfRule type="cellIs" dxfId="5315" priority="5797" operator="greaterThanOrEqual">
      <formula>2</formula>
    </cfRule>
  </conditionalFormatting>
  <conditionalFormatting sqref="M2056">
    <cfRule type="cellIs" dxfId="5314" priority="5798" operator="greaterThanOrEqual">
      <formula>60</formula>
    </cfRule>
  </conditionalFormatting>
  <conditionalFormatting sqref="M2056">
    <cfRule type="cellIs" dxfId="5313" priority="5799" operator="greaterThanOrEqual">
      <formula>30</formula>
    </cfRule>
  </conditionalFormatting>
  <conditionalFormatting sqref="R2056">
    <cfRule type="cellIs" dxfId="5312" priority="5800" operator="greaterThanOrEqual">
      <formula>600</formula>
    </cfRule>
  </conditionalFormatting>
  <conditionalFormatting sqref="R2056">
    <cfRule type="cellIs" dxfId="5311" priority="5801" operator="greaterThanOrEqual">
      <formula>260</formula>
    </cfRule>
  </conditionalFormatting>
  <conditionalFormatting sqref="S2056">
    <cfRule type="containsText" dxfId="5310" priority="5802" operator="containsText" text="&lt;">
      <formula>NOT(ISERROR(SEARCH(("&lt;"),(S2056))))</formula>
    </cfRule>
  </conditionalFormatting>
  <conditionalFormatting sqref="S2056">
    <cfRule type="containsText" dxfId="5309" priority="5803" operator="containsText" text="ND">
      <formula>NOT(ISERROR(SEARCH(("ND"),(S2056))))</formula>
    </cfRule>
  </conditionalFormatting>
  <conditionalFormatting sqref="S2056">
    <cfRule type="cellIs" dxfId="5308" priority="5804" operator="greaterThanOrEqual">
      <formula>200</formula>
    </cfRule>
  </conditionalFormatting>
  <conditionalFormatting sqref="S2056">
    <cfRule type="cellIs" dxfId="5307" priority="5805" operator="greaterThanOrEqual">
      <formula>130</formula>
    </cfRule>
  </conditionalFormatting>
  <conditionalFormatting sqref="N2056">
    <cfRule type="cellIs" dxfId="5306" priority="5806" operator="greaterThanOrEqual">
      <formula>200</formula>
    </cfRule>
  </conditionalFormatting>
  <conditionalFormatting sqref="N2056">
    <cfRule type="cellIs" dxfId="5305" priority="5807" operator="greaterThanOrEqual">
      <formula>120</formula>
    </cfRule>
  </conditionalFormatting>
  <conditionalFormatting sqref="O2056">
    <cfRule type="containsText" dxfId="5304" priority="5808" operator="containsText" text="ND">
      <formula>NOT(ISERROR(SEARCH(("ND"),(O2056))))</formula>
    </cfRule>
  </conditionalFormatting>
  <conditionalFormatting sqref="O2056">
    <cfRule type="cellIs" dxfId="5303" priority="5809" operator="greaterThanOrEqual">
      <formula>250</formula>
    </cfRule>
  </conditionalFormatting>
  <conditionalFormatting sqref="O2056">
    <cfRule type="cellIs" dxfId="5302" priority="5810" operator="greaterThanOrEqual">
      <formula>175</formula>
    </cfRule>
  </conditionalFormatting>
  <conditionalFormatting sqref="P2056">
    <cfRule type="containsText" dxfId="5301" priority="5811" operator="containsText" text="ND">
      <formula>NOT(ISERROR(SEARCH(("ND"),(P2056))))</formula>
    </cfRule>
  </conditionalFormatting>
  <conditionalFormatting sqref="P2056">
    <cfRule type="cellIs" dxfId="5300" priority="5812" operator="greaterThanOrEqual">
      <formula>5</formula>
    </cfRule>
  </conditionalFormatting>
  <conditionalFormatting sqref="P2056">
    <cfRule type="cellIs" dxfId="5299" priority="5813" operator="greaterThanOrEqual">
      <formula>2.5</formula>
    </cfRule>
  </conditionalFormatting>
  <conditionalFormatting sqref="Q2056">
    <cfRule type="containsText" dxfId="5298" priority="5814" operator="containsText" text="ND">
      <formula>NOT(ISERROR(SEARCH(("ND"),(Q2056))))</formula>
    </cfRule>
  </conditionalFormatting>
  <conditionalFormatting sqref="Q2056">
    <cfRule type="cellIs" dxfId="5297" priority="5815" operator="greaterThanOrEqual">
      <formula>500</formula>
    </cfRule>
  </conditionalFormatting>
  <conditionalFormatting sqref="Q2056">
    <cfRule type="cellIs" dxfId="5296" priority="5816" operator="greaterThanOrEqual">
      <formula>300</formula>
    </cfRule>
  </conditionalFormatting>
  <conditionalFormatting sqref="L1704">
    <cfRule type="cellIs" dxfId="5295" priority="5775" operator="greaterThanOrEqual">
      <formula>5</formula>
    </cfRule>
  </conditionalFormatting>
  <conditionalFormatting sqref="L1704">
    <cfRule type="cellIs" dxfId="5294" priority="5776" operator="greaterThanOrEqual">
      <formula>2</formula>
    </cfRule>
  </conditionalFormatting>
  <conditionalFormatting sqref="M1704">
    <cfRule type="cellIs" dxfId="5293" priority="5777" operator="greaterThanOrEqual">
      <formula>60</formula>
    </cfRule>
  </conditionalFormatting>
  <conditionalFormatting sqref="M1704">
    <cfRule type="cellIs" dxfId="5292" priority="5778" operator="greaterThanOrEqual">
      <formula>30</formula>
    </cfRule>
  </conditionalFormatting>
  <conditionalFormatting sqref="R1704">
    <cfRule type="cellIs" dxfId="5291" priority="5779" operator="greaterThanOrEqual">
      <formula>600</formula>
    </cfRule>
  </conditionalFormatting>
  <conditionalFormatting sqref="R1704">
    <cfRule type="cellIs" dxfId="5290" priority="5780" operator="greaterThanOrEqual">
      <formula>260</formula>
    </cfRule>
  </conditionalFormatting>
  <conditionalFormatting sqref="S1704">
    <cfRule type="containsText" dxfId="5289" priority="5781" operator="containsText" text="&lt;">
      <formula>NOT(ISERROR(SEARCH(("&lt;"),(S1704))))</formula>
    </cfRule>
  </conditionalFormatting>
  <conditionalFormatting sqref="S1704">
    <cfRule type="containsText" dxfId="5288" priority="5782" operator="containsText" text="ND">
      <formula>NOT(ISERROR(SEARCH(("ND"),(S1704))))</formula>
    </cfRule>
  </conditionalFormatting>
  <conditionalFormatting sqref="S1704">
    <cfRule type="cellIs" dxfId="5287" priority="5783" operator="greaterThanOrEqual">
      <formula>200</formula>
    </cfRule>
  </conditionalFormatting>
  <conditionalFormatting sqref="S1704">
    <cfRule type="cellIs" dxfId="5286" priority="5784" operator="greaterThanOrEqual">
      <formula>130</formula>
    </cfRule>
  </conditionalFormatting>
  <conditionalFormatting sqref="N1704">
    <cfRule type="cellIs" dxfId="5285" priority="5785" operator="greaterThanOrEqual">
      <formula>200</formula>
    </cfRule>
  </conditionalFormatting>
  <conditionalFormatting sqref="N1704">
    <cfRule type="cellIs" dxfId="5284" priority="5786" operator="greaterThanOrEqual">
      <formula>120</formula>
    </cfRule>
  </conditionalFormatting>
  <conditionalFormatting sqref="O1704">
    <cfRule type="containsText" dxfId="5283" priority="5787" operator="containsText" text="ND">
      <formula>NOT(ISERROR(SEARCH(("ND"),(O1704))))</formula>
    </cfRule>
  </conditionalFormatting>
  <conditionalFormatting sqref="O1704">
    <cfRule type="cellIs" dxfId="5282" priority="5788" operator="greaterThanOrEqual">
      <formula>250</formula>
    </cfRule>
  </conditionalFormatting>
  <conditionalFormatting sqref="O1704">
    <cfRule type="cellIs" dxfId="5281" priority="5789" operator="greaterThanOrEqual">
      <formula>175</formula>
    </cfRule>
  </conditionalFormatting>
  <conditionalFormatting sqref="P1704">
    <cfRule type="containsText" dxfId="5280" priority="5790" operator="containsText" text="ND">
      <formula>NOT(ISERROR(SEARCH(("ND"),(P1704))))</formula>
    </cfRule>
  </conditionalFormatting>
  <conditionalFormatting sqref="P1704">
    <cfRule type="cellIs" dxfId="5279" priority="5791" operator="greaterThanOrEqual">
      <formula>5</formula>
    </cfRule>
  </conditionalFormatting>
  <conditionalFormatting sqref="P1704">
    <cfRule type="cellIs" dxfId="5278" priority="5792" operator="greaterThanOrEqual">
      <formula>2.5</formula>
    </cfRule>
  </conditionalFormatting>
  <conditionalFormatting sqref="Q1704">
    <cfRule type="containsText" dxfId="5277" priority="5793" operator="containsText" text="ND">
      <formula>NOT(ISERROR(SEARCH(("ND"),(Q1704))))</formula>
    </cfRule>
  </conditionalFormatting>
  <conditionalFormatting sqref="Q1704">
    <cfRule type="cellIs" dxfId="5276" priority="5794" operator="greaterThanOrEqual">
      <formula>500</formula>
    </cfRule>
  </conditionalFormatting>
  <conditionalFormatting sqref="Q1704">
    <cfRule type="cellIs" dxfId="5275" priority="5795" operator="greaterThanOrEqual">
      <formula>300</formula>
    </cfRule>
  </conditionalFormatting>
  <conditionalFormatting sqref="L1841 P1841">
    <cfRule type="cellIs" dxfId="5274" priority="5758" operator="greaterThanOrEqual">
      <formula>5</formula>
    </cfRule>
  </conditionalFormatting>
  <conditionalFormatting sqref="L1841">
    <cfRule type="cellIs" dxfId="5273" priority="5759" operator="greaterThanOrEqual">
      <formula>2</formula>
    </cfRule>
  </conditionalFormatting>
  <conditionalFormatting sqref="M1841">
    <cfRule type="cellIs" dxfId="5272" priority="5760" operator="greaterThanOrEqual">
      <formula>60</formula>
    </cfRule>
  </conditionalFormatting>
  <conditionalFormatting sqref="M1841">
    <cfRule type="cellIs" dxfId="5271" priority="5761" operator="greaterThanOrEqual">
      <formula>30</formula>
    </cfRule>
  </conditionalFormatting>
  <conditionalFormatting sqref="R1841">
    <cfRule type="cellIs" dxfId="5270" priority="5762" operator="greaterThanOrEqual">
      <formula>600</formula>
    </cfRule>
  </conditionalFormatting>
  <conditionalFormatting sqref="R1841">
    <cfRule type="cellIs" dxfId="5269" priority="5763" operator="greaterThanOrEqual">
      <formula>260</formula>
    </cfRule>
  </conditionalFormatting>
  <conditionalFormatting sqref="S1841">
    <cfRule type="containsText" dxfId="5268" priority="5764" operator="containsText" text="&lt;">
      <formula>NOT(ISERROR(SEARCH(("&lt;"),(S1841))))</formula>
    </cfRule>
  </conditionalFormatting>
  <conditionalFormatting sqref="S1841">
    <cfRule type="containsText" dxfId="5267" priority="5765" operator="containsText" text="ND">
      <formula>NOT(ISERROR(SEARCH(("ND"),(S1841))))</formula>
    </cfRule>
  </conditionalFormatting>
  <conditionalFormatting sqref="S1841 N1841">
    <cfRule type="cellIs" dxfId="5266" priority="5766" operator="greaterThanOrEqual">
      <formula>200</formula>
    </cfRule>
  </conditionalFormatting>
  <conditionalFormatting sqref="S1841">
    <cfRule type="cellIs" dxfId="5265" priority="5767" operator="greaterThanOrEqual">
      <formula>130</formula>
    </cfRule>
  </conditionalFormatting>
  <conditionalFormatting sqref="N1841">
    <cfRule type="cellIs" dxfId="5264" priority="5768" operator="greaterThanOrEqual">
      <formula>120</formula>
    </cfRule>
  </conditionalFormatting>
  <conditionalFormatting sqref="O1841:Q1841">
    <cfRule type="containsText" dxfId="5263" priority="5769" operator="containsText" text="ND">
      <formula>NOT(ISERROR(SEARCH(("ND"),(O1841))))</formula>
    </cfRule>
  </conditionalFormatting>
  <conditionalFormatting sqref="O1841">
    <cfRule type="cellIs" dxfId="5262" priority="5770" operator="greaterThanOrEqual">
      <formula>250</formula>
    </cfRule>
  </conditionalFormatting>
  <conditionalFormatting sqref="O1841">
    <cfRule type="cellIs" dxfId="5261" priority="5771" operator="greaterThanOrEqual">
      <formula>175</formula>
    </cfRule>
  </conditionalFormatting>
  <conditionalFormatting sqref="P1841">
    <cfRule type="cellIs" dxfId="5260" priority="5772" operator="greaterThanOrEqual">
      <formula>2.5</formula>
    </cfRule>
  </conditionalFormatting>
  <conditionalFormatting sqref="Q1841">
    <cfRule type="cellIs" dxfId="5259" priority="5773" operator="greaterThanOrEqual">
      <formula>500</formula>
    </cfRule>
  </conditionalFormatting>
  <conditionalFormatting sqref="Q1841">
    <cfRule type="cellIs" dxfId="5258" priority="5774" operator="greaterThanOrEqual">
      <formula>300</formula>
    </cfRule>
  </conditionalFormatting>
  <conditionalFormatting sqref="L2332">
    <cfRule type="cellIs" dxfId="5257" priority="5737" operator="greaterThanOrEqual">
      <formula>5</formula>
    </cfRule>
  </conditionalFormatting>
  <conditionalFormatting sqref="L2332">
    <cfRule type="cellIs" dxfId="5256" priority="5738" operator="greaterThanOrEqual">
      <formula>2</formula>
    </cfRule>
  </conditionalFormatting>
  <conditionalFormatting sqref="M2332">
    <cfRule type="cellIs" dxfId="5255" priority="5739" operator="greaterThanOrEqual">
      <formula>60</formula>
    </cfRule>
  </conditionalFormatting>
  <conditionalFormatting sqref="M2332">
    <cfRule type="cellIs" dxfId="5254" priority="5740" operator="greaterThanOrEqual">
      <formula>30</formula>
    </cfRule>
  </conditionalFormatting>
  <conditionalFormatting sqref="R2332">
    <cfRule type="cellIs" dxfId="5253" priority="5741" operator="greaterThanOrEqual">
      <formula>600</formula>
    </cfRule>
  </conditionalFormatting>
  <conditionalFormatting sqref="R2332">
    <cfRule type="cellIs" dxfId="5252" priority="5742" operator="greaterThanOrEqual">
      <formula>260</formula>
    </cfRule>
  </conditionalFormatting>
  <conditionalFormatting sqref="S2332">
    <cfRule type="containsText" dxfId="5251" priority="5743" operator="containsText" text="&lt;">
      <formula>NOT(ISERROR(SEARCH(("&lt;"),(S2332))))</formula>
    </cfRule>
  </conditionalFormatting>
  <conditionalFormatting sqref="S2332">
    <cfRule type="containsText" dxfId="5250" priority="5744" operator="containsText" text="ND">
      <formula>NOT(ISERROR(SEARCH(("ND"),(S2332))))</formula>
    </cfRule>
  </conditionalFormatting>
  <conditionalFormatting sqref="S2332">
    <cfRule type="cellIs" dxfId="5249" priority="5745" operator="greaterThanOrEqual">
      <formula>200</formula>
    </cfRule>
  </conditionalFormatting>
  <conditionalFormatting sqref="S2332">
    <cfRule type="cellIs" dxfId="5248" priority="5746" operator="greaterThanOrEqual">
      <formula>130</formula>
    </cfRule>
  </conditionalFormatting>
  <conditionalFormatting sqref="N2332">
    <cfRule type="cellIs" dxfId="5247" priority="5747" operator="greaterThanOrEqual">
      <formula>200</formula>
    </cfRule>
  </conditionalFormatting>
  <conditionalFormatting sqref="N2332">
    <cfRule type="cellIs" dxfId="5246" priority="5748" operator="greaterThanOrEqual">
      <formula>120</formula>
    </cfRule>
  </conditionalFormatting>
  <conditionalFormatting sqref="O2332">
    <cfRule type="containsText" dxfId="5245" priority="5749" operator="containsText" text="ND">
      <formula>NOT(ISERROR(SEARCH(("ND"),(O2332))))</formula>
    </cfRule>
  </conditionalFormatting>
  <conditionalFormatting sqref="O2332">
    <cfRule type="cellIs" dxfId="5244" priority="5750" operator="greaterThanOrEqual">
      <formula>250</formula>
    </cfRule>
  </conditionalFormatting>
  <conditionalFormatting sqref="O2332">
    <cfRule type="cellIs" dxfId="5243" priority="5751" operator="greaterThanOrEqual">
      <formula>175</formula>
    </cfRule>
  </conditionalFormatting>
  <conditionalFormatting sqref="P2332">
    <cfRule type="containsText" dxfId="5242" priority="5752" operator="containsText" text="ND">
      <formula>NOT(ISERROR(SEARCH(("ND"),(P2332))))</formula>
    </cfRule>
  </conditionalFormatting>
  <conditionalFormatting sqref="P2332">
    <cfRule type="cellIs" dxfId="5241" priority="5753" operator="greaterThanOrEqual">
      <formula>5</formula>
    </cfRule>
  </conditionalFormatting>
  <conditionalFormatting sqref="P2332">
    <cfRule type="cellIs" dxfId="5240" priority="5754" operator="greaterThanOrEqual">
      <formula>2.5</formula>
    </cfRule>
  </conditionalFormatting>
  <conditionalFormatting sqref="Q2332">
    <cfRule type="containsText" dxfId="5239" priority="5755" operator="containsText" text="ND">
      <formula>NOT(ISERROR(SEARCH(("ND"),(Q2332))))</formula>
    </cfRule>
  </conditionalFormatting>
  <conditionalFormatting sqref="Q2332">
    <cfRule type="cellIs" dxfId="5238" priority="5756" operator="greaterThanOrEqual">
      <formula>500</formula>
    </cfRule>
  </conditionalFormatting>
  <conditionalFormatting sqref="Q2332">
    <cfRule type="cellIs" dxfId="5237" priority="5757" operator="greaterThanOrEqual">
      <formula>300</formula>
    </cfRule>
  </conditionalFormatting>
  <conditionalFormatting sqref="L2057:L2058">
    <cfRule type="cellIs" dxfId="5236" priority="5716" operator="greaterThanOrEqual">
      <formula>5</formula>
    </cfRule>
  </conditionalFormatting>
  <conditionalFormatting sqref="L2057:L2058">
    <cfRule type="cellIs" dxfId="5235" priority="5717" operator="greaterThanOrEqual">
      <formula>2</formula>
    </cfRule>
  </conditionalFormatting>
  <conditionalFormatting sqref="M2057:M2058">
    <cfRule type="cellIs" dxfId="5234" priority="5718" operator="greaterThanOrEqual">
      <formula>60</formula>
    </cfRule>
  </conditionalFormatting>
  <conditionalFormatting sqref="M2057:M2058">
    <cfRule type="cellIs" dxfId="5233" priority="5719" operator="greaterThanOrEqual">
      <formula>30</formula>
    </cfRule>
  </conditionalFormatting>
  <conditionalFormatting sqref="R2057:R2058">
    <cfRule type="cellIs" dxfId="5232" priority="5720" operator="greaterThanOrEqual">
      <formula>600</formula>
    </cfRule>
  </conditionalFormatting>
  <conditionalFormatting sqref="R2057:R2058">
    <cfRule type="cellIs" dxfId="5231" priority="5721" operator="greaterThanOrEqual">
      <formula>260</formula>
    </cfRule>
  </conditionalFormatting>
  <conditionalFormatting sqref="S2057:S2058">
    <cfRule type="containsText" dxfId="5230" priority="5722" operator="containsText" text="&lt;">
      <formula>NOT(ISERROR(SEARCH(("&lt;"),(S2057))))</formula>
    </cfRule>
  </conditionalFormatting>
  <conditionalFormatting sqref="S2057:S2058">
    <cfRule type="containsText" dxfId="5229" priority="5723" operator="containsText" text="ND">
      <formula>NOT(ISERROR(SEARCH(("ND"),(S2057))))</formula>
    </cfRule>
  </conditionalFormatting>
  <conditionalFormatting sqref="S2057:S2058">
    <cfRule type="cellIs" dxfId="5228" priority="5724" operator="greaterThanOrEqual">
      <formula>200</formula>
    </cfRule>
  </conditionalFormatting>
  <conditionalFormatting sqref="S2057:S2058">
    <cfRule type="cellIs" dxfId="5227" priority="5725" operator="greaterThanOrEqual">
      <formula>130</formula>
    </cfRule>
  </conditionalFormatting>
  <conditionalFormatting sqref="N2057:N2058">
    <cfRule type="cellIs" dxfId="5226" priority="5726" operator="greaterThanOrEqual">
      <formula>200</formula>
    </cfRule>
  </conditionalFormatting>
  <conditionalFormatting sqref="N2057:N2058">
    <cfRule type="cellIs" dxfId="5225" priority="5727" operator="greaterThanOrEqual">
      <formula>120</formula>
    </cfRule>
  </conditionalFormatting>
  <conditionalFormatting sqref="O2057:O2058">
    <cfRule type="containsText" dxfId="5224" priority="5728" operator="containsText" text="ND">
      <formula>NOT(ISERROR(SEARCH(("ND"),(O2057))))</formula>
    </cfRule>
  </conditionalFormatting>
  <conditionalFormatting sqref="O2057:O2058">
    <cfRule type="cellIs" dxfId="5223" priority="5729" operator="greaterThanOrEqual">
      <formula>250</formula>
    </cfRule>
  </conditionalFormatting>
  <conditionalFormatting sqref="O2057:O2058">
    <cfRule type="cellIs" dxfId="5222" priority="5730" operator="greaterThanOrEqual">
      <formula>175</formula>
    </cfRule>
  </conditionalFormatting>
  <conditionalFormatting sqref="P2057:P2058">
    <cfRule type="containsText" dxfId="5221" priority="5731" operator="containsText" text="ND">
      <formula>NOT(ISERROR(SEARCH(("ND"),(P2057))))</formula>
    </cfRule>
  </conditionalFormatting>
  <conditionalFormatting sqref="P2057:P2058">
    <cfRule type="cellIs" dxfId="5220" priority="5732" operator="greaterThanOrEqual">
      <formula>5</formula>
    </cfRule>
  </conditionalFormatting>
  <conditionalFormatting sqref="P2057:P2058">
    <cfRule type="cellIs" dxfId="5219" priority="5733" operator="greaterThanOrEqual">
      <formula>2.5</formula>
    </cfRule>
  </conditionalFormatting>
  <conditionalFormatting sqref="Q2057:Q2058">
    <cfRule type="containsText" dxfId="5218" priority="5734" operator="containsText" text="ND">
      <formula>NOT(ISERROR(SEARCH(("ND"),(Q2057))))</formula>
    </cfRule>
  </conditionalFormatting>
  <conditionalFormatting sqref="Q2057:Q2058">
    <cfRule type="cellIs" dxfId="5217" priority="5735" operator="greaterThanOrEqual">
      <formula>500</formula>
    </cfRule>
  </conditionalFormatting>
  <conditionalFormatting sqref="Q2057:Q2058">
    <cfRule type="cellIs" dxfId="5216" priority="5736" operator="greaterThanOrEqual">
      <formula>300</formula>
    </cfRule>
  </conditionalFormatting>
  <conditionalFormatting sqref="L2333">
    <cfRule type="cellIs" dxfId="5215" priority="5695" operator="greaterThanOrEqual">
      <formula>5</formula>
    </cfRule>
  </conditionalFormatting>
  <conditionalFormatting sqref="L2333">
    <cfRule type="cellIs" dxfId="5214" priority="5696" operator="greaterThanOrEqual">
      <formula>2</formula>
    </cfRule>
  </conditionalFormatting>
  <conditionalFormatting sqref="M2333">
    <cfRule type="cellIs" dxfId="5213" priority="5697" operator="greaterThanOrEqual">
      <formula>60</formula>
    </cfRule>
  </conditionalFormatting>
  <conditionalFormatting sqref="M2333">
    <cfRule type="cellIs" dxfId="5212" priority="5698" operator="greaterThanOrEqual">
      <formula>30</formula>
    </cfRule>
  </conditionalFormatting>
  <conditionalFormatting sqref="R2333">
    <cfRule type="cellIs" dxfId="5211" priority="5699" operator="greaterThanOrEqual">
      <formula>600</formula>
    </cfRule>
  </conditionalFormatting>
  <conditionalFormatting sqref="R2333">
    <cfRule type="cellIs" dxfId="5210" priority="5700" operator="greaterThanOrEqual">
      <formula>260</formula>
    </cfRule>
  </conditionalFormatting>
  <conditionalFormatting sqref="S2333">
    <cfRule type="containsText" dxfId="5209" priority="5701" operator="containsText" text="&lt;">
      <formula>NOT(ISERROR(SEARCH(("&lt;"),(S2333))))</formula>
    </cfRule>
  </conditionalFormatting>
  <conditionalFormatting sqref="S2333">
    <cfRule type="containsText" dxfId="5208" priority="5702" operator="containsText" text="ND">
      <formula>NOT(ISERROR(SEARCH(("ND"),(S2333))))</formula>
    </cfRule>
  </conditionalFormatting>
  <conditionalFormatting sqref="S2333">
    <cfRule type="cellIs" dxfId="5207" priority="5703" operator="greaterThanOrEqual">
      <formula>200</formula>
    </cfRule>
  </conditionalFormatting>
  <conditionalFormatting sqref="S2333">
    <cfRule type="cellIs" dxfId="5206" priority="5704" operator="greaterThanOrEqual">
      <formula>130</formula>
    </cfRule>
  </conditionalFormatting>
  <conditionalFormatting sqref="N2333">
    <cfRule type="cellIs" dxfId="5205" priority="5705" operator="greaterThanOrEqual">
      <formula>200</formula>
    </cfRule>
  </conditionalFormatting>
  <conditionalFormatting sqref="N2333">
    <cfRule type="cellIs" dxfId="5204" priority="5706" operator="greaterThanOrEqual">
      <formula>120</formula>
    </cfRule>
  </conditionalFormatting>
  <conditionalFormatting sqref="O2333">
    <cfRule type="containsText" dxfId="5203" priority="5707" operator="containsText" text="ND">
      <formula>NOT(ISERROR(SEARCH(("ND"),(O2333))))</formula>
    </cfRule>
  </conditionalFormatting>
  <conditionalFormatting sqref="O2333">
    <cfRule type="cellIs" dxfId="5202" priority="5708" operator="greaterThanOrEqual">
      <formula>250</formula>
    </cfRule>
  </conditionalFormatting>
  <conditionalFormatting sqref="O2333">
    <cfRule type="cellIs" dxfId="5201" priority="5709" operator="greaterThanOrEqual">
      <formula>175</formula>
    </cfRule>
  </conditionalFormatting>
  <conditionalFormatting sqref="P2333">
    <cfRule type="containsText" dxfId="5200" priority="5710" operator="containsText" text="ND">
      <formula>NOT(ISERROR(SEARCH(("ND"),(P2333))))</formula>
    </cfRule>
  </conditionalFormatting>
  <conditionalFormatting sqref="P2333">
    <cfRule type="cellIs" dxfId="5199" priority="5711" operator="greaterThanOrEqual">
      <formula>5</formula>
    </cfRule>
  </conditionalFormatting>
  <conditionalFormatting sqref="P2333">
    <cfRule type="cellIs" dxfId="5198" priority="5712" operator="greaterThanOrEqual">
      <formula>2.5</formula>
    </cfRule>
  </conditionalFormatting>
  <conditionalFormatting sqref="Q2333">
    <cfRule type="containsText" dxfId="5197" priority="5713" operator="containsText" text="ND">
      <formula>NOT(ISERROR(SEARCH(("ND"),(Q2333))))</formula>
    </cfRule>
  </conditionalFormatting>
  <conditionalFormatting sqref="Q2333">
    <cfRule type="cellIs" dxfId="5196" priority="5714" operator="greaterThanOrEqual">
      <formula>500</formula>
    </cfRule>
  </conditionalFormatting>
  <conditionalFormatting sqref="Q2333">
    <cfRule type="cellIs" dxfId="5195" priority="5715" operator="greaterThanOrEqual">
      <formula>300</formula>
    </cfRule>
  </conditionalFormatting>
  <conditionalFormatting sqref="P2059">
    <cfRule type="cellIs" dxfId="5194" priority="5683" operator="greaterThanOrEqual">
      <formula>5</formula>
    </cfRule>
  </conditionalFormatting>
  <conditionalFormatting sqref="S2059">
    <cfRule type="containsText" dxfId="5193" priority="5684" operator="containsText" text="&lt;">
      <formula>NOT(ISERROR(SEARCH(("&lt;"),(S2059))))</formula>
    </cfRule>
  </conditionalFormatting>
  <conditionalFormatting sqref="S2059">
    <cfRule type="containsText" dxfId="5192" priority="5685" operator="containsText" text="ND">
      <formula>NOT(ISERROR(SEARCH(("ND"),(S2059))))</formula>
    </cfRule>
  </conditionalFormatting>
  <conditionalFormatting sqref="S2059 N2059">
    <cfRule type="cellIs" dxfId="5191" priority="5686" operator="greaterThanOrEqual">
      <formula>200</formula>
    </cfRule>
  </conditionalFormatting>
  <conditionalFormatting sqref="S2059">
    <cfRule type="cellIs" dxfId="5190" priority="5687" operator="greaterThanOrEqual">
      <formula>130</formula>
    </cfRule>
  </conditionalFormatting>
  <conditionalFormatting sqref="N2059">
    <cfRule type="cellIs" dxfId="5189" priority="5688" operator="greaterThanOrEqual">
      <formula>120</formula>
    </cfRule>
  </conditionalFormatting>
  <conditionalFormatting sqref="O2059:Q2059">
    <cfRule type="containsText" dxfId="5188" priority="5689" operator="containsText" text="ND">
      <formula>NOT(ISERROR(SEARCH(("ND"),(O2059))))</formula>
    </cfRule>
  </conditionalFormatting>
  <conditionalFormatting sqref="O2059">
    <cfRule type="cellIs" dxfId="5187" priority="5690" operator="greaterThanOrEqual">
      <formula>250</formula>
    </cfRule>
  </conditionalFormatting>
  <conditionalFormatting sqref="O2059">
    <cfRule type="cellIs" dxfId="5186" priority="5691" operator="greaterThanOrEqual">
      <formula>175</formula>
    </cfRule>
  </conditionalFormatting>
  <conditionalFormatting sqref="P2059">
    <cfRule type="cellIs" dxfId="5185" priority="5692" operator="greaterThanOrEqual">
      <formula>2.5</formula>
    </cfRule>
  </conditionalFormatting>
  <conditionalFormatting sqref="Q2059">
    <cfRule type="cellIs" dxfId="5184" priority="5693" operator="greaterThanOrEqual">
      <formula>500</formula>
    </cfRule>
  </conditionalFormatting>
  <conditionalFormatting sqref="Q2059">
    <cfRule type="cellIs" dxfId="5183" priority="5694" operator="greaterThanOrEqual">
      <formula>300</formula>
    </cfRule>
  </conditionalFormatting>
  <conditionalFormatting sqref="L2059">
    <cfRule type="cellIs" dxfId="5182" priority="5679" operator="greaterThanOrEqual">
      <formula>5</formula>
    </cfRule>
  </conditionalFormatting>
  <conditionalFormatting sqref="L2059">
    <cfRule type="cellIs" dxfId="5181" priority="5680" operator="greaterThanOrEqual">
      <formula>2</formula>
    </cfRule>
  </conditionalFormatting>
  <conditionalFormatting sqref="M2059">
    <cfRule type="cellIs" dxfId="5180" priority="5681" operator="greaterThanOrEqual">
      <formula>60</formula>
    </cfRule>
  </conditionalFormatting>
  <conditionalFormatting sqref="M2059">
    <cfRule type="cellIs" dxfId="5179" priority="5682" operator="greaterThanOrEqual">
      <formula>30</formula>
    </cfRule>
  </conditionalFormatting>
  <conditionalFormatting sqref="P2198 L2198">
    <cfRule type="cellIs" dxfId="5178" priority="5662" operator="greaterThanOrEqual">
      <formula>5</formula>
    </cfRule>
  </conditionalFormatting>
  <conditionalFormatting sqref="L2198">
    <cfRule type="cellIs" dxfId="5177" priority="5663" operator="greaterThanOrEqual">
      <formula>2</formula>
    </cfRule>
  </conditionalFormatting>
  <conditionalFormatting sqref="M2198">
    <cfRule type="cellIs" dxfId="5176" priority="5664" operator="greaterThanOrEqual">
      <formula>60</formula>
    </cfRule>
  </conditionalFormatting>
  <conditionalFormatting sqref="M2198">
    <cfRule type="cellIs" dxfId="5175" priority="5665" operator="greaterThanOrEqual">
      <formula>30</formula>
    </cfRule>
  </conditionalFormatting>
  <conditionalFormatting sqref="R2198">
    <cfRule type="cellIs" dxfId="5174" priority="5666" operator="greaterThanOrEqual">
      <formula>600</formula>
    </cfRule>
  </conditionalFormatting>
  <conditionalFormatting sqref="R2198">
    <cfRule type="cellIs" dxfId="5173" priority="5667" operator="greaterThanOrEqual">
      <formula>260</formula>
    </cfRule>
  </conditionalFormatting>
  <conditionalFormatting sqref="S2198">
    <cfRule type="containsText" dxfId="5172" priority="5668" operator="containsText" text="&lt;">
      <formula>NOT(ISERROR(SEARCH(("&lt;"),(S2198))))</formula>
    </cfRule>
  </conditionalFormatting>
  <conditionalFormatting sqref="S2198">
    <cfRule type="containsText" dxfId="5171" priority="5669" operator="containsText" text="ND">
      <formula>NOT(ISERROR(SEARCH(("ND"),(S2198))))</formula>
    </cfRule>
  </conditionalFormatting>
  <conditionalFormatting sqref="N2198 S2198">
    <cfRule type="cellIs" dxfId="5170" priority="5670" operator="greaterThanOrEqual">
      <formula>200</formula>
    </cfRule>
  </conditionalFormatting>
  <conditionalFormatting sqref="S2198">
    <cfRule type="cellIs" dxfId="5169" priority="5671" operator="greaterThanOrEqual">
      <formula>130</formula>
    </cfRule>
  </conditionalFormatting>
  <conditionalFormatting sqref="N2198">
    <cfRule type="cellIs" dxfId="5168" priority="5672" operator="greaterThanOrEqual">
      <formula>120</formula>
    </cfRule>
  </conditionalFormatting>
  <conditionalFormatting sqref="O2198:Q2198">
    <cfRule type="containsText" dxfId="5167" priority="5673" operator="containsText" text="ND">
      <formula>NOT(ISERROR(SEARCH(("ND"),(O2198))))</formula>
    </cfRule>
  </conditionalFormatting>
  <conditionalFormatting sqref="O2198">
    <cfRule type="cellIs" dxfId="5166" priority="5674" operator="greaterThanOrEqual">
      <formula>250</formula>
    </cfRule>
  </conditionalFormatting>
  <conditionalFormatting sqref="O2198">
    <cfRule type="cellIs" dxfId="5165" priority="5675" operator="greaterThanOrEqual">
      <formula>175</formula>
    </cfRule>
  </conditionalFormatting>
  <conditionalFormatting sqref="P2198">
    <cfRule type="cellIs" dxfId="5164" priority="5676" operator="greaterThanOrEqual">
      <formula>2.5</formula>
    </cfRule>
  </conditionalFormatting>
  <conditionalFormatting sqref="Q2198">
    <cfRule type="cellIs" dxfId="5163" priority="5677" operator="greaterThanOrEqual">
      <formula>500</formula>
    </cfRule>
  </conditionalFormatting>
  <conditionalFormatting sqref="Q2198">
    <cfRule type="cellIs" dxfId="5162" priority="5678" operator="greaterThanOrEqual">
      <formula>300</formula>
    </cfRule>
  </conditionalFormatting>
  <conditionalFormatting sqref="L2200 P2200">
    <cfRule type="cellIs" dxfId="5161" priority="5645" operator="greaterThanOrEqual">
      <formula>5</formula>
    </cfRule>
  </conditionalFormatting>
  <conditionalFormatting sqref="L2200">
    <cfRule type="cellIs" dxfId="5160" priority="5646" operator="greaterThanOrEqual">
      <formula>2</formula>
    </cfRule>
  </conditionalFormatting>
  <conditionalFormatting sqref="M2200">
    <cfRule type="cellIs" dxfId="5159" priority="5647" operator="greaterThanOrEqual">
      <formula>60</formula>
    </cfRule>
  </conditionalFormatting>
  <conditionalFormatting sqref="M2200">
    <cfRule type="cellIs" dxfId="5158" priority="5648" operator="greaterThanOrEqual">
      <formula>30</formula>
    </cfRule>
  </conditionalFormatting>
  <conditionalFormatting sqref="R2200">
    <cfRule type="cellIs" dxfId="5157" priority="5649" operator="greaterThanOrEqual">
      <formula>600</formula>
    </cfRule>
  </conditionalFormatting>
  <conditionalFormatting sqref="R2200">
    <cfRule type="cellIs" dxfId="5156" priority="5650" operator="greaterThanOrEqual">
      <formula>260</formula>
    </cfRule>
  </conditionalFormatting>
  <conditionalFormatting sqref="S2200">
    <cfRule type="containsText" dxfId="5155" priority="5651" operator="containsText" text="&lt;">
      <formula>NOT(ISERROR(SEARCH(("&lt;"),(S2200))))</formula>
    </cfRule>
  </conditionalFormatting>
  <conditionalFormatting sqref="S2200">
    <cfRule type="containsText" dxfId="5154" priority="5652" operator="containsText" text="ND">
      <formula>NOT(ISERROR(SEARCH(("ND"),(S2200))))</formula>
    </cfRule>
  </conditionalFormatting>
  <conditionalFormatting sqref="S2200 N2200">
    <cfRule type="cellIs" dxfId="5153" priority="5653" operator="greaterThanOrEqual">
      <formula>200</formula>
    </cfRule>
  </conditionalFormatting>
  <conditionalFormatting sqref="S2200">
    <cfRule type="cellIs" dxfId="5152" priority="5654" operator="greaterThanOrEqual">
      <formula>130</formula>
    </cfRule>
  </conditionalFormatting>
  <conditionalFormatting sqref="N2200">
    <cfRule type="cellIs" dxfId="5151" priority="5655" operator="greaterThanOrEqual">
      <formula>120</formula>
    </cfRule>
  </conditionalFormatting>
  <conditionalFormatting sqref="O2200:Q2200">
    <cfRule type="containsText" dxfId="5150" priority="5656" operator="containsText" text="ND">
      <formula>NOT(ISERROR(SEARCH(("ND"),(O2200))))</formula>
    </cfRule>
  </conditionalFormatting>
  <conditionalFormatting sqref="O2200">
    <cfRule type="cellIs" dxfId="5149" priority="5657" operator="greaterThanOrEqual">
      <formula>250</formula>
    </cfRule>
  </conditionalFormatting>
  <conditionalFormatting sqref="O2200">
    <cfRule type="cellIs" dxfId="5148" priority="5658" operator="greaterThanOrEqual">
      <formula>175</formula>
    </cfRule>
  </conditionalFormatting>
  <conditionalFormatting sqref="P2200">
    <cfRule type="cellIs" dxfId="5147" priority="5659" operator="greaterThanOrEqual">
      <formula>2.5</formula>
    </cfRule>
  </conditionalFormatting>
  <conditionalFormatting sqref="Q2200">
    <cfRule type="cellIs" dxfId="5146" priority="5660" operator="greaterThanOrEqual">
      <formula>500</formula>
    </cfRule>
  </conditionalFormatting>
  <conditionalFormatting sqref="Q2200">
    <cfRule type="cellIs" dxfId="5145" priority="5661" operator="greaterThanOrEqual">
      <formula>300</formula>
    </cfRule>
  </conditionalFormatting>
  <conditionalFormatting sqref="L2334">
    <cfRule type="cellIs" dxfId="5144" priority="5624" operator="greaterThanOrEqual">
      <formula>5</formula>
    </cfRule>
  </conditionalFormatting>
  <conditionalFormatting sqref="L2334">
    <cfRule type="cellIs" dxfId="5143" priority="5625" operator="greaterThanOrEqual">
      <formula>2</formula>
    </cfRule>
  </conditionalFormatting>
  <conditionalFormatting sqref="M2334">
    <cfRule type="cellIs" dxfId="5142" priority="5626" operator="greaterThanOrEqual">
      <formula>60</formula>
    </cfRule>
  </conditionalFormatting>
  <conditionalFormatting sqref="M2334">
    <cfRule type="cellIs" dxfId="5141" priority="5627" operator="greaterThanOrEqual">
      <formula>30</formula>
    </cfRule>
  </conditionalFormatting>
  <conditionalFormatting sqref="R2334">
    <cfRule type="cellIs" dxfId="5140" priority="5628" operator="greaterThanOrEqual">
      <formula>600</formula>
    </cfRule>
  </conditionalFormatting>
  <conditionalFormatting sqref="R2334">
    <cfRule type="cellIs" dxfId="5139" priority="5629" operator="greaterThanOrEqual">
      <formula>260</formula>
    </cfRule>
  </conditionalFormatting>
  <conditionalFormatting sqref="S2334">
    <cfRule type="containsText" dxfId="5138" priority="5630" operator="containsText" text="&lt;">
      <formula>NOT(ISERROR(SEARCH(("&lt;"),(S2334))))</formula>
    </cfRule>
  </conditionalFormatting>
  <conditionalFormatting sqref="S2334">
    <cfRule type="containsText" dxfId="5137" priority="5631" operator="containsText" text="ND">
      <formula>NOT(ISERROR(SEARCH(("ND"),(S2334))))</formula>
    </cfRule>
  </conditionalFormatting>
  <conditionalFormatting sqref="S2334">
    <cfRule type="cellIs" dxfId="5136" priority="5632" operator="greaterThanOrEqual">
      <formula>200</formula>
    </cfRule>
  </conditionalFormatting>
  <conditionalFormatting sqref="S2334">
    <cfRule type="cellIs" dxfId="5135" priority="5633" operator="greaterThanOrEqual">
      <formula>130</formula>
    </cfRule>
  </conditionalFormatting>
  <conditionalFormatting sqref="N2334">
    <cfRule type="cellIs" dxfId="5134" priority="5634" operator="greaterThanOrEqual">
      <formula>200</formula>
    </cfRule>
  </conditionalFormatting>
  <conditionalFormatting sqref="N2334">
    <cfRule type="cellIs" dxfId="5133" priority="5635" operator="greaterThanOrEqual">
      <formula>120</formula>
    </cfRule>
  </conditionalFormatting>
  <conditionalFormatting sqref="O2334">
    <cfRule type="containsText" dxfId="5132" priority="5636" operator="containsText" text="ND">
      <formula>NOT(ISERROR(SEARCH(("ND"),(O2334))))</formula>
    </cfRule>
  </conditionalFormatting>
  <conditionalFormatting sqref="O2334">
    <cfRule type="cellIs" dxfId="5131" priority="5637" operator="greaterThanOrEqual">
      <formula>250</formula>
    </cfRule>
  </conditionalFormatting>
  <conditionalFormatting sqref="O2334">
    <cfRule type="cellIs" dxfId="5130" priority="5638" operator="greaterThanOrEqual">
      <formula>175</formula>
    </cfRule>
  </conditionalFormatting>
  <conditionalFormatting sqref="P2334">
    <cfRule type="containsText" dxfId="5129" priority="5639" operator="containsText" text="ND">
      <formula>NOT(ISERROR(SEARCH(("ND"),(P2334))))</formula>
    </cfRule>
  </conditionalFormatting>
  <conditionalFormatting sqref="P2334">
    <cfRule type="cellIs" dxfId="5128" priority="5640" operator="greaterThanOrEqual">
      <formula>5</formula>
    </cfRule>
  </conditionalFormatting>
  <conditionalFormatting sqref="P2334">
    <cfRule type="cellIs" dxfId="5127" priority="5641" operator="greaterThanOrEqual">
      <formula>2.5</formula>
    </cfRule>
  </conditionalFormatting>
  <conditionalFormatting sqref="Q2334">
    <cfRule type="containsText" dxfId="5126" priority="5642" operator="containsText" text="ND">
      <formula>NOT(ISERROR(SEARCH(("ND"),(Q2334))))</formula>
    </cfRule>
  </conditionalFormatting>
  <conditionalFormatting sqref="Q2334">
    <cfRule type="cellIs" dxfId="5125" priority="5643" operator="greaterThanOrEqual">
      <formula>500</formula>
    </cfRule>
  </conditionalFormatting>
  <conditionalFormatting sqref="Q2334">
    <cfRule type="cellIs" dxfId="5124" priority="5644" operator="greaterThanOrEqual">
      <formula>300</formula>
    </cfRule>
  </conditionalFormatting>
  <conditionalFormatting sqref="L2204">
    <cfRule type="cellIs" dxfId="5123" priority="5603" operator="greaterThanOrEqual">
      <formula>5</formula>
    </cfRule>
  </conditionalFormatting>
  <conditionalFormatting sqref="L2204">
    <cfRule type="cellIs" dxfId="5122" priority="5604" operator="greaterThanOrEqual">
      <formula>2</formula>
    </cfRule>
  </conditionalFormatting>
  <conditionalFormatting sqref="M2204">
    <cfRule type="cellIs" dxfId="5121" priority="5605" operator="greaterThanOrEqual">
      <formula>60</formula>
    </cfRule>
  </conditionalFormatting>
  <conditionalFormatting sqref="M2204">
    <cfRule type="cellIs" dxfId="5120" priority="5606" operator="greaterThanOrEqual">
      <formula>30</formula>
    </cfRule>
  </conditionalFormatting>
  <conditionalFormatting sqref="R2204">
    <cfRule type="cellIs" dxfId="5119" priority="5607" operator="greaterThanOrEqual">
      <formula>600</formula>
    </cfRule>
  </conditionalFormatting>
  <conditionalFormatting sqref="R2204">
    <cfRule type="cellIs" dxfId="5118" priority="5608" operator="greaterThanOrEqual">
      <formula>260</formula>
    </cfRule>
  </conditionalFormatting>
  <conditionalFormatting sqref="S2204">
    <cfRule type="containsText" dxfId="5117" priority="5609" operator="containsText" text="&lt;">
      <formula>NOT(ISERROR(SEARCH(("&lt;"),(S2204))))</formula>
    </cfRule>
  </conditionalFormatting>
  <conditionalFormatting sqref="S2204">
    <cfRule type="containsText" dxfId="5116" priority="5610" operator="containsText" text="ND">
      <formula>NOT(ISERROR(SEARCH(("ND"),(S2204))))</formula>
    </cfRule>
  </conditionalFormatting>
  <conditionalFormatting sqref="S2204">
    <cfRule type="cellIs" dxfId="5115" priority="5611" operator="greaterThanOrEqual">
      <formula>200</formula>
    </cfRule>
  </conditionalFormatting>
  <conditionalFormatting sqref="S2204">
    <cfRule type="cellIs" dxfId="5114" priority="5612" operator="greaterThanOrEqual">
      <formula>130</formula>
    </cfRule>
  </conditionalFormatting>
  <conditionalFormatting sqref="N2204">
    <cfRule type="cellIs" dxfId="5113" priority="5613" operator="greaterThanOrEqual">
      <formula>200</formula>
    </cfRule>
  </conditionalFormatting>
  <conditionalFormatting sqref="N2204">
    <cfRule type="cellIs" dxfId="5112" priority="5614" operator="greaterThanOrEqual">
      <formula>120</formula>
    </cfRule>
  </conditionalFormatting>
  <conditionalFormatting sqref="O2204">
    <cfRule type="containsText" dxfId="5111" priority="5615" operator="containsText" text="ND">
      <formula>NOT(ISERROR(SEARCH(("ND"),(O2204))))</formula>
    </cfRule>
  </conditionalFormatting>
  <conditionalFormatting sqref="O2204">
    <cfRule type="cellIs" dxfId="5110" priority="5616" operator="greaterThanOrEqual">
      <formula>250</formula>
    </cfRule>
  </conditionalFormatting>
  <conditionalFormatting sqref="O2204">
    <cfRule type="cellIs" dxfId="5109" priority="5617" operator="greaterThanOrEqual">
      <formula>175</formula>
    </cfRule>
  </conditionalFormatting>
  <conditionalFormatting sqref="P2204">
    <cfRule type="containsText" dxfId="5108" priority="5618" operator="containsText" text="ND">
      <formula>NOT(ISERROR(SEARCH(("ND"),(P2204))))</formula>
    </cfRule>
  </conditionalFormatting>
  <conditionalFormatting sqref="P2204">
    <cfRule type="cellIs" dxfId="5107" priority="5619" operator="greaterThanOrEqual">
      <formula>5</formula>
    </cfRule>
  </conditionalFormatting>
  <conditionalFormatting sqref="P2204">
    <cfRule type="cellIs" dxfId="5106" priority="5620" operator="greaterThanOrEqual">
      <formula>2.5</formula>
    </cfRule>
  </conditionalFormatting>
  <conditionalFormatting sqref="Q2204">
    <cfRule type="containsText" dxfId="5105" priority="5621" operator="containsText" text="ND">
      <formula>NOT(ISERROR(SEARCH(("ND"),(Q2204))))</formula>
    </cfRule>
  </conditionalFormatting>
  <conditionalFormatting sqref="Q2204">
    <cfRule type="cellIs" dxfId="5104" priority="5622" operator="greaterThanOrEqual">
      <formula>500</formula>
    </cfRule>
  </conditionalFormatting>
  <conditionalFormatting sqref="Q2204">
    <cfRule type="cellIs" dxfId="5103" priority="5623" operator="greaterThanOrEqual">
      <formula>300</formula>
    </cfRule>
  </conditionalFormatting>
  <conditionalFormatting sqref="L1845">
    <cfRule type="cellIs" dxfId="5102" priority="5582" operator="greaterThanOrEqual">
      <formula>5</formula>
    </cfRule>
  </conditionalFormatting>
  <conditionalFormatting sqref="L1845">
    <cfRule type="cellIs" dxfId="5101" priority="5583" operator="greaterThanOrEqual">
      <formula>2</formula>
    </cfRule>
  </conditionalFormatting>
  <conditionalFormatting sqref="M1845">
    <cfRule type="cellIs" dxfId="5100" priority="5584" operator="greaterThanOrEqual">
      <formula>60</formula>
    </cfRule>
  </conditionalFormatting>
  <conditionalFormatting sqref="M1845">
    <cfRule type="cellIs" dxfId="5099" priority="5585" operator="greaterThanOrEqual">
      <formula>30</formula>
    </cfRule>
  </conditionalFormatting>
  <conditionalFormatting sqref="R1845">
    <cfRule type="cellIs" dxfId="5098" priority="5586" operator="greaterThanOrEqual">
      <formula>600</formula>
    </cfRule>
  </conditionalFormatting>
  <conditionalFormatting sqref="R1845">
    <cfRule type="cellIs" dxfId="5097" priority="5587" operator="greaterThanOrEqual">
      <formula>260</formula>
    </cfRule>
  </conditionalFormatting>
  <conditionalFormatting sqref="S1845">
    <cfRule type="containsText" dxfId="5096" priority="5588" operator="containsText" text="&lt;">
      <formula>NOT(ISERROR(SEARCH(("&lt;"),(S1845))))</formula>
    </cfRule>
  </conditionalFormatting>
  <conditionalFormatting sqref="S1845">
    <cfRule type="containsText" dxfId="5095" priority="5589" operator="containsText" text="ND">
      <formula>NOT(ISERROR(SEARCH(("ND"),(S1845))))</formula>
    </cfRule>
  </conditionalFormatting>
  <conditionalFormatting sqref="S1845">
    <cfRule type="cellIs" dxfId="5094" priority="5590" operator="greaterThanOrEqual">
      <formula>200</formula>
    </cfRule>
  </conditionalFormatting>
  <conditionalFormatting sqref="S1845">
    <cfRule type="cellIs" dxfId="5093" priority="5591" operator="greaterThanOrEqual">
      <formula>130</formula>
    </cfRule>
  </conditionalFormatting>
  <conditionalFormatting sqref="N1845">
    <cfRule type="cellIs" dxfId="5092" priority="5592" operator="greaterThanOrEqual">
      <formula>200</formula>
    </cfRule>
  </conditionalFormatting>
  <conditionalFormatting sqref="N1845">
    <cfRule type="cellIs" dxfId="5091" priority="5593" operator="greaterThanOrEqual">
      <formula>120</formula>
    </cfRule>
  </conditionalFormatting>
  <conditionalFormatting sqref="O1845">
    <cfRule type="containsText" dxfId="5090" priority="5594" operator="containsText" text="ND">
      <formula>NOT(ISERROR(SEARCH(("ND"),(O1845))))</formula>
    </cfRule>
  </conditionalFormatting>
  <conditionalFormatting sqref="O1845">
    <cfRule type="cellIs" dxfId="5089" priority="5595" operator="greaterThanOrEqual">
      <formula>250</formula>
    </cfRule>
  </conditionalFormatting>
  <conditionalFormatting sqref="O1845">
    <cfRule type="cellIs" dxfId="5088" priority="5596" operator="greaterThanOrEqual">
      <formula>175</formula>
    </cfRule>
  </conditionalFormatting>
  <conditionalFormatting sqref="P1845">
    <cfRule type="containsText" dxfId="5087" priority="5597" operator="containsText" text="ND">
      <formula>NOT(ISERROR(SEARCH(("ND"),(P1845))))</formula>
    </cfRule>
  </conditionalFormatting>
  <conditionalFormatting sqref="P1845">
    <cfRule type="cellIs" dxfId="5086" priority="5598" operator="greaterThanOrEqual">
      <formula>5</formula>
    </cfRule>
  </conditionalFormatting>
  <conditionalFormatting sqref="P1845">
    <cfRule type="cellIs" dxfId="5085" priority="5599" operator="greaterThanOrEqual">
      <formula>2.5</formula>
    </cfRule>
  </conditionalFormatting>
  <conditionalFormatting sqref="Q1845">
    <cfRule type="containsText" dxfId="5084" priority="5600" operator="containsText" text="ND">
      <formula>NOT(ISERROR(SEARCH(("ND"),(Q1845))))</formula>
    </cfRule>
  </conditionalFormatting>
  <conditionalFormatting sqref="Q1845">
    <cfRule type="cellIs" dxfId="5083" priority="5601" operator="greaterThanOrEqual">
      <formula>500</formula>
    </cfRule>
  </conditionalFormatting>
  <conditionalFormatting sqref="Q1845">
    <cfRule type="cellIs" dxfId="5082" priority="5602" operator="greaterThanOrEqual">
      <formula>300</formula>
    </cfRule>
  </conditionalFormatting>
  <conditionalFormatting sqref="L1706">
    <cfRule type="cellIs" dxfId="5081" priority="5561" operator="greaterThanOrEqual">
      <formula>5</formula>
    </cfRule>
  </conditionalFormatting>
  <conditionalFormatting sqref="L1706">
    <cfRule type="cellIs" dxfId="5080" priority="5562" operator="greaterThanOrEqual">
      <formula>2</formula>
    </cfRule>
  </conditionalFormatting>
  <conditionalFormatting sqref="M1706">
    <cfRule type="cellIs" dxfId="5079" priority="5563" operator="greaterThanOrEqual">
      <formula>60</formula>
    </cfRule>
  </conditionalFormatting>
  <conditionalFormatting sqref="M1706">
    <cfRule type="cellIs" dxfId="5078" priority="5564" operator="greaterThanOrEqual">
      <formula>30</formula>
    </cfRule>
  </conditionalFormatting>
  <conditionalFormatting sqref="R1706">
    <cfRule type="cellIs" dxfId="5077" priority="5565" operator="greaterThanOrEqual">
      <formula>600</formula>
    </cfRule>
  </conditionalFormatting>
  <conditionalFormatting sqref="R1706">
    <cfRule type="cellIs" dxfId="5076" priority="5566" operator="greaterThanOrEqual">
      <formula>260</formula>
    </cfRule>
  </conditionalFormatting>
  <conditionalFormatting sqref="S1706">
    <cfRule type="containsText" dxfId="5075" priority="5567" operator="containsText" text="&lt;">
      <formula>NOT(ISERROR(SEARCH(("&lt;"),(S1706))))</formula>
    </cfRule>
  </conditionalFormatting>
  <conditionalFormatting sqref="S1706">
    <cfRule type="containsText" dxfId="5074" priority="5568" operator="containsText" text="ND">
      <formula>NOT(ISERROR(SEARCH(("ND"),(S1706))))</formula>
    </cfRule>
  </conditionalFormatting>
  <conditionalFormatting sqref="S1706">
    <cfRule type="cellIs" dxfId="5073" priority="5569" operator="greaterThanOrEqual">
      <formula>200</formula>
    </cfRule>
  </conditionalFormatting>
  <conditionalFormatting sqref="S1706">
    <cfRule type="cellIs" dxfId="5072" priority="5570" operator="greaterThanOrEqual">
      <formula>130</formula>
    </cfRule>
  </conditionalFormatting>
  <conditionalFormatting sqref="N1706">
    <cfRule type="cellIs" dxfId="5071" priority="5571" operator="greaterThanOrEqual">
      <formula>200</formula>
    </cfRule>
  </conditionalFormatting>
  <conditionalFormatting sqref="N1706">
    <cfRule type="cellIs" dxfId="5070" priority="5572" operator="greaterThanOrEqual">
      <formula>120</formula>
    </cfRule>
  </conditionalFormatting>
  <conditionalFormatting sqref="O1706">
    <cfRule type="containsText" dxfId="5069" priority="5573" operator="containsText" text="ND">
      <formula>NOT(ISERROR(SEARCH(("ND"),(O1706))))</formula>
    </cfRule>
  </conditionalFormatting>
  <conditionalFormatting sqref="O1706">
    <cfRule type="cellIs" dxfId="5068" priority="5574" operator="greaterThanOrEqual">
      <formula>250</formula>
    </cfRule>
  </conditionalFormatting>
  <conditionalFormatting sqref="O1706">
    <cfRule type="cellIs" dxfId="5067" priority="5575" operator="greaterThanOrEqual">
      <formula>175</formula>
    </cfRule>
  </conditionalFormatting>
  <conditionalFormatting sqref="P1706">
    <cfRule type="containsText" dxfId="5066" priority="5576" operator="containsText" text="ND">
      <formula>NOT(ISERROR(SEARCH(("ND"),(P1706))))</formula>
    </cfRule>
  </conditionalFormatting>
  <conditionalFormatting sqref="P1706">
    <cfRule type="cellIs" dxfId="5065" priority="5577" operator="greaterThanOrEqual">
      <formula>5</formula>
    </cfRule>
  </conditionalFormatting>
  <conditionalFormatting sqref="P1706">
    <cfRule type="cellIs" dxfId="5064" priority="5578" operator="greaterThanOrEqual">
      <formula>2.5</formula>
    </cfRule>
  </conditionalFormatting>
  <conditionalFormatting sqref="Q1706">
    <cfRule type="containsText" dxfId="5063" priority="5579" operator="containsText" text="ND">
      <formula>NOT(ISERROR(SEARCH(("ND"),(Q1706))))</formula>
    </cfRule>
  </conditionalFormatting>
  <conditionalFormatting sqref="Q1706">
    <cfRule type="cellIs" dxfId="5062" priority="5580" operator="greaterThanOrEqual">
      <formula>500</formula>
    </cfRule>
  </conditionalFormatting>
  <conditionalFormatting sqref="Q1706">
    <cfRule type="cellIs" dxfId="5061" priority="5581" operator="greaterThanOrEqual">
      <formula>300</formula>
    </cfRule>
  </conditionalFormatting>
  <conditionalFormatting sqref="L1707">
    <cfRule type="cellIs" dxfId="5060" priority="5540" operator="greaterThanOrEqual">
      <formula>5</formula>
    </cfRule>
  </conditionalFormatting>
  <conditionalFormatting sqref="L1707">
    <cfRule type="cellIs" dxfId="5059" priority="5541" operator="greaterThanOrEqual">
      <formula>2</formula>
    </cfRule>
  </conditionalFormatting>
  <conditionalFormatting sqref="M1707">
    <cfRule type="cellIs" dxfId="5058" priority="5542" operator="greaterThanOrEqual">
      <formula>60</formula>
    </cfRule>
  </conditionalFormatting>
  <conditionalFormatting sqref="M1707">
    <cfRule type="cellIs" dxfId="5057" priority="5543" operator="greaterThanOrEqual">
      <formula>30</formula>
    </cfRule>
  </conditionalFormatting>
  <conditionalFormatting sqref="R1707">
    <cfRule type="cellIs" dxfId="5056" priority="5544" operator="greaterThanOrEqual">
      <formula>600</formula>
    </cfRule>
  </conditionalFormatting>
  <conditionalFormatting sqref="R1707">
    <cfRule type="cellIs" dxfId="5055" priority="5545" operator="greaterThanOrEqual">
      <formula>260</formula>
    </cfRule>
  </conditionalFormatting>
  <conditionalFormatting sqref="S1707">
    <cfRule type="containsText" dxfId="5054" priority="5546" operator="containsText" text="&lt;">
      <formula>NOT(ISERROR(SEARCH(("&lt;"),(S1707))))</formula>
    </cfRule>
  </conditionalFormatting>
  <conditionalFormatting sqref="S1707">
    <cfRule type="containsText" dxfId="5053" priority="5547" operator="containsText" text="ND">
      <formula>NOT(ISERROR(SEARCH(("ND"),(S1707))))</formula>
    </cfRule>
  </conditionalFormatting>
  <conditionalFormatting sqref="S1707">
    <cfRule type="cellIs" dxfId="5052" priority="5548" operator="greaterThanOrEqual">
      <formula>200</formula>
    </cfRule>
  </conditionalFormatting>
  <conditionalFormatting sqref="S1707">
    <cfRule type="cellIs" dxfId="5051" priority="5549" operator="greaterThanOrEqual">
      <formula>130</formula>
    </cfRule>
  </conditionalFormatting>
  <conditionalFormatting sqref="N1707">
    <cfRule type="cellIs" dxfId="5050" priority="5550" operator="greaterThanOrEqual">
      <formula>200</formula>
    </cfRule>
  </conditionalFormatting>
  <conditionalFormatting sqref="N1707">
    <cfRule type="cellIs" dxfId="5049" priority="5551" operator="greaterThanOrEqual">
      <formula>120</formula>
    </cfRule>
  </conditionalFormatting>
  <conditionalFormatting sqref="O1707">
    <cfRule type="containsText" dxfId="5048" priority="5552" operator="containsText" text="ND">
      <formula>NOT(ISERROR(SEARCH(("ND"),(O1707))))</formula>
    </cfRule>
  </conditionalFormatting>
  <conditionalFormatting sqref="O1707">
    <cfRule type="cellIs" dxfId="5047" priority="5553" operator="greaterThanOrEqual">
      <formula>250</formula>
    </cfRule>
  </conditionalFormatting>
  <conditionalFormatting sqref="O1707">
    <cfRule type="cellIs" dxfId="5046" priority="5554" operator="greaterThanOrEqual">
      <formula>175</formula>
    </cfRule>
  </conditionalFormatting>
  <conditionalFormatting sqref="P1707">
    <cfRule type="containsText" dxfId="5045" priority="5555" operator="containsText" text="ND">
      <formula>NOT(ISERROR(SEARCH(("ND"),(P1707))))</formula>
    </cfRule>
  </conditionalFormatting>
  <conditionalFormatting sqref="P1707">
    <cfRule type="cellIs" dxfId="5044" priority="5556" operator="greaterThanOrEqual">
      <formula>5</formula>
    </cfRule>
  </conditionalFormatting>
  <conditionalFormatting sqref="P1707">
    <cfRule type="cellIs" dxfId="5043" priority="5557" operator="greaterThanOrEqual">
      <formula>2.5</formula>
    </cfRule>
  </conditionalFormatting>
  <conditionalFormatting sqref="Q1707">
    <cfRule type="containsText" dxfId="5042" priority="5558" operator="containsText" text="ND">
      <formula>NOT(ISERROR(SEARCH(("ND"),(Q1707))))</formula>
    </cfRule>
  </conditionalFormatting>
  <conditionalFormatting sqref="Q1707">
    <cfRule type="cellIs" dxfId="5041" priority="5559" operator="greaterThanOrEqual">
      <formula>500</formula>
    </cfRule>
  </conditionalFormatting>
  <conditionalFormatting sqref="Q1707">
    <cfRule type="cellIs" dxfId="5040" priority="5560" operator="greaterThanOrEqual">
      <formula>300</formula>
    </cfRule>
  </conditionalFormatting>
  <conditionalFormatting sqref="L1708:L1709 P1708:P1709">
    <cfRule type="cellIs" dxfId="5039" priority="5523" operator="greaterThanOrEqual">
      <formula>5</formula>
    </cfRule>
  </conditionalFormatting>
  <conditionalFormatting sqref="L1708:L1709">
    <cfRule type="cellIs" dxfId="5038" priority="5524" operator="greaterThanOrEqual">
      <formula>2</formula>
    </cfRule>
  </conditionalFormatting>
  <conditionalFormatting sqref="M1708:M1709">
    <cfRule type="cellIs" dxfId="5037" priority="5525" operator="greaterThanOrEqual">
      <formula>60</formula>
    </cfRule>
  </conditionalFormatting>
  <conditionalFormatting sqref="M1708:M1709">
    <cfRule type="cellIs" dxfId="5036" priority="5526" operator="greaterThanOrEqual">
      <formula>30</formula>
    </cfRule>
  </conditionalFormatting>
  <conditionalFormatting sqref="R1708:R1709">
    <cfRule type="cellIs" dxfId="5035" priority="5527" operator="greaterThanOrEqual">
      <formula>600</formula>
    </cfRule>
  </conditionalFormatting>
  <conditionalFormatting sqref="R1708:R1709">
    <cfRule type="cellIs" dxfId="5034" priority="5528" operator="greaterThanOrEqual">
      <formula>260</formula>
    </cfRule>
  </conditionalFormatting>
  <conditionalFormatting sqref="S1708:S1709">
    <cfRule type="containsText" dxfId="5033" priority="5529" operator="containsText" text="&lt;">
      <formula>NOT(ISERROR(SEARCH(("&lt;"),(S1708))))</formula>
    </cfRule>
  </conditionalFormatting>
  <conditionalFormatting sqref="S1708:S1709">
    <cfRule type="containsText" dxfId="5032" priority="5530" operator="containsText" text="ND">
      <formula>NOT(ISERROR(SEARCH(("ND"),(S1708))))</formula>
    </cfRule>
  </conditionalFormatting>
  <conditionalFormatting sqref="S1708:S1709 N1708:N1709">
    <cfRule type="cellIs" dxfId="5031" priority="5531" operator="greaterThanOrEqual">
      <formula>200</formula>
    </cfRule>
  </conditionalFormatting>
  <conditionalFormatting sqref="S1708:S1709">
    <cfRule type="cellIs" dxfId="5030" priority="5532" operator="greaterThanOrEqual">
      <formula>130</formula>
    </cfRule>
  </conditionalFormatting>
  <conditionalFormatting sqref="N1708:N1709">
    <cfRule type="cellIs" dxfId="5029" priority="5533" operator="greaterThanOrEqual">
      <formula>120</formula>
    </cfRule>
  </conditionalFormatting>
  <conditionalFormatting sqref="O1708:Q1709">
    <cfRule type="containsText" dxfId="5028" priority="5534" operator="containsText" text="ND">
      <formula>NOT(ISERROR(SEARCH(("ND"),(O1708))))</formula>
    </cfRule>
  </conditionalFormatting>
  <conditionalFormatting sqref="O1708:O1709">
    <cfRule type="cellIs" dxfId="5027" priority="5535" operator="greaterThanOrEqual">
      <formula>250</formula>
    </cfRule>
  </conditionalFormatting>
  <conditionalFormatting sqref="O1708:O1709">
    <cfRule type="cellIs" dxfId="5026" priority="5536" operator="greaterThanOrEqual">
      <formula>175</formula>
    </cfRule>
  </conditionalFormatting>
  <conditionalFormatting sqref="P1708:P1709">
    <cfRule type="cellIs" dxfId="5025" priority="5537" operator="greaterThanOrEqual">
      <formula>2.5</formula>
    </cfRule>
  </conditionalFormatting>
  <conditionalFormatting sqref="Q1708:Q1709">
    <cfRule type="cellIs" dxfId="5024" priority="5538" operator="greaterThanOrEqual">
      <formula>500</formula>
    </cfRule>
  </conditionalFormatting>
  <conditionalFormatting sqref="Q1708:Q1709">
    <cfRule type="cellIs" dxfId="5023" priority="5539" operator="greaterThanOrEqual">
      <formula>300</formula>
    </cfRule>
  </conditionalFormatting>
  <conditionalFormatting sqref="L2070">
    <cfRule type="cellIs" dxfId="5022" priority="5502" operator="greaterThanOrEqual">
      <formula>5</formula>
    </cfRule>
  </conditionalFormatting>
  <conditionalFormatting sqref="L2070">
    <cfRule type="cellIs" dxfId="5021" priority="5503" operator="greaterThanOrEqual">
      <formula>2</formula>
    </cfRule>
  </conditionalFormatting>
  <conditionalFormatting sqref="M2070">
    <cfRule type="cellIs" dxfId="5020" priority="5504" operator="greaterThanOrEqual">
      <formula>60</formula>
    </cfRule>
  </conditionalFormatting>
  <conditionalFormatting sqref="M2070">
    <cfRule type="cellIs" dxfId="5019" priority="5505" operator="greaterThanOrEqual">
      <formula>30</formula>
    </cfRule>
  </conditionalFormatting>
  <conditionalFormatting sqref="R2070">
    <cfRule type="cellIs" dxfId="5018" priority="5506" operator="greaterThanOrEqual">
      <formula>600</formula>
    </cfRule>
  </conditionalFormatting>
  <conditionalFormatting sqref="R2070">
    <cfRule type="cellIs" dxfId="5017" priority="5507" operator="greaterThanOrEqual">
      <formula>260</formula>
    </cfRule>
  </conditionalFormatting>
  <conditionalFormatting sqref="S2070">
    <cfRule type="containsText" dxfId="5016" priority="5508" operator="containsText" text="&lt;">
      <formula>NOT(ISERROR(SEARCH(("&lt;"),(S2070))))</formula>
    </cfRule>
  </conditionalFormatting>
  <conditionalFormatting sqref="S2070">
    <cfRule type="containsText" dxfId="5015" priority="5509" operator="containsText" text="ND">
      <formula>NOT(ISERROR(SEARCH(("ND"),(S2070))))</formula>
    </cfRule>
  </conditionalFormatting>
  <conditionalFormatting sqref="S2070">
    <cfRule type="cellIs" dxfId="5014" priority="5510" operator="greaterThanOrEqual">
      <formula>200</formula>
    </cfRule>
  </conditionalFormatting>
  <conditionalFormatting sqref="S2070">
    <cfRule type="cellIs" dxfId="5013" priority="5511" operator="greaterThanOrEqual">
      <formula>130</formula>
    </cfRule>
  </conditionalFormatting>
  <conditionalFormatting sqref="N2070">
    <cfRule type="cellIs" dxfId="5012" priority="5512" operator="greaterThanOrEqual">
      <formula>200</formula>
    </cfRule>
  </conditionalFormatting>
  <conditionalFormatting sqref="N2070">
    <cfRule type="cellIs" dxfId="5011" priority="5513" operator="greaterThanOrEqual">
      <formula>120</formula>
    </cfRule>
  </conditionalFormatting>
  <conditionalFormatting sqref="O2070">
    <cfRule type="containsText" dxfId="5010" priority="5514" operator="containsText" text="ND">
      <formula>NOT(ISERROR(SEARCH(("ND"),(O2070))))</formula>
    </cfRule>
  </conditionalFormatting>
  <conditionalFormatting sqref="O2070">
    <cfRule type="cellIs" dxfId="5009" priority="5515" operator="greaterThanOrEqual">
      <formula>250</formula>
    </cfRule>
  </conditionalFormatting>
  <conditionalFormatting sqref="O2070">
    <cfRule type="cellIs" dxfId="5008" priority="5516" operator="greaterThanOrEqual">
      <formula>175</formula>
    </cfRule>
  </conditionalFormatting>
  <conditionalFormatting sqref="P2070">
    <cfRule type="containsText" dxfId="5007" priority="5517" operator="containsText" text="ND">
      <formula>NOT(ISERROR(SEARCH(("ND"),(P2070))))</formula>
    </cfRule>
  </conditionalFormatting>
  <conditionalFormatting sqref="P2070">
    <cfRule type="cellIs" dxfId="5006" priority="5518" operator="greaterThanOrEqual">
      <formula>5</formula>
    </cfRule>
  </conditionalFormatting>
  <conditionalFormatting sqref="P2070">
    <cfRule type="cellIs" dxfId="5005" priority="5519" operator="greaterThanOrEqual">
      <formula>2.5</formula>
    </cfRule>
  </conditionalFormatting>
  <conditionalFormatting sqref="Q2070">
    <cfRule type="containsText" dxfId="5004" priority="5520" operator="containsText" text="ND">
      <formula>NOT(ISERROR(SEARCH(("ND"),(Q2070))))</formula>
    </cfRule>
  </conditionalFormatting>
  <conditionalFormatting sqref="Q2070">
    <cfRule type="cellIs" dxfId="5003" priority="5521" operator="greaterThanOrEqual">
      <formula>500</formula>
    </cfRule>
  </conditionalFormatting>
  <conditionalFormatting sqref="Q2070">
    <cfRule type="cellIs" dxfId="5002" priority="5522" operator="greaterThanOrEqual">
      <formula>300</formula>
    </cfRule>
  </conditionalFormatting>
  <conditionalFormatting sqref="L1644">
    <cfRule type="cellIs" dxfId="5001" priority="5481" operator="greaterThanOrEqual">
      <formula>5</formula>
    </cfRule>
  </conditionalFormatting>
  <conditionalFormatting sqref="L1644">
    <cfRule type="cellIs" dxfId="5000" priority="5482" operator="greaterThanOrEqual">
      <formula>2</formula>
    </cfRule>
  </conditionalFormatting>
  <conditionalFormatting sqref="M1644">
    <cfRule type="cellIs" dxfId="4999" priority="5483" operator="greaterThanOrEqual">
      <formula>60</formula>
    </cfRule>
  </conditionalFormatting>
  <conditionalFormatting sqref="M1644">
    <cfRule type="cellIs" dxfId="4998" priority="5484" operator="greaterThanOrEqual">
      <formula>30</formula>
    </cfRule>
  </conditionalFormatting>
  <conditionalFormatting sqref="R1644">
    <cfRule type="cellIs" dxfId="4997" priority="5485" operator="greaterThanOrEqual">
      <formula>600</formula>
    </cfRule>
  </conditionalFormatting>
  <conditionalFormatting sqref="R1644">
    <cfRule type="cellIs" dxfId="4996" priority="5486" operator="greaterThanOrEqual">
      <formula>260</formula>
    </cfRule>
  </conditionalFormatting>
  <conditionalFormatting sqref="S1644">
    <cfRule type="containsText" dxfId="4995" priority="5487" operator="containsText" text="&lt;">
      <formula>NOT(ISERROR(SEARCH(("&lt;"),(S1644))))</formula>
    </cfRule>
  </conditionalFormatting>
  <conditionalFormatting sqref="S1644">
    <cfRule type="containsText" dxfId="4994" priority="5488" operator="containsText" text="ND">
      <formula>NOT(ISERROR(SEARCH(("ND"),(S1644))))</formula>
    </cfRule>
  </conditionalFormatting>
  <conditionalFormatting sqref="S1644">
    <cfRule type="cellIs" dxfId="4993" priority="5489" operator="greaterThanOrEqual">
      <formula>200</formula>
    </cfRule>
  </conditionalFormatting>
  <conditionalFormatting sqref="S1644">
    <cfRule type="cellIs" dxfId="4992" priority="5490" operator="greaterThanOrEqual">
      <formula>130</formula>
    </cfRule>
  </conditionalFormatting>
  <conditionalFormatting sqref="N1644">
    <cfRule type="cellIs" dxfId="4991" priority="5491" operator="greaterThanOrEqual">
      <formula>200</formula>
    </cfRule>
  </conditionalFormatting>
  <conditionalFormatting sqref="N1644">
    <cfRule type="cellIs" dxfId="4990" priority="5492" operator="greaterThanOrEqual">
      <formula>120</formula>
    </cfRule>
  </conditionalFormatting>
  <conditionalFormatting sqref="O1644">
    <cfRule type="containsText" dxfId="4989" priority="5493" operator="containsText" text="ND">
      <formula>NOT(ISERROR(SEARCH(("ND"),(O1644))))</formula>
    </cfRule>
  </conditionalFormatting>
  <conditionalFormatting sqref="O1644">
    <cfRule type="cellIs" dxfId="4988" priority="5494" operator="greaterThanOrEqual">
      <formula>250</formula>
    </cfRule>
  </conditionalFormatting>
  <conditionalFormatting sqref="O1644">
    <cfRule type="cellIs" dxfId="4987" priority="5495" operator="greaterThanOrEqual">
      <formula>175</formula>
    </cfRule>
  </conditionalFormatting>
  <conditionalFormatting sqref="P1644">
    <cfRule type="containsText" dxfId="4986" priority="5496" operator="containsText" text="ND">
      <formula>NOT(ISERROR(SEARCH(("ND"),(P1644))))</formula>
    </cfRule>
  </conditionalFormatting>
  <conditionalFormatting sqref="P1644">
    <cfRule type="cellIs" dxfId="4985" priority="5497" operator="greaterThanOrEqual">
      <formula>5</formula>
    </cfRule>
  </conditionalFormatting>
  <conditionalFormatting sqref="P1644">
    <cfRule type="cellIs" dxfId="4984" priority="5498" operator="greaterThanOrEqual">
      <formula>2.5</formula>
    </cfRule>
  </conditionalFormatting>
  <conditionalFormatting sqref="Q1644">
    <cfRule type="containsText" dxfId="4983" priority="5499" operator="containsText" text="ND">
      <formula>NOT(ISERROR(SEARCH(("ND"),(Q1644))))</formula>
    </cfRule>
  </conditionalFormatting>
  <conditionalFormatting sqref="Q1644">
    <cfRule type="cellIs" dxfId="4982" priority="5500" operator="greaterThanOrEqual">
      <formula>500</formula>
    </cfRule>
  </conditionalFormatting>
  <conditionalFormatting sqref="Q1644">
    <cfRule type="cellIs" dxfId="4981" priority="5501" operator="greaterThanOrEqual">
      <formula>300</formula>
    </cfRule>
  </conditionalFormatting>
  <conditionalFormatting sqref="L1645">
    <cfRule type="cellIs" dxfId="4980" priority="5460" operator="greaterThanOrEqual">
      <formula>5</formula>
    </cfRule>
  </conditionalFormatting>
  <conditionalFormatting sqref="L1645">
    <cfRule type="cellIs" dxfId="4979" priority="5461" operator="greaterThanOrEqual">
      <formula>2</formula>
    </cfRule>
  </conditionalFormatting>
  <conditionalFormatting sqref="M1645">
    <cfRule type="cellIs" dxfId="4978" priority="5462" operator="greaterThanOrEqual">
      <formula>60</formula>
    </cfRule>
  </conditionalFormatting>
  <conditionalFormatting sqref="M1645">
    <cfRule type="cellIs" dxfId="4977" priority="5463" operator="greaterThanOrEqual">
      <formula>30</formula>
    </cfRule>
  </conditionalFormatting>
  <conditionalFormatting sqref="R1645">
    <cfRule type="cellIs" dxfId="4976" priority="5464" operator="greaterThanOrEqual">
      <formula>600</formula>
    </cfRule>
  </conditionalFormatting>
  <conditionalFormatting sqref="R1645">
    <cfRule type="cellIs" dxfId="4975" priority="5465" operator="greaterThanOrEqual">
      <formula>260</formula>
    </cfRule>
  </conditionalFormatting>
  <conditionalFormatting sqref="S1645">
    <cfRule type="containsText" dxfId="4974" priority="5466" operator="containsText" text="&lt;">
      <formula>NOT(ISERROR(SEARCH(("&lt;"),(S1645))))</formula>
    </cfRule>
  </conditionalFormatting>
  <conditionalFormatting sqref="S1645">
    <cfRule type="containsText" dxfId="4973" priority="5467" operator="containsText" text="ND">
      <formula>NOT(ISERROR(SEARCH(("ND"),(S1645))))</formula>
    </cfRule>
  </conditionalFormatting>
  <conditionalFormatting sqref="S1645">
    <cfRule type="cellIs" dxfId="4972" priority="5468" operator="greaterThanOrEqual">
      <formula>200</formula>
    </cfRule>
  </conditionalFormatting>
  <conditionalFormatting sqref="S1645">
    <cfRule type="cellIs" dxfId="4971" priority="5469" operator="greaterThanOrEqual">
      <formula>130</formula>
    </cfRule>
  </conditionalFormatting>
  <conditionalFormatting sqref="N1645">
    <cfRule type="cellIs" dxfId="4970" priority="5470" operator="greaterThanOrEqual">
      <formula>200</formula>
    </cfRule>
  </conditionalFormatting>
  <conditionalFormatting sqref="N1645">
    <cfRule type="cellIs" dxfId="4969" priority="5471" operator="greaterThanOrEqual">
      <formula>120</formula>
    </cfRule>
  </conditionalFormatting>
  <conditionalFormatting sqref="O1645">
    <cfRule type="containsText" dxfId="4968" priority="5472" operator="containsText" text="ND">
      <formula>NOT(ISERROR(SEARCH(("ND"),(O1645))))</formula>
    </cfRule>
  </conditionalFormatting>
  <conditionalFormatting sqref="O1645">
    <cfRule type="cellIs" dxfId="4967" priority="5473" operator="greaterThanOrEqual">
      <formula>250</formula>
    </cfRule>
  </conditionalFormatting>
  <conditionalFormatting sqref="O1645">
    <cfRule type="cellIs" dxfId="4966" priority="5474" operator="greaterThanOrEqual">
      <formula>175</formula>
    </cfRule>
  </conditionalFormatting>
  <conditionalFormatting sqref="P1645">
    <cfRule type="containsText" dxfId="4965" priority="5475" operator="containsText" text="ND">
      <formula>NOT(ISERROR(SEARCH(("ND"),(P1645))))</formula>
    </cfRule>
  </conditionalFormatting>
  <conditionalFormatting sqref="P1645">
    <cfRule type="cellIs" dxfId="4964" priority="5476" operator="greaterThanOrEqual">
      <formula>5</formula>
    </cfRule>
  </conditionalFormatting>
  <conditionalFormatting sqref="P1645">
    <cfRule type="cellIs" dxfId="4963" priority="5477" operator="greaterThanOrEqual">
      <formula>2.5</formula>
    </cfRule>
  </conditionalFormatting>
  <conditionalFormatting sqref="Q1645">
    <cfRule type="containsText" dxfId="4962" priority="5478" operator="containsText" text="ND">
      <formula>NOT(ISERROR(SEARCH(("ND"),(Q1645))))</formula>
    </cfRule>
  </conditionalFormatting>
  <conditionalFormatting sqref="Q1645">
    <cfRule type="cellIs" dxfId="4961" priority="5479" operator="greaterThanOrEqual">
      <formula>500</formula>
    </cfRule>
  </conditionalFormatting>
  <conditionalFormatting sqref="Q1645">
    <cfRule type="cellIs" dxfId="4960" priority="5480" operator="greaterThanOrEqual">
      <formula>300</formula>
    </cfRule>
  </conditionalFormatting>
  <conditionalFormatting sqref="L1851 P1851">
    <cfRule type="cellIs" dxfId="4959" priority="5443" operator="greaterThanOrEqual">
      <formula>5</formula>
    </cfRule>
  </conditionalFormatting>
  <conditionalFormatting sqref="L1851">
    <cfRule type="cellIs" dxfId="4958" priority="5444" operator="greaterThanOrEqual">
      <formula>2</formula>
    </cfRule>
  </conditionalFormatting>
  <conditionalFormatting sqref="M1851">
    <cfRule type="cellIs" dxfId="4957" priority="5445" operator="greaterThanOrEqual">
      <formula>60</formula>
    </cfRule>
  </conditionalFormatting>
  <conditionalFormatting sqref="M1851">
    <cfRule type="cellIs" dxfId="4956" priority="5446" operator="greaterThanOrEqual">
      <formula>30</formula>
    </cfRule>
  </conditionalFormatting>
  <conditionalFormatting sqref="R1851">
    <cfRule type="cellIs" dxfId="4955" priority="5447" operator="greaterThanOrEqual">
      <formula>600</formula>
    </cfRule>
  </conditionalFormatting>
  <conditionalFormatting sqref="R1851">
    <cfRule type="cellIs" dxfId="4954" priority="5448" operator="greaterThanOrEqual">
      <formula>260</formula>
    </cfRule>
  </conditionalFormatting>
  <conditionalFormatting sqref="S1851">
    <cfRule type="containsText" dxfId="4953" priority="5449" operator="containsText" text="&lt;">
      <formula>NOT(ISERROR(SEARCH(("&lt;"),(S1851))))</formula>
    </cfRule>
  </conditionalFormatting>
  <conditionalFormatting sqref="S1851">
    <cfRule type="containsText" dxfId="4952" priority="5450" operator="containsText" text="ND">
      <formula>NOT(ISERROR(SEARCH(("ND"),(S1851))))</formula>
    </cfRule>
  </conditionalFormatting>
  <conditionalFormatting sqref="S1851 N1851">
    <cfRule type="cellIs" dxfId="4951" priority="5451" operator="greaterThanOrEqual">
      <formula>200</formula>
    </cfRule>
  </conditionalFormatting>
  <conditionalFormatting sqref="S1851">
    <cfRule type="cellIs" dxfId="4950" priority="5452" operator="greaterThanOrEqual">
      <formula>130</formula>
    </cfRule>
  </conditionalFormatting>
  <conditionalFormatting sqref="N1851">
    <cfRule type="cellIs" dxfId="4949" priority="5453" operator="greaterThanOrEqual">
      <formula>120</formula>
    </cfRule>
  </conditionalFormatting>
  <conditionalFormatting sqref="O1851:Q1851">
    <cfRule type="containsText" dxfId="4948" priority="5454" operator="containsText" text="ND">
      <formula>NOT(ISERROR(SEARCH(("ND"),(O1851))))</formula>
    </cfRule>
  </conditionalFormatting>
  <conditionalFormatting sqref="O1851">
    <cfRule type="cellIs" dxfId="4947" priority="5455" operator="greaterThanOrEqual">
      <formula>250</formula>
    </cfRule>
  </conditionalFormatting>
  <conditionalFormatting sqref="O1851">
    <cfRule type="cellIs" dxfId="4946" priority="5456" operator="greaterThanOrEqual">
      <formula>175</formula>
    </cfRule>
  </conditionalFormatting>
  <conditionalFormatting sqref="P1851">
    <cfRule type="cellIs" dxfId="4945" priority="5457" operator="greaterThanOrEqual">
      <formula>2.5</formula>
    </cfRule>
  </conditionalFormatting>
  <conditionalFormatting sqref="Q1851">
    <cfRule type="cellIs" dxfId="4944" priority="5458" operator="greaterThanOrEqual">
      <formula>500</formula>
    </cfRule>
  </conditionalFormatting>
  <conditionalFormatting sqref="Q1851">
    <cfRule type="cellIs" dxfId="4943" priority="5459" operator="greaterThanOrEqual">
      <formula>300</formula>
    </cfRule>
  </conditionalFormatting>
  <conditionalFormatting sqref="L2206:L2207">
    <cfRule type="cellIs" dxfId="4942" priority="5422" operator="greaterThanOrEqual">
      <formula>5</formula>
    </cfRule>
  </conditionalFormatting>
  <conditionalFormatting sqref="L2206:L2207">
    <cfRule type="cellIs" dxfId="4941" priority="5423" operator="greaterThanOrEqual">
      <formula>2</formula>
    </cfRule>
  </conditionalFormatting>
  <conditionalFormatting sqref="M2206:M2207">
    <cfRule type="cellIs" dxfId="4940" priority="5424" operator="greaterThanOrEqual">
      <formula>60</formula>
    </cfRule>
  </conditionalFormatting>
  <conditionalFormatting sqref="M2206:M2207">
    <cfRule type="cellIs" dxfId="4939" priority="5425" operator="greaterThanOrEqual">
      <formula>30</formula>
    </cfRule>
  </conditionalFormatting>
  <conditionalFormatting sqref="R2206:R2207">
    <cfRule type="cellIs" dxfId="4938" priority="5426" operator="greaterThanOrEqual">
      <formula>600</formula>
    </cfRule>
  </conditionalFormatting>
  <conditionalFormatting sqref="R2206:R2207">
    <cfRule type="cellIs" dxfId="4937" priority="5427" operator="greaterThanOrEqual">
      <formula>260</formula>
    </cfRule>
  </conditionalFormatting>
  <conditionalFormatting sqref="S2206:S2207">
    <cfRule type="containsText" dxfId="4936" priority="5428" operator="containsText" text="&lt;">
      <formula>NOT(ISERROR(SEARCH(("&lt;"),(S2206))))</formula>
    </cfRule>
  </conditionalFormatting>
  <conditionalFormatting sqref="S2206:S2207">
    <cfRule type="containsText" dxfId="4935" priority="5429" operator="containsText" text="ND">
      <formula>NOT(ISERROR(SEARCH(("ND"),(S2206))))</formula>
    </cfRule>
  </conditionalFormatting>
  <conditionalFormatting sqref="S2206:S2207">
    <cfRule type="cellIs" dxfId="4934" priority="5430" operator="greaterThanOrEqual">
      <formula>200</formula>
    </cfRule>
  </conditionalFormatting>
  <conditionalFormatting sqref="S2206:S2207">
    <cfRule type="cellIs" dxfId="4933" priority="5431" operator="greaterThanOrEqual">
      <formula>130</formula>
    </cfRule>
  </conditionalFormatting>
  <conditionalFormatting sqref="N2206:N2207">
    <cfRule type="cellIs" dxfId="4932" priority="5432" operator="greaterThanOrEqual">
      <formula>200</formula>
    </cfRule>
  </conditionalFormatting>
  <conditionalFormatting sqref="N2206:N2207">
    <cfRule type="cellIs" dxfId="4931" priority="5433" operator="greaterThanOrEqual">
      <formula>120</formula>
    </cfRule>
  </conditionalFormatting>
  <conditionalFormatting sqref="O2206:O2207">
    <cfRule type="containsText" dxfId="4930" priority="5434" operator="containsText" text="ND">
      <formula>NOT(ISERROR(SEARCH(("ND"),(O2206))))</formula>
    </cfRule>
  </conditionalFormatting>
  <conditionalFormatting sqref="O2206:O2207">
    <cfRule type="cellIs" dxfId="4929" priority="5435" operator="greaterThanOrEqual">
      <formula>250</formula>
    </cfRule>
  </conditionalFormatting>
  <conditionalFormatting sqref="O2206:O2207">
    <cfRule type="cellIs" dxfId="4928" priority="5436" operator="greaterThanOrEqual">
      <formula>175</formula>
    </cfRule>
  </conditionalFormatting>
  <conditionalFormatting sqref="P2206:P2207">
    <cfRule type="containsText" dxfId="4927" priority="5437" operator="containsText" text="ND">
      <formula>NOT(ISERROR(SEARCH(("ND"),(P2206))))</formula>
    </cfRule>
  </conditionalFormatting>
  <conditionalFormatting sqref="P2206:P2207">
    <cfRule type="cellIs" dxfId="4926" priority="5438" operator="greaterThanOrEqual">
      <formula>5</formula>
    </cfRule>
  </conditionalFormatting>
  <conditionalFormatting sqref="P2206:P2207">
    <cfRule type="cellIs" dxfId="4925" priority="5439" operator="greaterThanOrEqual">
      <formula>2.5</formula>
    </cfRule>
  </conditionalFormatting>
  <conditionalFormatting sqref="Q2206:Q2207">
    <cfRule type="containsText" dxfId="4924" priority="5440" operator="containsText" text="ND">
      <formula>NOT(ISERROR(SEARCH(("ND"),(Q2206))))</formula>
    </cfRule>
  </conditionalFormatting>
  <conditionalFormatting sqref="Q2206:Q2207">
    <cfRule type="cellIs" dxfId="4923" priority="5441" operator="greaterThanOrEqual">
      <formula>500</formula>
    </cfRule>
  </conditionalFormatting>
  <conditionalFormatting sqref="Q2206:Q2207">
    <cfRule type="cellIs" dxfId="4922" priority="5442" operator="greaterThanOrEqual">
      <formula>300</formula>
    </cfRule>
  </conditionalFormatting>
  <conditionalFormatting sqref="L1715">
    <cfRule type="cellIs" dxfId="4921" priority="5401" operator="greaterThanOrEqual">
      <formula>5</formula>
    </cfRule>
  </conditionalFormatting>
  <conditionalFormatting sqref="L1715">
    <cfRule type="cellIs" dxfId="4920" priority="5402" operator="greaterThanOrEqual">
      <formula>2</formula>
    </cfRule>
  </conditionalFormatting>
  <conditionalFormatting sqref="M1715">
    <cfRule type="cellIs" dxfId="4919" priority="5403" operator="greaterThanOrEqual">
      <formula>60</formula>
    </cfRule>
  </conditionalFormatting>
  <conditionalFormatting sqref="M1715">
    <cfRule type="cellIs" dxfId="4918" priority="5404" operator="greaterThanOrEqual">
      <formula>30</formula>
    </cfRule>
  </conditionalFormatting>
  <conditionalFormatting sqref="R1715">
    <cfRule type="cellIs" dxfId="4917" priority="5405" operator="greaterThanOrEqual">
      <formula>600</formula>
    </cfRule>
  </conditionalFormatting>
  <conditionalFormatting sqref="R1715">
    <cfRule type="cellIs" dxfId="4916" priority="5406" operator="greaterThanOrEqual">
      <formula>260</formula>
    </cfRule>
  </conditionalFormatting>
  <conditionalFormatting sqref="S1715">
    <cfRule type="containsText" dxfId="4915" priority="5407" operator="containsText" text="&lt;">
      <formula>NOT(ISERROR(SEARCH(("&lt;"),(S1715))))</formula>
    </cfRule>
  </conditionalFormatting>
  <conditionalFormatting sqref="S1715">
    <cfRule type="containsText" dxfId="4914" priority="5408" operator="containsText" text="ND">
      <formula>NOT(ISERROR(SEARCH(("ND"),(S1715))))</formula>
    </cfRule>
  </conditionalFormatting>
  <conditionalFormatting sqref="S1715">
    <cfRule type="cellIs" dxfId="4913" priority="5409" operator="greaterThanOrEqual">
      <formula>200</formula>
    </cfRule>
  </conditionalFormatting>
  <conditionalFormatting sqref="S1715">
    <cfRule type="cellIs" dxfId="4912" priority="5410" operator="greaterThanOrEqual">
      <formula>130</formula>
    </cfRule>
  </conditionalFormatting>
  <conditionalFormatting sqref="N1715">
    <cfRule type="cellIs" dxfId="4911" priority="5411" operator="greaterThanOrEqual">
      <formula>200</formula>
    </cfRule>
  </conditionalFormatting>
  <conditionalFormatting sqref="N1715">
    <cfRule type="cellIs" dxfId="4910" priority="5412" operator="greaterThanOrEqual">
      <formula>120</formula>
    </cfRule>
  </conditionalFormatting>
  <conditionalFormatting sqref="O1715">
    <cfRule type="containsText" dxfId="4909" priority="5413" operator="containsText" text="ND">
      <formula>NOT(ISERROR(SEARCH(("ND"),(O1715))))</formula>
    </cfRule>
  </conditionalFormatting>
  <conditionalFormatting sqref="O1715">
    <cfRule type="cellIs" dxfId="4908" priority="5414" operator="greaterThanOrEqual">
      <formula>250</formula>
    </cfRule>
  </conditionalFormatting>
  <conditionalFormatting sqref="O1715">
    <cfRule type="cellIs" dxfId="4907" priority="5415" operator="greaterThanOrEqual">
      <formula>175</formula>
    </cfRule>
  </conditionalFormatting>
  <conditionalFormatting sqref="P1715">
    <cfRule type="containsText" dxfId="4906" priority="5416" operator="containsText" text="ND">
      <formula>NOT(ISERROR(SEARCH(("ND"),(P1715))))</formula>
    </cfRule>
  </conditionalFormatting>
  <conditionalFormatting sqref="P1715">
    <cfRule type="cellIs" dxfId="4905" priority="5417" operator="greaterThanOrEqual">
      <formula>5</formula>
    </cfRule>
  </conditionalFormatting>
  <conditionalFormatting sqref="P1715">
    <cfRule type="cellIs" dxfId="4904" priority="5418" operator="greaterThanOrEqual">
      <formula>2.5</formula>
    </cfRule>
  </conditionalFormatting>
  <conditionalFormatting sqref="Q1715">
    <cfRule type="containsText" dxfId="4903" priority="5419" operator="containsText" text="ND">
      <formula>NOT(ISERROR(SEARCH(("ND"),(Q1715))))</formula>
    </cfRule>
  </conditionalFormatting>
  <conditionalFormatting sqref="Q1715">
    <cfRule type="cellIs" dxfId="4902" priority="5420" operator="greaterThanOrEqual">
      <formula>500</formula>
    </cfRule>
  </conditionalFormatting>
  <conditionalFormatting sqref="Q1715">
    <cfRule type="cellIs" dxfId="4901" priority="5421" operator="greaterThanOrEqual">
      <formula>300</formula>
    </cfRule>
  </conditionalFormatting>
  <conditionalFormatting sqref="L1852">
    <cfRule type="cellIs" dxfId="4900" priority="5380" operator="greaterThanOrEqual">
      <formula>5</formula>
    </cfRule>
  </conditionalFormatting>
  <conditionalFormatting sqref="L1852">
    <cfRule type="cellIs" dxfId="4899" priority="5381" operator="greaterThanOrEqual">
      <formula>2</formula>
    </cfRule>
  </conditionalFormatting>
  <conditionalFormatting sqref="M1852">
    <cfRule type="cellIs" dxfId="4898" priority="5382" operator="greaterThanOrEqual">
      <formula>60</formula>
    </cfRule>
  </conditionalFormatting>
  <conditionalFormatting sqref="M1852">
    <cfRule type="cellIs" dxfId="4897" priority="5383" operator="greaterThanOrEqual">
      <formula>30</formula>
    </cfRule>
  </conditionalFormatting>
  <conditionalFormatting sqref="R1852">
    <cfRule type="cellIs" dxfId="4896" priority="5384" operator="greaterThanOrEqual">
      <formula>600</formula>
    </cfRule>
  </conditionalFormatting>
  <conditionalFormatting sqref="R1852">
    <cfRule type="cellIs" dxfId="4895" priority="5385" operator="greaterThanOrEqual">
      <formula>260</formula>
    </cfRule>
  </conditionalFormatting>
  <conditionalFormatting sqref="S1852">
    <cfRule type="containsText" dxfId="4894" priority="5386" operator="containsText" text="&lt;">
      <formula>NOT(ISERROR(SEARCH(("&lt;"),(S1852))))</formula>
    </cfRule>
  </conditionalFormatting>
  <conditionalFormatting sqref="S1852">
    <cfRule type="containsText" dxfId="4893" priority="5387" operator="containsText" text="ND">
      <formula>NOT(ISERROR(SEARCH(("ND"),(S1852))))</formula>
    </cfRule>
  </conditionalFormatting>
  <conditionalFormatting sqref="S1852">
    <cfRule type="cellIs" dxfId="4892" priority="5388" operator="greaterThanOrEqual">
      <formula>200</formula>
    </cfRule>
  </conditionalFormatting>
  <conditionalFormatting sqref="S1852">
    <cfRule type="cellIs" dxfId="4891" priority="5389" operator="greaterThanOrEqual">
      <formula>130</formula>
    </cfRule>
  </conditionalFormatting>
  <conditionalFormatting sqref="N1852">
    <cfRule type="cellIs" dxfId="4890" priority="5390" operator="greaterThanOrEqual">
      <formula>200</formula>
    </cfRule>
  </conditionalFormatting>
  <conditionalFormatting sqref="N1852">
    <cfRule type="cellIs" dxfId="4889" priority="5391" operator="greaterThanOrEqual">
      <formula>120</formula>
    </cfRule>
  </conditionalFormatting>
  <conditionalFormatting sqref="O1852">
    <cfRule type="containsText" dxfId="4888" priority="5392" operator="containsText" text="ND">
      <formula>NOT(ISERROR(SEARCH(("ND"),(O1852))))</formula>
    </cfRule>
  </conditionalFormatting>
  <conditionalFormatting sqref="O1852">
    <cfRule type="cellIs" dxfId="4887" priority="5393" operator="greaterThanOrEqual">
      <formula>250</formula>
    </cfRule>
  </conditionalFormatting>
  <conditionalFormatting sqref="O1852">
    <cfRule type="cellIs" dxfId="4886" priority="5394" operator="greaterThanOrEqual">
      <formula>175</formula>
    </cfRule>
  </conditionalFormatting>
  <conditionalFormatting sqref="P1852">
    <cfRule type="containsText" dxfId="4885" priority="5395" operator="containsText" text="ND">
      <formula>NOT(ISERROR(SEARCH(("ND"),(P1852))))</formula>
    </cfRule>
  </conditionalFormatting>
  <conditionalFormatting sqref="P1852">
    <cfRule type="cellIs" dxfId="4884" priority="5396" operator="greaterThanOrEqual">
      <formula>5</formula>
    </cfRule>
  </conditionalFormatting>
  <conditionalFormatting sqref="P1852">
    <cfRule type="cellIs" dxfId="4883" priority="5397" operator="greaterThanOrEqual">
      <formula>2.5</formula>
    </cfRule>
  </conditionalFormatting>
  <conditionalFormatting sqref="Q1852">
    <cfRule type="containsText" dxfId="4882" priority="5398" operator="containsText" text="ND">
      <formula>NOT(ISERROR(SEARCH(("ND"),(Q1852))))</formula>
    </cfRule>
  </conditionalFormatting>
  <conditionalFormatting sqref="Q1852">
    <cfRule type="cellIs" dxfId="4881" priority="5399" operator="greaterThanOrEqual">
      <formula>500</formula>
    </cfRule>
  </conditionalFormatting>
  <conditionalFormatting sqref="Q1852">
    <cfRule type="cellIs" dxfId="4880" priority="5400" operator="greaterThanOrEqual">
      <formula>300</formula>
    </cfRule>
  </conditionalFormatting>
  <conditionalFormatting sqref="L2208">
    <cfRule type="cellIs" dxfId="4879" priority="5359" operator="greaterThanOrEqual">
      <formula>5</formula>
    </cfRule>
  </conditionalFormatting>
  <conditionalFormatting sqref="L2208">
    <cfRule type="cellIs" dxfId="4878" priority="5360" operator="greaterThanOrEqual">
      <formula>2</formula>
    </cfRule>
  </conditionalFormatting>
  <conditionalFormatting sqref="M2208">
    <cfRule type="cellIs" dxfId="4877" priority="5361" operator="greaterThanOrEqual">
      <formula>60</formula>
    </cfRule>
  </conditionalFormatting>
  <conditionalFormatting sqref="M2208">
    <cfRule type="cellIs" dxfId="4876" priority="5362" operator="greaterThanOrEqual">
      <formula>30</formula>
    </cfRule>
  </conditionalFormatting>
  <conditionalFormatting sqref="R2208">
    <cfRule type="cellIs" dxfId="4875" priority="5363" operator="greaterThanOrEqual">
      <formula>600</formula>
    </cfRule>
  </conditionalFormatting>
  <conditionalFormatting sqref="R2208">
    <cfRule type="cellIs" dxfId="4874" priority="5364" operator="greaterThanOrEqual">
      <formula>260</formula>
    </cfRule>
  </conditionalFormatting>
  <conditionalFormatting sqref="S2208">
    <cfRule type="containsText" dxfId="4873" priority="5365" operator="containsText" text="&lt;">
      <formula>NOT(ISERROR(SEARCH(("&lt;"),(S2208))))</formula>
    </cfRule>
  </conditionalFormatting>
  <conditionalFormatting sqref="S2208">
    <cfRule type="containsText" dxfId="4872" priority="5366" operator="containsText" text="ND">
      <formula>NOT(ISERROR(SEARCH(("ND"),(S2208))))</formula>
    </cfRule>
  </conditionalFormatting>
  <conditionalFormatting sqref="S2208">
    <cfRule type="cellIs" dxfId="4871" priority="5367" operator="greaterThanOrEqual">
      <formula>200</formula>
    </cfRule>
  </conditionalFormatting>
  <conditionalFormatting sqref="S2208">
    <cfRule type="cellIs" dxfId="4870" priority="5368" operator="greaterThanOrEqual">
      <formula>130</formula>
    </cfRule>
  </conditionalFormatting>
  <conditionalFormatting sqref="N2208">
    <cfRule type="cellIs" dxfId="4869" priority="5369" operator="greaterThanOrEqual">
      <formula>200</formula>
    </cfRule>
  </conditionalFormatting>
  <conditionalFormatting sqref="N2208">
    <cfRule type="cellIs" dxfId="4868" priority="5370" operator="greaterThanOrEqual">
      <formula>120</formula>
    </cfRule>
  </conditionalFormatting>
  <conditionalFormatting sqref="O2208">
    <cfRule type="containsText" dxfId="4867" priority="5371" operator="containsText" text="ND">
      <formula>NOT(ISERROR(SEARCH(("ND"),(O2208))))</formula>
    </cfRule>
  </conditionalFormatting>
  <conditionalFormatting sqref="O2208">
    <cfRule type="cellIs" dxfId="4866" priority="5372" operator="greaterThanOrEqual">
      <formula>250</formula>
    </cfRule>
  </conditionalFormatting>
  <conditionalFormatting sqref="O2208">
    <cfRule type="cellIs" dxfId="4865" priority="5373" operator="greaterThanOrEqual">
      <formula>175</formula>
    </cfRule>
  </conditionalFormatting>
  <conditionalFormatting sqref="P2208">
    <cfRule type="containsText" dxfId="4864" priority="5374" operator="containsText" text="ND">
      <formula>NOT(ISERROR(SEARCH(("ND"),(P2208))))</formula>
    </cfRule>
  </conditionalFormatting>
  <conditionalFormatting sqref="P2208">
    <cfRule type="cellIs" dxfId="4863" priority="5375" operator="greaterThanOrEqual">
      <formula>5</formula>
    </cfRule>
  </conditionalFormatting>
  <conditionalFormatting sqref="P2208">
    <cfRule type="cellIs" dxfId="4862" priority="5376" operator="greaterThanOrEqual">
      <formula>2.5</formula>
    </cfRule>
  </conditionalFormatting>
  <conditionalFormatting sqref="Q2208">
    <cfRule type="containsText" dxfId="4861" priority="5377" operator="containsText" text="ND">
      <formula>NOT(ISERROR(SEARCH(("ND"),(Q2208))))</formula>
    </cfRule>
  </conditionalFormatting>
  <conditionalFormatting sqref="Q2208">
    <cfRule type="cellIs" dxfId="4860" priority="5378" operator="greaterThanOrEqual">
      <formula>500</formula>
    </cfRule>
  </conditionalFormatting>
  <conditionalFormatting sqref="Q2208">
    <cfRule type="cellIs" dxfId="4859" priority="5379" operator="greaterThanOrEqual">
      <formula>300</formula>
    </cfRule>
  </conditionalFormatting>
  <conditionalFormatting sqref="L1853">
    <cfRule type="cellIs" dxfId="4858" priority="5338" operator="greaterThanOrEqual">
      <formula>5</formula>
    </cfRule>
  </conditionalFormatting>
  <conditionalFormatting sqref="L1853">
    <cfRule type="cellIs" dxfId="4857" priority="5339" operator="greaterThanOrEqual">
      <formula>2</formula>
    </cfRule>
  </conditionalFormatting>
  <conditionalFormatting sqref="M1853">
    <cfRule type="cellIs" dxfId="4856" priority="5340" operator="greaterThanOrEqual">
      <formula>60</formula>
    </cfRule>
  </conditionalFormatting>
  <conditionalFormatting sqref="M1853">
    <cfRule type="cellIs" dxfId="4855" priority="5341" operator="greaterThanOrEqual">
      <formula>30</formula>
    </cfRule>
  </conditionalFormatting>
  <conditionalFormatting sqref="R1853">
    <cfRule type="cellIs" dxfId="4854" priority="5342" operator="greaterThanOrEqual">
      <formula>600</formula>
    </cfRule>
  </conditionalFormatting>
  <conditionalFormatting sqref="R1853">
    <cfRule type="cellIs" dxfId="4853" priority="5343" operator="greaterThanOrEqual">
      <formula>260</formula>
    </cfRule>
  </conditionalFormatting>
  <conditionalFormatting sqref="S1853">
    <cfRule type="containsText" dxfId="4852" priority="5344" operator="containsText" text="&lt;">
      <formula>NOT(ISERROR(SEARCH(("&lt;"),(S1853))))</formula>
    </cfRule>
  </conditionalFormatting>
  <conditionalFormatting sqref="S1853">
    <cfRule type="containsText" dxfId="4851" priority="5345" operator="containsText" text="ND">
      <formula>NOT(ISERROR(SEARCH(("ND"),(S1853))))</formula>
    </cfRule>
  </conditionalFormatting>
  <conditionalFormatting sqref="S1853">
    <cfRule type="cellIs" dxfId="4850" priority="5346" operator="greaterThanOrEqual">
      <formula>200</formula>
    </cfRule>
  </conditionalFormatting>
  <conditionalFormatting sqref="S1853">
    <cfRule type="cellIs" dxfId="4849" priority="5347" operator="greaterThanOrEqual">
      <formula>130</formula>
    </cfRule>
  </conditionalFormatting>
  <conditionalFormatting sqref="N1853">
    <cfRule type="cellIs" dxfId="4848" priority="5348" operator="greaterThanOrEqual">
      <formula>200</formula>
    </cfRule>
  </conditionalFormatting>
  <conditionalFormatting sqref="N1853">
    <cfRule type="cellIs" dxfId="4847" priority="5349" operator="greaterThanOrEqual">
      <formula>120</formula>
    </cfRule>
  </conditionalFormatting>
  <conditionalFormatting sqref="O1853">
    <cfRule type="containsText" dxfId="4846" priority="5350" operator="containsText" text="ND">
      <formula>NOT(ISERROR(SEARCH(("ND"),(O1853))))</formula>
    </cfRule>
  </conditionalFormatting>
  <conditionalFormatting sqref="O1853">
    <cfRule type="cellIs" dxfId="4845" priority="5351" operator="greaterThanOrEqual">
      <formula>250</formula>
    </cfRule>
  </conditionalFormatting>
  <conditionalFormatting sqref="O1853">
    <cfRule type="cellIs" dxfId="4844" priority="5352" operator="greaterThanOrEqual">
      <formula>175</formula>
    </cfRule>
  </conditionalFormatting>
  <conditionalFormatting sqref="P1853">
    <cfRule type="containsText" dxfId="4843" priority="5353" operator="containsText" text="ND">
      <formula>NOT(ISERROR(SEARCH(("ND"),(P1853))))</formula>
    </cfRule>
  </conditionalFormatting>
  <conditionalFormatting sqref="P1853">
    <cfRule type="cellIs" dxfId="4842" priority="5354" operator="greaterThanOrEqual">
      <formula>5</formula>
    </cfRule>
  </conditionalFormatting>
  <conditionalFormatting sqref="P1853">
    <cfRule type="cellIs" dxfId="4841" priority="5355" operator="greaterThanOrEqual">
      <formula>2.5</formula>
    </cfRule>
  </conditionalFormatting>
  <conditionalFormatting sqref="Q1853">
    <cfRule type="containsText" dxfId="4840" priority="5356" operator="containsText" text="ND">
      <formula>NOT(ISERROR(SEARCH(("ND"),(Q1853))))</formula>
    </cfRule>
  </conditionalFormatting>
  <conditionalFormatting sqref="Q1853">
    <cfRule type="cellIs" dxfId="4839" priority="5357" operator="greaterThanOrEqual">
      <formula>500</formula>
    </cfRule>
  </conditionalFormatting>
  <conditionalFormatting sqref="Q1853">
    <cfRule type="cellIs" dxfId="4838" priority="5358" operator="greaterThanOrEqual">
      <formula>300</formula>
    </cfRule>
  </conditionalFormatting>
  <conditionalFormatting sqref="L1854">
    <cfRule type="cellIs" dxfId="4837" priority="5317" operator="greaterThanOrEqual">
      <formula>5</formula>
    </cfRule>
  </conditionalFormatting>
  <conditionalFormatting sqref="L1854">
    <cfRule type="cellIs" dxfId="4836" priority="5318" operator="greaterThanOrEqual">
      <formula>2</formula>
    </cfRule>
  </conditionalFormatting>
  <conditionalFormatting sqref="M1854">
    <cfRule type="cellIs" dxfId="4835" priority="5319" operator="greaterThanOrEqual">
      <formula>60</formula>
    </cfRule>
  </conditionalFormatting>
  <conditionalFormatting sqref="M1854">
    <cfRule type="cellIs" dxfId="4834" priority="5320" operator="greaterThanOrEqual">
      <formula>30</formula>
    </cfRule>
  </conditionalFormatting>
  <conditionalFormatting sqref="R1854">
    <cfRule type="cellIs" dxfId="4833" priority="5321" operator="greaterThanOrEqual">
      <formula>600</formula>
    </cfRule>
  </conditionalFormatting>
  <conditionalFormatting sqref="R1854">
    <cfRule type="cellIs" dxfId="4832" priority="5322" operator="greaterThanOrEqual">
      <formula>260</formula>
    </cfRule>
  </conditionalFormatting>
  <conditionalFormatting sqref="S1854">
    <cfRule type="containsText" dxfId="4831" priority="5323" operator="containsText" text="&lt;">
      <formula>NOT(ISERROR(SEARCH(("&lt;"),(S1854))))</formula>
    </cfRule>
  </conditionalFormatting>
  <conditionalFormatting sqref="S1854">
    <cfRule type="containsText" dxfId="4830" priority="5324" operator="containsText" text="ND">
      <formula>NOT(ISERROR(SEARCH(("ND"),(S1854))))</formula>
    </cfRule>
  </conditionalFormatting>
  <conditionalFormatting sqref="S1854">
    <cfRule type="cellIs" dxfId="4829" priority="5325" operator="greaterThanOrEqual">
      <formula>200</formula>
    </cfRule>
  </conditionalFormatting>
  <conditionalFormatting sqref="S1854">
    <cfRule type="cellIs" dxfId="4828" priority="5326" operator="greaterThanOrEqual">
      <formula>130</formula>
    </cfRule>
  </conditionalFormatting>
  <conditionalFormatting sqref="N1854">
    <cfRule type="cellIs" dxfId="4827" priority="5327" operator="greaterThanOrEqual">
      <formula>200</formula>
    </cfRule>
  </conditionalFormatting>
  <conditionalFormatting sqref="N1854">
    <cfRule type="cellIs" dxfId="4826" priority="5328" operator="greaterThanOrEqual">
      <formula>120</formula>
    </cfRule>
  </conditionalFormatting>
  <conditionalFormatting sqref="O1854">
    <cfRule type="containsText" dxfId="4825" priority="5329" operator="containsText" text="ND">
      <formula>NOT(ISERROR(SEARCH(("ND"),(O1854))))</formula>
    </cfRule>
  </conditionalFormatting>
  <conditionalFormatting sqref="O1854">
    <cfRule type="cellIs" dxfId="4824" priority="5330" operator="greaterThanOrEqual">
      <formula>250</formula>
    </cfRule>
  </conditionalFormatting>
  <conditionalFormatting sqref="O1854">
    <cfRule type="cellIs" dxfId="4823" priority="5331" operator="greaterThanOrEqual">
      <formula>175</formula>
    </cfRule>
  </conditionalFormatting>
  <conditionalFormatting sqref="P1854">
    <cfRule type="containsText" dxfId="4822" priority="5332" operator="containsText" text="ND">
      <formula>NOT(ISERROR(SEARCH(("ND"),(P1854))))</formula>
    </cfRule>
  </conditionalFormatting>
  <conditionalFormatting sqref="P1854">
    <cfRule type="cellIs" dxfId="4821" priority="5333" operator="greaterThanOrEqual">
      <formula>5</formula>
    </cfRule>
  </conditionalFormatting>
  <conditionalFormatting sqref="P1854">
    <cfRule type="cellIs" dxfId="4820" priority="5334" operator="greaterThanOrEqual">
      <formula>2.5</formula>
    </cfRule>
  </conditionalFormatting>
  <conditionalFormatting sqref="Q1854">
    <cfRule type="containsText" dxfId="4819" priority="5335" operator="containsText" text="ND">
      <formula>NOT(ISERROR(SEARCH(("ND"),(Q1854))))</formula>
    </cfRule>
  </conditionalFormatting>
  <conditionalFormatting sqref="Q1854">
    <cfRule type="cellIs" dxfId="4818" priority="5336" operator="greaterThanOrEqual">
      <formula>500</formula>
    </cfRule>
  </conditionalFormatting>
  <conditionalFormatting sqref="Q1854">
    <cfRule type="cellIs" dxfId="4817" priority="5337" operator="greaterThanOrEqual">
      <formula>300</formula>
    </cfRule>
  </conditionalFormatting>
  <conditionalFormatting sqref="L2210">
    <cfRule type="cellIs" dxfId="4816" priority="5251" operator="greaterThanOrEqual">
      <formula>5</formula>
    </cfRule>
  </conditionalFormatting>
  <conditionalFormatting sqref="L2210">
    <cfRule type="cellIs" dxfId="4815" priority="5252" operator="greaterThanOrEqual">
      <formula>2</formula>
    </cfRule>
  </conditionalFormatting>
  <conditionalFormatting sqref="M2210">
    <cfRule type="cellIs" dxfId="4814" priority="5253" operator="greaterThanOrEqual">
      <formula>60</formula>
    </cfRule>
  </conditionalFormatting>
  <conditionalFormatting sqref="M2210">
    <cfRule type="cellIs" dxfId="4813" priority="5254" operator="greaterThanOrEqual">
      <formula>30</formula>
    </cfRule>
  </conditionalFormatting>
  <conditionalFormatting sqref="R2210">
    <cfRule type="cellIs" dxfId="4812" priority="5255" operator="greaterThanOrEqual">
      <formula>600</formula>
    </cfRule>
  </conditionalFormatting>
  <conditionalFormatting sqref="R2210">
    <cfRule type="cellIs" dxfId="4811" priority="5256" operator="greaterThanOrEqual">
      <formula>260</formula>
    </cfRule>
  </conditionalFormatting>
  <conditionalFormatting sqref="S2210">
    <cfRule type="containsText" dxfId="4810" priority="5257" operator="containsText" text="&lt;">
      <formula>NOT(ISERROR(SEARCH(("&lt;"),(S2210))))</formula>
    </cfRule>
  </conditionalFormatting>
  <conditionalFormatting sqref="S2210">
    <cfRule type="containsText" dxfId="4809" priority="5258" operator="containsText" text="ND">
      <formula>NOT(ISERROR(SEARCH(("ND"),(S2210))))</formula>
    </cfRule>
  </conditionalFormatting>
  <conditionalFormatting sqref="S2210">
    <cfRule type="cellIs" dxfId="4808" priority="5259" operator="greaterThanOrEqual">
      <formula>200</formula>
    </cfRule>
  </conditionalFormatting>
  <conditionalFormatting sqref="S2210">
    <cfRule type="cellIs" dxfId="4807" priority="5260" operator="greaterThanOrEqual">
      <formula>130</formula>
    </cfRule>
  </conditionalFormatting>
  <conditionalFormatting sqref="N2210">
    <cfRule type="cellIs" dxfId="4806" priority="5261" operator="greaterThanOrEqual">
      <formula>200</formula>
    </cfRule>
  </conditionalFormatting>
  <conditionalFormatting sqref="N2210">
    <cfRule type="cellIs" dxfId="4805" priority="5262" operator="greaterThanOrEqual">
      <formula>120</formula>
    </cfRule>
  </conditionalFormatting>
  <conditionalFormatting sqref="O2210">
    <cfRule type="containsText" dxfId="4804" priority="5263" operator="containsText" text="ND">
      <formula>NOT(ISERROR(SEARCH(("ND"),(O2210))))</formula>
    </cfRule>
  </conditionalFormatting>
  <conditionalFormatting sqref="O2210">
    <cfRule type="cellIs" dxfId="4803" priority="5264" operator="greaterThanOrEqual">
      <formula>250</formula>
    </cfRule>
  </conditionalFormatting>
  <conditionalFormatting sqref="O2210">
    <cfRule type="cellIs" dxfId="4802" priority="5265" operator="greaterThanOrEqual">
      <formula>175</formula>
    </cfRule>
  </conditionalFormatting>
  <conditionalFormatting sqref="P2210">
    <cfRule type="containsText" dxfId="4801" priority="5266" operator="containsText" text="ND">
      <formula>NOT(ISERROR(SEARCH(("ND"),(P2210))))</formula>
    </cfRule>
  </conditionalFormatting>
  <conditionalFormatting sqref="P2210">
    <cfRule type="cellIs" dxfId="4800" priority="5267" operator="greaterThanOrEqual">
      <formula>5</formula>
    </cfRule>
  </conditionalFormatting>
  <conditionalFormatting sqref="P2210">
    <cfRule type="cellIs" dxfId="4799" priority="5268" operator="greaterThanOrEqual">
      <formula>2.5</formula>
    </cfRule>
  </conditionalFormatting>
  <conditionalFormatting sqref="Q2210">
    <cfRule type="containsText" dxfId="4798" priority="5269" operator="containsText" text="ND">
      <formula>NOT(ISERROR(SEARCH(("ND"),(Q2210))))</formula>
    </cfRule>
  </conditionalFormatting>
  <conditionalFormatting sqref="Q2210">
    <cfRule type="cellIs" dxfId="4797" priority="5270" operator="greaterThanOrEqual">
      <formula>500</formula>
    </cfRule>
  </conditionalFormatting>
  <conditionalFormatting sqref="Q2210">
    <cfRule type="cellIs" dxfId="4796" priority="5271" operator="greaterThanOrEqual">
      <formula>300</formula>
    </cfRule>
  </conditionalFormatting>
  <conditionalFormatting sqref="L2211">
    <cfRule type="cellIs" dxfId="4795" priority="5230" operator="greaterThanOrEqual">
      <formula>5</formula>
    </cfRule>
  </conditionalFormatting>
  <conditionalFormatting sqref="L2211">
    <cfRule type="cellIs" dxfId="4794" priority="5231" operator="greaterThanOrEqual">
      <formula>2</formula>
    </cfRule>
  </conditionalFormatting>
  <conditionalFormatting sqref="M2211">
    <cfRule type="cellIs" dxfId="4793" priority="5232" operator="greaterThanOrEqual">
      <formula>60</formula>
    </cfRule>
  </conditionalFormatting>
  <conditionalFormatting sqref="M2211">
    <cfRule type="cellIs" dxfId="4792" priority="5233" operator="greaterThanOrEqual">
      <formula>30</formula>
    </cfRule>
  </conditionalFormatting>
  <conditionalFormatting sqref="R2211">
    <cfRule type="cellIs" dxfId="4791" priority="5234" operator="greaterThanOrEqual">
      <formula>600</formula>
    </cfRule>
  </conditionalFormatting>
  <conditionalFormatting sqref="R2211">
    <cfRule type="cellIs" dxfId="4790" priority="5235" operator="greaterThanOrEqual">
      <formula>260</formula>
    </cfRule>
  </conditionalFormatting>
  <conditionalFormatting sqref="S2211">
    <cfRule type="containsText" dxfId="4789" priority="5236" operator="containsText" text="&lt;">
      <formula>NOT(ISERROR(SEARCH(("&lt;"),(S2211))))</formula>
    </cfRule>
  </conditionalFormatting>
  <conditionalFormatting sqref="S2211">
    <cfRule type="containsText" dxfId="4788" priority="5237" operator="containsText" text="ND">
      <formula>NOT(ISERROR(SEARCH(("ND"),(S2211))))</formula>
    </cfRule>
  </conditionalFormatting>
  <conditionalFormatting sqref="S2211">
    <cfRule type="cellIs" dxfId="4787" priority="5238" operator="greaterThanOrEqual">
      <formula>200</formula>
    </cfRule>
  </conditionalFormatting>
  <conditionalFormatting sqref="S2211">
    <cfRule type="cellIs" dxfId="4786" priority="5239" operator="greaterThanOrEqual">
      <formula>130</formula>
    </cfRule>
  </conditionalFormatting>
  <conditionalFormatting sqref="N2211">
    <cfRule type="cellIs" dxfId="4785" priority="5240" operator="greaterThanOrEqual">
      <formula>200</formula>
    </cfRule>
  </conditionalFormatting>
  <conditionalFormatting sqref="N2211">
    <cfRule type="cellIs" dxfId="4784" priority="5241" operator="greaterThanOrEqual">
      <formula>120</formula>
    </cfRule>
  </conditionalFormatting>
  <conditionalFormatting sqref="O2211">
    <cfRule type="containsText" dxfId="4783" priority="5242" operator="containsText" text="ND">
      <formula>NOT(ISERROR(SEARCH(("ND"),(O2211))))</formula>
    </cfRule>
  </conditionalFormatting>
  <conditionalFormatting sqref="O2211">
    <cfRule type="cellIs" dxfId="4782" priority="5243" operator="greaterThanOrEqual">
      <formula>250</formula>
    </cfRule>
  </conditionalFormatting>
  <conditionalFormatting sqref="O2211">
    <cfRule type="cellIs" dxfId="4781" priority="5244" operator="greaterThanOrEqual">
      <formula>175</formula>
    </cfRule>
  </conditionalFormatting>
  <conditionalFormatting sqref="P2211">
    <cfRule type="containsText" dxfId="4780" priority="5245" operator="containsText" text="ND">
      <formula>NOT(ISERROR(SEARCH(("ND"),(P2211))))</formula>
    </cfRule>
  </conditionalFormatting>
  <conditionalFormatting sqref="P2211">
    <cfRule type="cellIs" dxfId="4779" priority="5246" operator="greaterThanOrEqual">
      <formula>5</formula>
    </cfRule>
  </conditionalFormatting>
  <conditionalFormatting sqref="P2211">
    <cfRule type="cellIs" dxfId="4778" priority="5247" operator="greaterThanOrEqual">
      <formula>2.5</formula>
    </cfRule>
  </conditionalFormatting>
  <conditionalFormatting sqref="Q2211">
    <cfRule type="containsText" dxfId="4777" priority="5248" operator="containsText" text="ND">
      <formula>NOT(ISERROR(SEARCH(("ND"),(Q2211))))</formula>
    </cfRule>
  </conditionalFormatting>
  <conditionalFormatting sqref="Q2211">
    <cfRule type="cellIs" dxfId="4776" priority="5249" operator="greaterThanOrEqual">
      <formula>500</formula>
    </cfRule>
  </conditionalFormatting>
  <conditionalFormatting sqref="Q2211">
    <cfRule type="cellIs" dxfId="4775" priority="5250" operator="greaterThanOrEqual">
      <formula>300</formula>
    </cfRule>
  </conditionalFormatting>
  <conditionalFormatting sqref="L2347">
    <cfRule type="cellIs" dxfId="4774" priority="5209" operator="greaterThanOrEqual">
      <formula>5</formula>
    </cfRule>
  </conditionalFormatting>
  <conditionalFormatting sqref="L2347">
    <cfRule type="cellIs" dxfId="4773" priority="5210" operator="greaterThanOrEqual">
      <formula>2</formula>
    </cfRule>
  </conditionalFormatting>
  <conditionalFormatting sqref="M2347">
    <cfRule type="cellIs" dxfId="4772" priority="5211" operator="greaterThanOrEqual">
      <formula>60</formula>
    </cfRule>
  </conditionalFormatting>
  <conditionalFormatting sqref="M2347">
    <cfRule type="cellIs" dxfId="4771" priority="5212" operator="greaterThanOrEqual">
      <formula>30</formula>
    </cfRule>
  </conditionalFormatting>
  <conditionalFormatting sqref="R2347">
    <cfRule type="cellIs" dxfId="4770" priority="5213" operator="greaterThanOrEqual">
      <formula>600</formula>
    </cfRule>
  </conditionalFormatting>
  <conditionalFormatting sqref="R2347">
    <cfRule type="cellIs" dxfId="4769" priority="5214" operator="greaterThanOrEqual">
      <formula>260</formula>
    </cfRule>
  </conditionalFormatting>
  <conditionalFormatting sqref="S2347">
    <cfRule type="containsText" dxfId="4768" priority="5215" operator="containsText" text="&lt;">
      <formula>NOT(ISERROR(SEARCH(("&lt;"),(S2347))))</formula>
    </cfRule>
  </conditionalFormatting>
  <conditionalFormatting sqref="S2347">
    <cfRule type="containsText" dxfId="4767" priority="5216" operator="containsText" text="ND">
      <formula>NOT(ISERROR(SEARCH(("ND"),(S2347))))</formula>
    </cfRule>
  </conditionalFormatting>
  <conditionalFormatting sqref="S2347">
    <cfRule type="cellIs" dxfId="4766" priority="5217" operator="greaterThanOrEqual">
      <formula>200</formula>
    </cfRule>
  </conditionalFormatting>
  <conditionalFormatting sqref="S2347">
    <cfRule type="cellIs" dxfId="4765" priority="5218" operator="greaterThanOrEqual">
      <formula>130</formula>
    </cfRule>
  </conditionalFormatting>
  <conditionalFormatting sqref="N2347">
    <cfRule type="cellIs" dxfId="4764" priority="5219" operator="greaterThanOrEqual">
      <formula>200</formula>
    </cfRule>
  </conditionalFormatting>
  <conditionalFormatting sqref="N2347">
    <cfRule type="cellIs" dxfId="4763" priority="5220" operator="greaterThanOrEqual">
      <formula>120</formula>
    </cfRule>
  </conditionalFormatting>
  <conditionalFormatting sqref="O2347">
    <cfRule type="containsText" dxfId="4762" priority="5221" operator="containsText" text="ND">
      <formula>NOT(ISERROR(SEARCH(("ND"),(O2347))))</formula>
    </cfRule>
  </conditionalFormatting>
  <conditionalFormatting sqref="O2347">
    <cfRule type="cellIs" dxfId="4761" priority="5222" operator="greaterThanOrEqual">
      <formula>250</formula>
    </cfRule>
  </conditionalFormatting>
  <conditionalFormatting sqref="O2347">
    <cfRule type="cellIs" dxfId="4760" priority="5223" operator="greaterThanOrEqual">
      <formula>175</formula>
    </cfRule>
  </conditionalFormatting>
  <conditionalFormatting sqref="P2347">
    <cfRule type="containsText" dxfId="4759" priority="5224" operator="containsText" text="ND">
      <formula>NOT(ISERROR(SEARCH(("ND"),(P2347))))</formula>
    </cfRule>
  </conditionalFormatting>
  <conditionalFormatting sqref="P2347">
    <cfRule type="cellIs" dxfId="4758" priority="5225" operator="greaterThanOrEqual">
      <formula>5</formula>
    </cfRule>
  </conditionalFormatting>
  <conditionalFormatting sqref="P2347">
    <cfRule type="cellIs" dxfId="4757" priority="5226" operator="greaterThanOrEqual">
      <formula>2.5</formula>
    </cfRule>
  </conditionalFormatting>
  <conditionalFormatting sqref="Q2347">
    <cfRule type="containsText" dxfId="4756" priority="5227" operator="containsText" text="ND">
      <formula>NOT(ISERROR(SEARCH(("ND"),(Q2347))))</formula>
    </cfRule>
  </conditionalFormatting>
  <conditionalFormatting sqref="Q2347">
    <cfRule type="cellIs" dxfId="4755" priority="5228" operator="greaterThanOrEqual">
      <formula>500</formula>
    </cfRule>
  </conditionalFormatting>
  <conditionalFormatting sqref="Q2347">
    <cfRule type="cellIs" dxfId="4754" priority="5229" operator="greaterThanOrEqual">
      <formula>300</formula>
    </cfRule>
  </conditionalFormatting>
  <conditionalFormatting sqref="L2348">
    <cfRule type="cellIs" dxfId="4753" priority="5188" operator="greaterThanOrEqual">
      <formula>5</formula>
    </cfRule>
  </conditionalFormatting>
  <conditionalFormatting sqref="L2348">
    <cfRule type="cellIs" dxfId="4752" priority="5189" operator="greaterThanOrEqual">
      <formula>2</formula>
    </cfRule>
  </conditionalFormatting>
  <conditionalFormatting sqref="M2348">
    <cfRule type="cellIs" dxfId="4751" priority="5190" operator="greaterThanOrEqual">
      <formula>60</formula>
    </cfRule>
  </conditionalFormatting>
  <conditionalFormatting sqref="M2348">
    <cfRule type="cellIs" dxfId="4750" priority="5191" operator="greaterThanOrEqual">
      <formula>30</formula>
    </cfRule>
  </conditionalFormatting>
  <conditionalFormatting sqref="R2348">
    <cfRule type="cellIs" dxfId="4749" priority="5192" operator="greaterThanOrEqual">
      <formula>600</formula>
    </cfRule>
  </conditionalFormatting>
  <conditionalFormatting sqref="R2348">
    <cfRule type="cellIs" dxfId="4748" priority="5193" operator="greaterThanOrEqual">
      <formula>260</formula>
    </cfRule>
  </conditionalFormatting>
  <conditionalFormatting sqref="S2348">
    <cfRule type="containsText" dxfId="4747" priority="5194" operator="containsText" text="&lt;">
      <formula>NOT(ISERROR(SEARCH(("&lt;"),(S2348))))</formula>
    </cfRule>
  </conditionalFormatting>
  <conditionalFormatting sqref="S2348">
    <cfRule type="containsText" dxfId="4746" priority="5195" operator="containsText" text="ND">
      <formula>NOT(ISERROR(SEARCH(("ND"),(S2348))))</formula>
    </cfRule>
  </conditionalFormatting>
  <conditionalFormatting sqref="S2348">
    <cfRule type="cellIs" dxfId="4745" priority="5196" operator="greaterThanOrEqual">
      <formula>200</formula>
    </cfRule>
  </conditionalFormatting>
  <conditionalFormatting sqref="S2348">
    <cfRule type="cellIs" dxfId="4744" priority="5197" operator="greaterThanOrEqual">
      <formula>130</formula>
    </cfRule>
  </conditionalFormatting>
  <conditionalFormatting sqref="N2348">
    <cfRule type="cellIs" dxfId="4743" priority="5198" operator="greaterThanOrEqual">
      <formula>200</formula>
    </cfRule>
  </conditionalFormatting>
  <conditionalFormatting sqref="N2348">
    <cfRule type="cellIs" dxfId="4742" priority="5199" operator="greaterThanOrEqual">
      <formula>120</formula>
    </cfRule>
  </conditionalFormatting>
  <conditionalFormatting sqref="O2348">
    <cfRule type="containsText" dxfId="4741" priority="5200" operator="containsText" text="ND">
      <formula>NOT(ISERROR(SEARCH(("ND"),(O2348))))</formula>
    </cfRule>
  </conditionalFormatting>
  <conditionalFormatting sqref="O2348">
    <cfRule type="cellIs" dxfId="4740" priority="5201" operator="greaterThanOrEqual">
      <formula>250</formula>
    </cfRule>
  </conditionalFormatting>
  <conditionalFormatting sqref="O2348">
    <cfRule type="cellIs" dxfId="4739" priority="5202" operator="greaterThanOrEqual">
      <formula>175</formula>
    </cfRule>
  </conditionalFormatting>
  <conditionalFormatting sqref="P2348">
    <cfRule type="containsText" dxfId="4738" priority="5203" operator="containsText" text="ND">
      <formula>NOT(ISERROR(SEARCH(("ND"),(P2348))))</formula>
    </cfRule>
  </conditionalFormatting>
  <conditionalFormatting sqref="P2348">
    <cfRule type="cellIs" dxfId="4737" priority="5204" operator="greaterThanOrEqual">
      <formula>5</formula>
    </cfRule>
  </conditionalFormatting>
  <conditionalFormatting sqref="P2348">
    <cfRule type="cellIs" dxfId="4736" priority="5205" operator="greaterThanOrEqual">
      <formula>2.5</formula>
    </cfRule>
  </conditionalFormatting>
  <conditionalFormatting sqref="Q2348">
    <cfRule type="containsText" dxfId="4735" priority="5206" operator="containsText" text="ND">
      <formula>NOT(ISERROR(SEARCH(("ND"),(Q2348))))</formula>
    </cfRule>
  </conditionalFormatting>
  <conditionalFormatting sqref="Q2348">
    <cfRule type="cellIs" dxfId="4734" priority="5207" operator="greaterThanOrEqual">
      <formula>500</formula>
    </cfRule>
  </conditionalFormatting>
  <conditionalFormatting sqref="Q2348">
    <cfRule type="cellIs" dxfId="4733" priority="5208" operator="greaterThanOrEqual">
      <formula>300</formula>
    </cfRule>
  </conditionalFormatting>
  <conditionalFormatting sqref="L2217">
    <cfRule type="cellIs" dxfId="4732" priority="5167" operator="greaterThanOrEqual">
      <formula>5</formula>
    </cfRule>
  </conditionalFormatting>
  <conditionalFormatting sqref="L2217">
    <cfRule type="cellIs" dxfId="4731" priority="5168" operator="greaterThanOrEqual">
      <formula>2</formula>
    </cfRule>
  </conditionalFormatting>
  <conditionalFormatting sqref="M2217">
    <cfRule type="cellIs" dxfId="4730" priority="5169" operator="greaterThanOrEqual">
      <formula>60</formula>
    </cfRule>
  </conditionalFormatting>
  <conditionalFormatting sqref="M2217">
    <cfRule type="cellIs" dxfId="4729" priority="5170" operator="greaterThanOrEqual">
      <formula>30</formula>
    </cfRule>
  </conditionalFormatting>
  <conditionalFormatting sqref="R2217">
    <cfRule type="cellIs" dxfId="4728" priority="5171" operator="greaterThanOrEqual">
      <formula>600</formula>
    </cfRule>
  </conditionalFormatting>
  <conditionalFormatting sqref="R2217">
    <cfRule type="cellIs" dxfId="4727" priority="5172" operator="greaterThanOrEqual">
      <formula>260</formula>
    </cfRule>
  </conditionalFormatting>
  <conditionalFormatting sqref="S2217">
    <cfRule type="containsText" dxfId="4726" priority="5173" operator="containsText" text="&lt;">
      <formula>NOT(ISERROR(SEARCH(("&lt;"),(S2217))))</formula>
    </cfRule>
  </conditionalFormatting>
  <conditionalFormatting sqref="S2217">
    <cfRule type="containsText" dxfId="4725" priority="5174" operator="containsText" text="ND">
      <formula>NOT(ISERROR(SEARCH(("ND"),(S2217))))</formula>
    </cfRule>
  </conditionalFormatting>
  <conditionalFormatting sqref="S2217">
    <cfRule type="cellIs" dxfId="4724" priority="5175" operator="greaterThanOrEqual">
      <formula>200</formula>
    </cfRule>
  </conditionalFormatting>
  <conditionalFormatting sqref="S2217">
    <cfRule type="cellIs" dxfId="4723" priority="5176" operator="greaterThanOrEqual">
      <formula>130</formula>
    </cfRule>
  </conditionalFormatting>
  <conditionalFormatting sqref="N2217">
    <cfRule type="cellIs" dxfId="4722" priority="5177" operator="greaterThanOrEqual">
      <formula>200</formula>
    </cfRule>
  </conditionalFormatting>
  <conditionalFormatting sqref="N2217">
    <cfRule type="cellIs" dxfId="4721" priority="5178" operator="greaterThanOrEqual">
      <formula>120</formula>
    </cfRule>
  </conditionalFormatting>
  <conditionalFormatting sqref="O2217">
    <cfRule type="containsText" dxfId="4720" priority="5179" operator="containsText" text="ND">
      <formula>NOT(ISERROR(SEARCH(("ND"),(O2217))))</formula>
    </cfRule>
  </conditionalFormatting>
  <conditionalFormatting sqref="O2217">
    <cfRule type="cellIs" dxfId="4719" priority="5180" operator="greaterThanOrEqual">
      <formula>250</formula>
    </cfRule>
  </conditionalFormatting>
  <conditionalFormatting sqref="O2217">
    <cfRule type="cellIs" dxfId="4718" priority="5181" operator="greaterThanOrEqual">
      <formula>175</formula>
    </cfRule>
  </conditionalFormatting>
  <conditionalFormatting sqref="P2217">
    <cfRule type="containsText" dxfId="4717" priority="5182" operator="containsText" text="ND">
      <formula>NOT(ISERROR(SEARCH(("ND"),(P2217))))</formula>
    </cfRule>
  </conditionalFormatting>
  <conditionalFormatting sqref="P2217">
    <cfRule type="cellIs" dxfId="4716" priority="5183" operator="greaterThanOrEqual">
      <formula>5</formula>
    </cfRule>
  </conditionalFormatting>
  <conditionalFormatting sqref="P2217">
    <cfRule type="cellIs" dxfId="4715" priority="5184" operator="greaterThanOrEqual">
      <formula>2.5</formula>
    </cfRule>
  </conditionalFormatting>
  <conditionalFormatting sqref="Q2217">
    <cfRule type="containsText" dxfId="4714" priority="5185" operator="containsText" text="ND">
      <formula>NOT(ISERROR(SEARCH(("ND"),(Q2217))))</formula>
    </cfRule>
  </conditionalFormatting>
  <conditionalFormatting sqref="Q2217">
    <cfRule type="cellIs" dxfId="4713" priority="5186" operator="greaterThanOrEqual">
      <formula>500</formula>
    </cfRule>
  </conditionalFormatting>
  <conditionalFormatting sqref="Q2217">
    <cfRule type="cellIs" dxfId="4712" priority="5187" operator="greaterThanOrEqual">
      <formula>300</formula>
    </cfRule>
  </conditionalFormatting>
  <conditionalFormatting sqref="L1718:L1719">
    <cfRule type="cellIs" dxfId="4711" priority="5146" operator="greaterThanOrEqual">
      <formula>5</formula>
    </cfRule>
  </conditionalFormatting>
  <conditionalFormatting sqref="L1718:L1719">
    <cfRule type="cellIs" dxfId="4710" priority="5147" operator="greaterThanOrEqual">
      <formula>2</formula>
    </cfRule>
  </conditionalFormatting>
  <conditionalFormatting sqref="M1718:M1719">
    <cfRule type="cellIs" dxfId="4709" priority="5148" operator="greaterThanOrEqual">
      <formula>60</formula>
    </cfRule>
  </conditionalFormatting>
  <conditionalFormatting sqref="M1718:M1719">
    <cfRule type="cellIs" dxfId="4708" priority="5149" operator="greaterThanOrEqual">
      <formula>30</formula>
    </cfRule>
  </conditionalFormatting>
  <conditionalFormatting sqref="R1718:R1719">
    <cfRule type="cellIs" dxfId="4707" priority="5150" operator="greaterThanOrEqual">
      <formula>600</formula>
    </cfRule>
  </conditionalFormatting>
  <conditionalFormatting sqref="R1718:R1719">
    <cfRule type="cellIs" dxfId="4706" priority="5151" operator="greaterThanOrEqual">
      <formula>260</formula>
    </cfRule>
  </conditionalFormatting>
  <conditionalFormatting sqref="S1718:S1719">
    <cfRule type="containsText" dxfId="4705" priority="5152" operator="containsText" text="&lt;">
      <formula>NOT(ISERROR(SEARCH(("&lt;"),(S1718))))</formula>
    </cfRule>
  </conditionalFormatting>
  <conditionalFormatting sqref="S1718:S1719">
    <cfRule type="containsText" dxfId="4704" priority="5153" operator="containsText" text="ND">
      <formula>NOT(ISERROR(SEARCH(("ND"),(S1718))))</formula>
    </cfRule>
  </conditionalFormatting>
  <conditionalFormatting sqref="S1718:S1719">
    <cfRule type="cellIs" dxfId="4703" priority="5154" operator="greaterThanOrEqual">
      <formula>200</formula>
    </cfRule>
  </conditionalFormatting>
  <conditionalFormatting sqref="S1718:S1719">
    <cfRule type="cellIs" dxfId="4702" priority="5155" operator="greaterThanOrEqual">
      <formula>130</formula>
    </cfRule>
  </conditionalFormatting>
  <conditionalFormatting sqref="N1718:N1719">
    <cfRule type="cellIs" dxfId="4701" priority="5156" operator="greaterThanOrEqual">
      <formula>200</formula>
    </cfRule>
  </conditionalFormatting>
  <conditionalFormatting sqref="N1718:N1719">
    <cfRule type="cellIs" dxfId="4700" priority="5157" operator="greaterThanOrEqual">
      <formula>120</formula>
    </cfRule>
  </conditionalFormatting>
  <conditionalFormatting sqref="O1718:O1719">
    <cfRule type="containsText" dxfId="4699" priority="5158" operator="containsText" text="ND">
      <formula>NOT(ISERROR(SEARCH(("ND"),(O1718))))</formula>
    </cfRule>
  </conditionalFormatting>
  <conditionalFormatting sqref="O1718:O1719">
    <cfRule type="cellIs" dxfId="4698" priority="5159" operator="greaterThanOrEqual">
      <formula>250</formula>
    </cfRule>
  </conditionalFormatting>
  <conditionalFormatting sqref="O1718:O1719">
    <cfRule type="cellIs" dxfId="4697" priority="5160" operator="greaterThanOrEqual">
      <formula>175</formula>
    </cfRule>
  </conditionalFormatting>
  <conditionalFormatting sqref="P1718:P1719">
    <cfRule type="containsText" dxfId="4696" priority="5161" operator="containsText" text="ND">
      <formula>NOT(ISERROR(SEARCH(("ND"),(P1718))))</formula>
    </cfRule>
  </conditionalFormatting>
  <conditionalFormatting sqref="P1718:P1719">
    <cfRule type="cellIs" dxfId="4695" priority="5162" operator="greaterThanOrEqual">
      <formula>5</formula>
    </cfRule>
  </conditionalFormatting>
  <conditionalFormatting sqref="P1718:P1719">
    <cfRule type="cellIs" dxfId="4694" priority="5163" operator="greaterThanOrEqual">
      <formula>2.5</formula>
    </cfRule>
  </conditionalFormatting>
  <conditionalFormatting sqref="Q1718:Q1719">
    <cfRule type="containsText" dxfId="4693" priority="5164" operator="containsText" text="ND">
      <formula>NOT(ISERROR(SEARCH(("ND"),(Q1718))))</formula>
    </cfRule>
  </conditionalFormatting>
  <conditionalFormatting sqref="Q1718:Q1719">
    <cfRule type="cellIs" dxfId="4692" priority="5165" operator="greaterThanOrEqual">
      <formula>500</formula>
    </cfRule>
  </conditionalFormatting>
  <conditionalFormatting sqref="Q1718:Q1719">
    <cfRule type="cellIs" dxfId="4691" priority="5166" operator="greaterThanOrEqual">
      <formula>300</formula>
    </cfRule>
  </conditionalFormatting>
  <conditionalFormatting sqref="L2074">
    <cfRule type="cellIs" dxfId="4690" priority="5125" operator="greaterThanOrEqual">
      <formula>5</formula>
    </cfRule>
  </conditionalFormatting>
  <conditionalFormatting sqref="L2074">
    <cfRule type="cellIs" dxfId="4689" priority="5126" operator="greaterThanOrEqual">
      <formula>2</formula>
    </cfRule>
  </conditionalFormatting>
  <conditionalFormatting sqref="M2074">
    <cfRule type="cellIs" dxfId="4688" priority="5127" operator="greaterThanOrEqual">
      <formula>60</formula>
    </cfRule>
  </conditionalFormatting>
  <conditionalFormatting sqref="M2074">
    <cfRule type="cellIs" dxfId="4687" priority="5128" operator="greaterThanOrEqual">
      <formula>30</formula>
    </cfRule>
  </conditionalFormatting>
  <conditionalFormatting sqref="R2074">
    <cfRule type="cellIs" dxfId="4686" priority="5129" operator="greaterThanOrEqual">
      <formula>600</formula>
    </cfRule>
  </conditionalFormatting>
  <conditionalFormatting sqref="R2074">
    <cfRule type="cellIs" dxfId="4685" priority="5130" operator="greaterThanOrEqual">
      <formula>260</formula>
    </cfRule>
  </conditionalFormatting>
  <conditionalFormatting sqref="S2074">
    <cfRule type="containsText" dxfId="4684" priority="5131" operator="containsText" text="&lt;">
      <formula>NOT(ISERROR(SEARCH(("&lt;"),(S2074))))</formula>
    </cfRule>
  </conditionalFormatting>
  <conditionalFormatting sqref="S2074">
    <cfRule type="containsText" dxfId="4683" priority="5132" operator="containsText" text="ND">
      <formula>NOT(ISERROR(SEARCH(("ND"),(S2074))))</formula>
    </cfRule>
  </conditionalFormatting>
  <conditionalFormatting sqref="S2074">
    <cfRule type="cellIs" dxfId="4682" priority="5133" operator="greaterThanOrEqual">
      <formula>200</formula>
    </cfRule>
  </conditionalFormatting>
  <conditionalFormatting sqref="S2074">
    <cfRule type="cellIs" dxfId="4681" priority="5134" operator="greaterThanOrEqual">
      <formula>130</formula>
    </cfRule>
  </conditionalFormatting>
  <conditionalFormatting sqref="N2074">
    <cfRule type="cellIs" dxfId="4680" priority="5135" operator="greaterThanOrEqual">
      <formula>200</formula>
    </cfRule>
  </conditionalFormatting>
  <conditionalFormatting sqref="N2074">
    <cfRule type="cellIs" dxfId="4679" priority="5136" operator="greaterThanOrEqual">
      <formula>120</formula>
    </cfRule>
  </conditionalFormatting>
  <conditionalFormatting sqref="O2074">
    <cfRule type="containsText" dxfId="4678" priority="5137" operator="containsText" text="ND">
      <formula>NOT(ISERROR(SEARCH(("ND"),(O2074))))</formula>
    </cfRule>
  </conditionalFormatting>
  <conditionalFormatting sqref="O2074">
    <cfRule type="cellIs" dxfId="4677" priority="5138" operator="greaterThanOrEqual">
      <formula>250</formula>
    </cfRule>
  </conditionalFormatting>
  <conditionalFormatting sqref="O2074">
    <cfRule type="cellIs" dxfId="4676" priority="5139" operator="greaterThanOrEqual">
      <formula>175</formula>
    </cfRule>
  </conditionalFormatting>
  <conditionalFormatting sqref="P2074">
    <cfRule type="containsText" dxfId="4675" priority="5140" operator="containsText" text="ND">
      <formula>NOT(ISERROR(SEARCH(("ND"),(P2074))))</formula>
    </cfRule>
  </conditionalFormatting>
  <conditionalFormatting sqref="P2074">
    <cfRule type="cellIs" dxfId="4674" priority="5141" operator="greaterThanOrEqual">
      <formula>5</formula>
    </cfRule>
  </conditionalFormatting>
  <conditionalFormatting sqref="P2074">
    <cfRule type="cellIs" dxfId="4673" priority="5142" operator="greaterThanOrEqual">
      <formula>2.5</formula>
    </cfRule>
  </conditionalFormatting>
  <conditionalFormatting sqref="Q2074">
    <cfRule type="containsText" dxfId="4672" priority="5143" operator="containsText" text="ND">
      <formula>NOT(ISERROR(SEARCH(("ND"),(Q2074))))</formula>
    </cfRule>
  </conditionalFormatting>
  <conditionalFormatting sqref="Q2074">
    <cfRule type="cellIs" dxfId="4671" priority="5144" operator="greaterThanOrEqual">
      <formula>500</formula>
    </cfRule>
  </conditionalFormatting>
  <conditionalFormatting sqref="Q2074">
    <cfRule type="cellIs" dxfId="4670" priority="5145" operator="greaterThanOrEqual">
      <formula>300</formula>
    </cfRule>
  </conditionalFormatting>
  <conditionalFormatting sqref="L2349">
    <cfRule type="cellIs" dxfId="4669" priority="5104" operator="greaterThanOrEqual">
      <formula>5</formula>
    </cfRule>
  </conditionalFormatting>
  <conditionalFormatting sqref="L2349">
    <cfRule type="cellIs" dxfId="4668" priority="5105" operator="greaterThanOrEqual">
      <formula>2</formula>
    </cfRule>
  </conditionalFormatting>
  <conditionalFormatting sqref="M2349">
    <cfRule type="cellIs" dxfId="4667" priority="5106" operator="greaterThanOrEqual">
      <formula>60</formula>
    </cfRule>
  </conditionalFormatting>
  <conditionalFormatting sqref="M2349">
    <cfRule type="cellIs" dxfId="4666" priority="5107" operator="greaterThanOrEqual">
      <formula>30</formula>
    </cfRule>
  </conditionalFormatting>
  <conditionalFormatting sqref="R2349">
    <cfRule type="cellIs" dxfId="4665" priority="5108" operator="greaterThanOrEqual">
      <formula>600</formula>
    </cfRule>
  </conditionalFormatting>
  <conditionalFormatting sqref="R2349">
    <cfRule type="cellIs" dxfId="4664" priority="5109" operator="greaterThanOrEqual">
      <formula>260</formula>
    </cfRule>
  </conditionalFormatting>
  <conditionalFormatting sqref="S2349">
    <cfRule type="containsText" dxfId="4663" priority="5110" operator="containsText" text="&lt;">
      <formula>NOT(ISERROR(SEARCH(("&lt;"),(S2349))))</formula>
    </cfRule>
  </conditionalFormatting>
  <conditionalFormatting sqref="S2349">
    <cfRule type="containsText" dxfId="4662" priority="5111" operator="containsText" text="ND">
      <formula>NOT(ISERROR(SEARCH(("ND"),(S2349))))</formula>
    </cfRule>
  </conditionalFormatting>
  <conditionalFormatting sqref="S2349">
    <cfRule type="cellIs" dxfId="4661" priority="5112" operator="greaterThanOrEqual">
      <formula>200</formula>
    </cfRule>
  </conditionalFormatting>
  <conditionalFormatting sqref="S2349">
    <cfRule type="cellIs" dxfId="4660" priority="5113" operator="greaterThanOrEqual">
      <formula>130</formula>
    </cfRule>
  </conditionalFormatting>
  <conditionalFormatting sqref="N2349">
    <cfRule type="cellIs" dxfId="4659" priority="5114" operator="greaterThanOrEqual">
      <formula>200</formula>
    </cfRule>
  </conditionalFormatting>
  <conditionalFormatting sqref="N2349">
    <cfRule type="cellIs" dxfId="4658" priority="5115" operator="greaterThanOrEqual">
      <formula>120</formula>
    </cfRule>
  </conditionalFormatting>
  <conditionalFormatting sqref="O2349">
    <cfRule type="containsText" dxfId="4657" priority="5116" operator="containsText" text="ND">
      <formula>NOT(ISERROR(SEARCH(("ND"),(O2349))))</formula>
    </cfRule>
  </conditionalFormatting>
  <conditionalFormatting sqref="O2349">
    <cfRule type="cellIs" dxfId="4656" priority="5117" operator="greaterThanOrEqual">
      <formula>250</formula>
    </cfRule>
  </conditionalFormatting>
  <conditionalFormatting sqref="O2349">
    <cfRule type="cellIs" dxfId="4655" priority="5118" operator="greaterThanOrEqual">
      <formula>175</formula>
    </cfRule>
  </conditionalFormatting>
  <conditionalFormatting sqref="P2349">
    <cfRule type="containsText" dxfId="4654" priority="5119" operator="containsText" text="ND">
      <formula>NOT(ISERROR(SEARCH(("ND"),(P2349))))</formula>
    </cfRule>
  </conditionalFormatting>
  <conditionalFormatting sqref="P2349">
    <cfRule type="cellIs" dxfId="4653" priority="5120" operator="greaterThanOrEqual">
      <formula>5</formula>
    </cfRule>
  </conditionalFormatting>
  <conditionalFormatting sqref="P2349">
    <cfRule type="cellIs" dxfId="4652" priority="5121" operator="greaterThanOrEqual">
      <formula>2.5</formula>
    </cfRule>
  </conditionalFormatting>
  <conditionalFormatting sqref="Q2349">
    <cfRule type="containsText" dxfId="4651" priority="5122" operator="containsText" text="ND">
      <formula>NOT(ISERROR(SEARCH(("ND"),(Q2349))))</formula>
    </cfRule>
  </conditionalFormatting>
  <conditionalFormatting sqref="Q2349">
    <cfRule type="cellIs" dxfId="4650" priority="5123" operator="greaterThanOrEqual">
      <formula>500</formula>
    </cfRule>
  </conditionalFormatting>
  <conditionalFormatting sqref="Q2349">
    <cfRule type="cellIs" dxfId="4649" priority="5124" operator="greaterThanOrEqual">
      <formula>300</formula>
    </cfRule>
  </conditionalFormatting>
  <conditionalFormatting sqref="L2216 P2216">
    <cfRule type="cellIs" dxfId="4648" priority="5087" operator="greaterThanOrEqual">
      <formula>5</formula>
    </cfRule>
  </conditionalFormatting>
  <conditionalFormatting sqref="L2216">
    <cfRule type="cellIs" dxfId="4647" priority="5088" operator="greaterThanOrEqual">
      <formula>2</formula>
    </cfRule>
  </conditionalFormatting>
  <conditionalFormatting sqref="M2216">
    <cfRule type="cellIs" dxfId="4646" priority="5089" operator="greaterThanOrEqual">
      <formula>60</formula>
    </cfRule>
  </conditionalFormatting>
  <conditionalFormatting sqref="M2216">
    <cfRule type="cellIs" dxfId="4645" priority="5090" operator="greaterThanOrEqual">
      <formula>30</formula>
    </cfRule>
  </conditionalFormatting>
  <conditionalFormatting sqref="R2216">
    <cfRule type="cellIs" dxfId="4644" priority="5091" operator="greaterThanOrEqual">
      <formula>600</formula>
    </cfRule>
  </conditionalFormatting>
  <conditionalFormatting sqref="R2216">
    <cfRule type="cellIs" dxfId="4643" priority="5092" operator="greaterThanOrEqual">
      <formula>260</formula>
    </cfRule>
  </conditionalFormatting>
  <conditionalFormatting sqref="S2216 N2216">
    <cfRule type="cellIs" dxfId="4642" priority="5095" operator="greaterThanOrEqual">
      <formula>200</formula>
    </cfRule>
  </conditionalFormatting>
  <conditionalFormatting sqref="S2216">
    <cfRule type="cellIs" dxfId="4641" priority="5096" operator="greaterThanOrEqual">
      <formula>130</formula>
    </cfRule>
  </conditionalFormatting>
  <conditionalFormatting sqref="N2216">
    <cfRule type="cellIs" dxfId="4640" priority="5097" operator="greaterThanOrEqual">
      <formula>120</formula>
    </cfRule>
  </conditionalFormatting>
  <conditionalFormatting sqref="O2216">
    <cfRule type="cellIs" dxfId="4639" priority="5099" operator="greaterThanOrEqual">
      <formula>250</formula>
    </cfRule>
  </conditionalFormatting>
  <conditionalFormatting sqref="O2216">
    <cfRule type="cellIs" dxfId="4638" priority="5100" operator="greaterThanOrEqual">
      <formula>175</formula>
    </cfRule>
  </conditionalFormatting>
  <conditionalFormatting sqref="P2216">
    <cfRule type="cellIs" dxfId="4637" priority="5101" operator="greaterThanOrEqual">
      <formula>2.5</formula>
    </cfRule>
  </conditionalFormatting>
  <conditionalFormatting sqref="Q2216">
    <cfRule type="cellIs" dxfId="4636" priority="5102" operator="greaterThanOrEqual">
      <formula>500</formula>
    </cfRule>
  </conditionalFormatting>
  <conditionalFormatting sqref="Q2216">
    <cfRule type="cellIs" dxfId="4635" priority="5103" operator="greaterThanOrEqual">
      <formula>300</formula>
    </cfRule>
  </conditionalFormatting>
  <conditionalFormatting sqref="L2218">
    <cfRule type="cellIs" dxfId="4634" priority="5066" operator="greaterThanOrEqual">
      <formula>5</formula>
    </cfRule>
  </conditionalFormatting>
  <conditionalFormatting sqref="L2218">
    <cfRule type="cellIs" dxfId="4633" priority="5067" operator="greaterThanOrEqual">
      <formula>2</formula>
    </cfRule>
  </conditionalFormatting>
  <conditionalFormatting sqref="M2218">
    <cfRule type="cellIs" dxfId="4632" priority="5068" operator="greaterThanOrEqual">
      <formula>60</formula>
    </cfRule>
  </conditionalFormatting>
  <conditionalFormatting sqref="M2218">
    <cfRule type="cellIs" dxfId="4631" priority="5069" operator="greaterThanOrEqual">
      <formula>30</formula>
    </cfRule>
  </conditionalFormatting>
  <conditionalFormatting sqref="R2218">
    <cfRule type="cellIs" dxfId="4630" priority="5070" operator="greaterThanOrEqual">
      <formula>600</formula>
    </cfRule>
  </conditionalFormatting>
  <conditionalFormatting sqref="R2218">
    <cfRule type="cellIs" dxfId="4629" priority="5071" operator="greaterThanOrEqual">
      <formula>260</formula>
    </cfRule>
  </conditionalFormatting>
  <conditionalFormatting sqref="S2218">
    <cfRule type="containsText" dxfId="4628" priority="5072" operator="containsText" text="&lt;">
      <formula>NOT(ISERROR(SEARCH(("&lt;"),(S2218))))</formula>
    </cfRule>
  </conditionalFormatting>
  <conditionalFormatting sqref="S2218">
    <cfRule type="containsText" dxfId="4627" priority="5073" operator="containsText" text="ND">
      <formula>NOT(ISERROR(SEARCH(("ND"),(S2218))))</formula>
    </cfRule>
  </conditionalFormatting>
  <conditionalFormatting sqref="S2218">
    <cfRule type="cellIs" dxfId="4626" priority="5074" operator="greaterThanOrEqual">
      <formula>200</formula>
    </cfRule>
  </conditionalFormatting>
  <conditionalFormatting sqref="S2218">
    <cfRule type="cellIs" dxfId="4625" priority="5075" operator="greaterThanOrEqual">
      <formula>130</formula>
    </cfRule>
  </conditionalFormatting>
  <conditionalFormatting sqref="N2218">
    <cfRule type="cellIs" dxfId="4624" priority="5076" operator="greaterThanOrEqual">
      <formula>200</formula>
    </cfRule>
  </conditionalFormatting>
  <conditionalFormatting sqref="N2218">
    <cfRule type="cellIs" dxfId="4623" priority="5077" operator="greaterThanOrEqual">
      <formula>120</formula>
    </cfRule>
  </conditionalFormatting>
  <conditionalFormatting sqref="O2218">
    <cfRule type="containsText" dxfId="4622" priority="5078" operator="containsText" text="ND">
      <formula>NOT(ISERROR(SEARCH(("ND"),(O2218))))</formula>
    </cfRule>
  </conditionalFormatting>
  <conditionalFormatting sqref="O2218">
    <cfRule type="cellIs" dxfId="4621" priority="5079" operator="greaterThanOrEqual">
      <formula>250</formula>
    </cfRule>
  </conditionalFormatting>
  <conditionalFormatting sqref="O2218">
    <cfRule type="cellIs" dxfId="4620" priority="5080" operator="greaterThanOrEqual">
      <formula>175</formula>
    </cfRule>
  </conditionalFormatting>
  <conditionalFormatting sqref="P2218">
    <cfRule type="containsText" dxfId="4619" priority="5081" operator="containsText" text="ND">
      <formula>NOT(ISERROR(SEARCH(("ND"),(P2218))))</formula>
    </cfRule>
  </conditionalFormatting>
  <conditionalFormatting sqref="P2218">
    <cfRule type="cellIs" dxfId="4618" priority="5082" operator="greaterThanOrEqual">
      <formula>5</formula>
    </cfRule>
  </conditionalFormatting>
  <conditionalFormatting sqref="P2218">
    <cfRule type="cellIs" dxfId="4617" priority="5083" operator="greaterThanOrEqual">
      <formula>2.5</formula>
    </cfRule>
  </conditionalFormatting>
  <conditionalFormatting sqref="Q2218">
    <cfRule type="containsText" dxfId="4616" priority="5084" operator="containsText" text="ND">
      <formula>NOT(ISERROR(SEARCH(("ND"),(Q2218))))</formula>
    </cfRule>
  </conditionalFormatting>
  <conditionalFormatting sqref="Q2218">
    <cfRule type="cellIs" dxfId="4615" priority="5085" operator="greaterThanOrEqual">
      <formula>500</formula>
    </cfRule>
  </conditionalFormatting>
  <conditionalFormatting sqref="Q2218">
    <cfRule type="cellIs" dxfId="4614" priority="5086" operator="greaterThanOrEqual">
      <formula>300</formula>
    </cfRule>
  </conditionalFormatting>
  <conditionalFormatting sqref="L2225">
    <cfRule type="cellIs" dxfId="4613" priority="5045" operator="greaterThanOrEqual">
      <formula>5</formula>
    </cfRule>
  </conditionalFormatting>
  <conditionalFormatting sqref="L2225">
    <cfRule type="cellIs" dxfId="4612" priority="5046" operator="greaterThanOrEqual">
      <formula>2</formula>
    </cfRule>
  </conditionalFormatting>
  <conditionalFormatting sqref="M2225">
    <cfRule type="cellIs" dxfId="4611" priority="5047" operator="greaterThanOrEqual">
      <formula>60</formula>
    </cfRule>
  </conditionalFormatting>
  <conditionalFormatting sqref="M2225">
    <cfRule type="cellIs" dxfId="4610" priority="5048" operator="greaterThanOrEqual">
      <formula>30</formula>
    </cfRule>
  </conditionalFormatting>
  <conditionalFormatting sqref="R2225">
    <cfRule type="cellIs" dxfId="4609" priority="5049" operator="greaterThanOrEqual">
      <formula>600</formula>
    </cfRule>
  </conditionalFormatting>
  <conditionalFormatting sqref="R2225">
    <cfRule type="cellIs" dxfId="4608" priority="5050" operator="greaterThanOrEqual">
      <formula>260</formula>
    </cfRule>
  </conditionalFormatting>
  <conditionalFormatting sqref="S2225">
    <cfRule type="containsText" dxfId="4607" priority="5051" operator="containsText" text="&lt;">
      <formula>NOT(ISERROR(SEARCH(("&lt;"),(S2225))))</formula>
    </cfRule>
  </conditionalFormatting>
  <conditionalFormatting sqref="S2225">
    <cfRule type="containsText" dxfId="4606" priority="5052" operator="containsText" text="ND">
      <formula>NOT(ISERROR(SEARCH(("ND"),(S2225))))</formula>
    </cfRule>
  </conditionalFormatting>
  <conditionalFormatting sqref="S2225">
    <cfRule type="cellIs" dxfId="4605" priority="5053" operator="greaterThanOrEqual">
      <formula>200</formula>
    </cfRule>
  </conditionalFormatting>
  <conditionalFormatting sqref="S2225">
    <cfRule type="cellIs" dxfId="4604" priority="5054" operator="greaterThanOrEqual">
      <formula>130</formula>
    </cfRule>
  </conditionalFormatting>
  <conditionalFormatting sqref="N2225">
    <cfRule type="cellIs" dxfId="4603" priority="5055" operator="greaterThanOrEqual">
      <formula>200</formula>
    </cfRule>
  </conditionalFormatting>
  <conditionalFormatting sqref="N2225">
    <cfRule type="cellIs" dxfId="4602" priority="5056" operator="greaterThanOrEqual">
      <formula>120</formula>
    </cfRule>
  </conditionalFormatting>
  <conditionalFormatting sqref="O2225">
    <cfRule type="containsText" dxfId="4601" priority="5057" operator="containsText" text="ND">
      <formula>NOT(ISERROR(SEARCH(("ND"),(O2225))))</formula>
    </cfRule>
  </conditionalFormatting>
  <conditionalFormatting sqref="O2225">
    <cfRule type="cellIs" dxfId="4600" priority="5058" operator="greaterThanOrEqual">
      <formula>250</formula>
    </cfRule>
  </conditionalFormatting>
  <conditionalFormatting sqref="O2225">
    <cfRule type="cellIs" dxfId="4599" priority="5059" operator="greaterThanOrEqual">
      <formula>175</formula>
    </cfRule>
  </conditionalFormatting>
  <conditionalFormatting sqref="P2225">
    <cfRule type="containsText" dxfId="4598" priority="5060" operator="containsText" text="ND">
      <formula>NOT(ISERROR(SEARCH(("ND"),(P2225))))</formula>
    </cfRule>
  </conditionalFormatting>
  <conditionalFormatting sqref="P2225">
    <cfRule type="cellIs" dxfId="4597" priority="5061" operator="greaterThanOrEqual">
      <formula>5</formula>
    </cfRule>
  </conditionalFormatting>
  <conditionalFormatting sqref="P2225">
    <cfRule type="cellIs" dxfId="4596" priority="5062" operator="greaterThanOrEqual">
      <formula>2.5</formula>
    </cfRule>
  </conditionalFormatting>
  <conditionalFormatting sqref="Q2225">
    <cfRule type="containsText" dxfId="4595" priority="5063" operator="containsText" text="ND">
      <formula>NOT(ISERROR(SEARCH(("ND"),(Q2225))))</formula>
    </cfRule>
  </conditionalFormatting>
  <conditionalFormatting sqref="Q2225">
    <cfRule type="cellIs" dxfId="4594" priority="5064" operator="greaterThanOrEqual">
      <formula>500</formula>
    </cfRule>
  </conditionalFormatting>
  <conditionalFormatting sqref="Q2225">
    <cfRule type="cellIs" dxfId="4593" priority="5065" operator="greaterThanOrEqual">
      <formula>300</formula>
    </cfRule>
  </conditionalFormatting>
  <conditionalFormatting sqref="L2228 P2228">
    <cfRule type="cellIs" dxfId="4592" priority="5028" operator="greaterThanOrEqual">
      <formula>5</formula>
    </cfRule>
  </conditionalFormatting>
  <conditionalFormatting sqref="L2228">
    <cfRule type="cellIs" dxfId="4591" priority="5029" operator="greaterThanOrEqual">
      <formula>2</formula>
    </cfRule>
  </conditionalFormatting>
  <conditionalFormatting sqref="M2228">
    <cfRule type="cellIs" dxfId="4590" priority="5030" operator="greaterThanOrEqual">
      <formula>60</formula>
    </cfRule>
  </conditionalFormatting>
  <conditionalFormatting sqref="M2228">
    <cfRule type="cellIs" dxfId="4589" priority="5031" operator="greaterThanOrEqual">
      <formula>30</formula>
    </cfRule>
  </conditionalFormatting>
  <conditionalFormatting sqref="R2228">
    <cfRule type="cellIs" dxfId="4588" priority="5032" operator="greaterThanOrEqual">
      <formula>600</formula>
    </cfRule>
  </conditionalFormatting>
  <conditionalFormatting sqref="R2228">
    <cfRule type="cellIs" dxfId="4587" priority="5033" operator="greaterThanOrEqual">
      <formula>260</formula>
    </cfRule>
  </conditionalFormatting>
  <conditionalFormatting sqref="S2228">
    <cfRule type="containsText" dxfId="4586" priority="5034" operator="containsText" text="&lt;">
      <formula>NOT(ISERROR(SEARCH(("&lt;"),(S2228))))</formula>
    </cfRule>
  </conditionalFormatting>
  <conditionalFormatting sqref="S2228">
    <cfRule type="containsText" dxfId="4585" priority="5035" operator="containsText" text="ND">
      <formula>NOT(ISERROR(SEARCH(("ND"),(S2228))))</formula>
    </cfRule>
  </conditionalFormatting>
  <conditionalFormatting sqref="S2228 N2228">
    <cfRule type="cellIs" dxfId="4584" priority="5036" operator="greaterThanOrEqual">
      <formula>200</formula>
    </cfRule>
  </conditionalFormatting>
  <conditionalFormatting sqref="S2228">
    <cfRule type="cellIs" dxfId="4583" priority="5037" operator="greaterThanOrEqual">
      <formula>130</formula>
    </cfRule>
  </conditionalFormatting>
  <conditionalFormatting sqref="N2228">
    <cfRule type="cellIs" dxfId="4582" priority="5038" operator="greaterThanOrEqual">
      <formula>120</formula>
    </cfRule>
  </conditionalFormatting>
  <conditionalFormatting sqref="O2228:Q2228">
    <cfRule type="containsText" dxfId="4581" priority="5039" operator="containsText" text="ND">
      <formula>NOT(ISERROR(SEARCH(("ND"),(O2228))))</formula>
    </cfRule>
  </conditionalFormatting>
  <conditionalFormatting sqref="O2228">
    <cfRule type="cellIs" dxfId="4580" priority="5040" operator="greaterThanOrEqual">
      <formula>250</formula>
    </cfRule>
  </conditionalFormatting>
  <conditionalFormatting sqref="O2228">
    <cfRule type="cellIs" dxfId="4579" priority="5041" operator="greaterThanOrEqual">
      <formula>175</formula>
    </cfRule>
  </conditionalFormatting>
  <conditionalFormatting sqref="P2228">
    <cfRule type="cellIs" dxfId="4578" priority="5042" operator="greaterThanOrEqual">
      <formula>2.5</formula>
    </cfRule>
  </conditionalFormatting>
  <conditionalFormatting sqref="Q2228">
    <cfRule type="cellIs" dxfId="4577" priority="5043" operator="greaterThanOrEqual">
      <formula>500</formula>
    </cfRule>
  </conditionalFormatting>
  <conditionalFormatting sqref="Q2228">
    <cfRule type="cellIs" dxfId="4576" priority="5044" operator="greaterThanOrEqual">
      <formula>300</formula>
    </cfRule>
  </conditionalFormatting>
  <conditionalFormatting sqref="L1647">
    <cfRule type="cellIs" dxfId="4575" priority="5024" operator="greaterThanOrEqual">
      <formula>5</formula>
    </cfRule>
  </conditionalFormatting>
  <conditionalFormatting sqref="L1647">
    <cfRule type="cellIs" dxfId="4574" priority="5025" operator="greaterThanOrEqual">
      <formula>2</formula>
    </cfRule>
  </conditionalFormatting>
  <conditionalFormatting sqref="M1647">
    <cfRule type="cellIs" dxfId="4573" priority="5026" operator="greaterThanOrEqual">
      <formula>60</formula>
    </cfRule>
  </conditionalFormatting>
  <conditionalFormatting sqref="M1647">
    <cfRule type="cellIs" dxfId="4572" priority="5027" operator="greaterThanOrEqual">
      <formula>30</formula>
    </cfRule>
  </conditionalFormatting>
  <conditionalFormatting sqref="R1647">
    <cfRule type="cellIs" dxfId="4571" priority="5007" operator="greaterThanOrEqual">
      <formula>600</formula>
    </cfRule>
  </conditionalFormatting>
  <conditionalFormatting sqref="R1647">
    <cfRule type="cellIs" dxfId="4570" priority="5008" operator="greaterThanOrEqual">
      <formula>260</formula>
    </cfRule>
  </conditionalFormatting>
  <conditionalFormatting sqref="S1647">
    <cfRule type="containsText" dxfId="4569" priority="5009" operator="containsText" text="&lt;">
      <formula>NOT(ISERROR(SEARCH(("&lt;"),(S1647))))</formula>
    </cfRule>
  </conditionalFormatting>
  <conditionalFormatting sqref="S1647">
    <cfRule type="containsText" dxfId="4568" priority="5010" operator="containsText" text="ND">
      <formula>NOT(ISERROR(SEARCH(("ND"),(S1647))))</formula>
    </cfRule>
  </conditionalFormatting>
  <conditionalFormatting sqref="S1647">
    <cfRule type="cellIs" dxfId="4567" priority="5011" operator="greaterThanOrEqual">
      <formula>200</formula>
    </cfRule>
  </conditionalFormatting>
  <conditionalFormatting sqref="S1647">
    <cfRule type="cellIs" dxfId="4566" priority="5012" operator="greaterThanOrEqual">
      <formula>130</formula>
    </cfRule>
  </conditionalFormatting>
  <conditionalFormatting sqref="N1647">
    <cfRule type="cellIs" dxfId="4565" priority="5013" operator="greaterThanOrEqual">
      <formula>200</formula>
    </cfRule>
  </conditionalFormatting>
  <conditionalFormatting sqref="N1647">
    <cfRule type="cellIs" dxfId="4564" priority="5014" operator="greaterThanOrEqual">
      <formula>120</formula>
    </cfRule>
  </conditionalFormatting>
  <conditionalFormatting sqref="O1647">
    <cfRule type="containsText" dxfId="4563" priority="5015" operator="containsText" text="ND">
      <formula>NOT(ISERROR(SEARCH(("ND"),(O1647))))</formula>
    </cfRule>
  </conditionalFormatting>
  <conditionalFormatting sqref="O1647">
    <cfRule type="cellIs" dxfId="4562" priority="5016" operator="greaterThanOrEqual">
      <formula>250</formula>
    </cfRule>
  </conditionalFormatting>
  <conditionalFormatting sqref="O1647">
    <cfRule type="cellIs" dxfId="4561" priority="5017" operator="greaterThanOrEqual">
      <formula>175</formula>
    </cfRule>
  </conditionalFormatting>
  <conditionalFormatting sqref="P1647">
    <cfRule type="containsText" dxfId="4560" priority="5018" operator="containsText" text="ND">
      <formula>NOT(ISERROR(SEARCH(("ND"),(P1647))))</formula>
    </cfRule>
  </conditionalFormatting>
  <conditionalFormatting sqref="P1647">
    <cfRule type="cellIs" dxfId="4559" priority="5019" operator="greaterThanOrEqual">
      <formula>5</formula>
    </cfRule>
  </conditionalFormatting>
  <conditionalFormatting sqref="P1647">
    <cfRule type="cellIs" dxfId="4558" priority="5020" operator="greaterThanOrEqual">
      <formula>2.5</formula>
    </cfRule>
  </conditionalFormatting>
  <conditionalFormatting sqref="Q1647">
    <cfRule type="containsText" dxfId="4557" priority="5021" operator="containsText" text="ND">
      <formula>NOT(ISERROR(SEARCH(("ND"),(Q1647))))</formula>
    </cfRule>
  </conditionalFormatting>
  <conditionalFormatting sqref="Q1647">
    <cfRule type="cellIs" dxfId="4556" priority="5022" operator="greaterThanOrEqual">
      <formula>500</formula>
    </cfRule>
  </conditionalFormatting>
  <conditionalFormatting sqref="Q1647">
    <cfRule type="cellIs" dxfId="4555" priority="5023" operator="greaterThanOrEqual">
      <formula>300</formula>
    </cfRule>
  </conditionalFormatting>
  <conditionalFormatting sqref="L1857 P1857">
    <cfRule type="cellIs" dxfId="4554" priority="4990" operator="greaterThanOrEqual">
      <formula>5</formula>
    </cfRule>
  </conditionalFormatting>
  <conditionalFormatting sqref="L1857">
    <cfRule type="cellIs" dxfId="4553" priority="4991" operator="greaterThanOrEqual">
      <formula>2</formula>
    </cfRule>
  </conditionalFormatting>
  <conditionalFormatting sqref="M1857">
    <cfRule type="cellIs" dxfId="4552" priority="4992" operator="greaterThanOrEqual">
      <formula>60</formula>
    </cfRule>
  </conditionalFormatting>
  <conditionalFormatting sqref="M1857">
    <cfRule type="cellIs" dxfId="4551" priority="4993" operator="greaterThanOrEqual">
      <formula>30</formula>
    </cfRule>
  </conditionalFormatting>
  <conditionalFormatting sqref="R1857">
    <cfRule type="cellIs" dxfId="4550" priority="4994" operator="greaterThanOrEqual">
      <formula>600</formula>
    </cfRule>
  </conditionalFormatting>
  <conditionalFormatting sqref="R1857">
    <cfRule type="cellIs" dxfId="4549" priority="4995" operator="greaterThanOrEqual">
      <formula>260</formula>
    </cfRule>
  </conditionalFormatting>
  <conditionalFormatting sqref="S1857">
    <cfRule type="containsText" dxfId="4548" priority="4996" operator="containsText" text="&lt;">
      <formula>NOT(ISERROR(SEARCH(("&lt;"),(S1857))))</formula>
    </cfRule>
  </conditionalFormatting>
  <conditionalFormatting sqref="S1857">
    <cfRule type="containsText" dxfId="4547" priority="4997" operator="containsText" text="ND">
      <formula>NOT(ISERROR(SEARCH(("ND"),(S1857))))</formula>
    </cfRule>
  </conditionalFormatting>
  <conditionalFormatting sqref="S1857 N1857">
    <cfRule type="cellIs" dxfId="4546" priority="4998" operator="greaterThanOrEqual">
      <formula>200</formula>
    </cfRule>
  </conditionalFormatting>
  <conditionalFormatting sqref="S1857">
    <cfRule type="cellIs" dxfId="4545" priority="4999" operator="greaterThanOrEqual">
      <formula>130</formula>
    </cfRule>
  </conditionalFormatting>
  <conditionalFormatting sqref="N1857">
    <cfRule type="cellIs" dxfId="4544" priority="5000" operator="greaterThanOrEqual">
      <formula>120</formula>
    </cfRule>
  </conditionalFormatting>
  <conditionalFormatting sqref="O1857:Q1857">
    <cfRule type="containsText" dxfId="4543" priority="5001" operator="containsText" text="ND">
      <formula>NOT(ISERROR(SEARCH(("ND"),(O1857))))</formula>
    </cfRule>
  </conditionalFormatting>
  <conditionalFormatting sqref="O1857">
    <cfRule type="cellIs" dxfId="4542" priority="5002" operator="greaterThanOrEqual">
      <formula>250</formula>
    </cfRule>
  </conditionalFormatting>
  <conditionalFormatting sqref="O1857">
    <cfRule type="cellIs" dxfId="4541" priority="5003" operator="greaterThanOrEqual">
      <formula>175</formula>
    </cfRule>
  </conditionalFormatting>
  <conditionalFormatting sqref="P1857">
    <cfRule type="cellIs" dxfId="4540" priority="5004" operator="greaterThanOrEqual">
      <formula>2.5</formula>
    </cfRule>
  </conditionalFormatting>
  <conditionalFormatting sqref="Q1857">
    <cfRule type="cellIs" dxfId="4539" priority="5005" operator="greaterThanOrEqual">
      <formula>500</formula>
    </cfRule>
  </conditionalFormatting>
  <conditionalFormatting sqref="Q1857">
    <cfRule type="cellIs" dxfId="4538" priority="5006" operator="greaterThanOrEqual">
      <formula>300</formula>
    </cfRule>
  </conditionalFormatting>
  <conditionalFormatting sqref="P2226:P2227 L2226:L2227">
    <cfRule type="cellIs" dxfId="4537" priority="4973" operator="greaterThanOrEqual">
      <formula>5</formula>
    </cfRule>
  </conditionalFormatting>
  <conditionalFormatting sqref="L2226:L2227">
    <cfRule type="cellIs" dxfId="4536" priority="4974" operator="greaterThanOrEqual">
      <formula>2</formula>
    </cfRule>
  </conditionalFormatting>
  <conditionalFormatting sqref="M2226:M2227">
    <cfRule type="cellIs" dxfId="4535" priority="4975" operator="greaterThanOrEqual">
      <formula>60</formula>
    </cfRule>
  </conditionalFormatting>
  <conditionalFormatting sqref="M2226:M2227">
    <cfRule type="cellIs" dxfId="4534" priority="4976" operator="greaterThanOrEqual">
      <formula>30</formula>
    </cfRule>
  </conditionalFormatting>
  <conditionalFormatting sqref="R2226:R2227">
    <cfRule type="cellIs" dxfId="4533" priority="4977" operator="greaterThanOrEqual">
      <formula>600</formula>
    </cfRule>
  </conditionalFormatting>
  <conditionalFormatting sqref="R2226:R2227">
    <cfRule type="cellIs" dxfId="4532" priority="4978" operator="greaterThanOrEqual">
      <formula>260</formula>
    </cfRule>
  </conditionalFormatting>
  <conditionalFormatting sqref="S2226:S2227">
    <cfRule type="containsText" dxfId="4531" priority="4979" operator="containsText" text="&lt;">
      <formula>NOT(ISERROR(SEARCH(("&lt;"),(S2226))))</formula>
    </cfRule>
  </conditionalFormatting>
  <conditionalFormatting sqref="S2226:S2227">
    <cfRule type="containsText" dxfId="4530" priority="4980" operator="containsText" text="ND">
      <formula>NOT(ISERROR(SEARCH(("ND"),(S2226))))</formula>
    </cfRule>
  </conditionalFormatting>
  <conditionalFormatting sqref="N2226:N2227 S2226:S2227">
    <cfRule type="cellIs" dxfId="4529" priority="4981" operator="greaterThanOrEqual">
      <formula>200</formula>
    </cfRule>
  </conditionalFormatting>
  <conditionalFormatting sqref="S2226:S2227">
    <cfRule type="cellIs" dxfId="4528" priority="4982" operator="greaterThanOrEqual">
      <formula>130</formula>
    </cfRule>
  </conditionalFormatting>
  <conditionalFormatting sqref="N2226:N2227">
    <cfRule type="cellIs" dxfId="4527" priority="4983" operator="greaterThanOrEqual">
      <formula>120</formula>
    </cfRule>
  </conditionalFormatting>
  <conditionalFormatting sqref="O2226:Q2227">
    <cfRule type="containsText" dxfId="4526" priority="4984" operator="containsText" text="ND">
      <formula>NOT(ISERROR(SEARCH(("ND"),(O2226))))</formula>
    </cfRule>
  </conditionalFormatting>
  <conditionalFormatting sqref="O2226:O2227">
    <cfRule type="cellIs" dxfId="4525" priority="4985" operator="greaterThanOrEqual">
      <formula>250</formula>
    </cfRule>
  </conditionalFormatting>
  <conditionalFormatting sqref="O2226:O2227">
    <cfRule type="cellIs" dxfId="4524" priority="4986" operator="greaterThanOrEqual">
      <formula>175</formula>
    </cfRule>
  </conditionalFormatting>
  <conditionalFormatting sqref="P2226:P2227">
    <cfRule type="cellIs" dxfId="4523" priority="4987" operator="greaterThanOrEqual">
      <formula>2.5</formula>
    </cfRule>
  </conditionalFormatting>
  <conditionalFormatting sqref="Q2226:Q2227">
    <cfRule type="cellIs" dxfId="4522" priority="4988" operator="greaterThanOrEqual">
      <formula>500</formula>
    </cfRule>
  </conditionalFormatting>
  <conditionalFormatting sqref="Q2226:Q2227">
    <cfRule type="cellIs" dxfId="4521" priority="4989" operator="greaterThanOrEqual">
      <formula>300</formula>
    </cfRule>
  </conditionalFormatting>
  <conditionalFormatting sqref="P2354 L2354">
    <cfRule type="cellIs" dxfId="4520" priority="4956" operator="greaterThanOrEqual">
      <formula>5</formula>
    </cfRule>
  </conditionalFormatting>
  <conditionalFormatting sqref="L2354">
    <cfRule type="cellIs" dxfId="4519" priority="4957" operator="greaterThanOrEqual">
      <formula>2</formula>
    </cfRule>
  </conditionalFormatting>
  <conditionalFormatting sqref="M2354">
    <cfRule type="cellIs" dxfId="4518" priority="4958" operator="greaterThanOrEqual">
      <formula>60</formula>
    </cfRule>
  </conditionalFormatting>
  <conditionalFormatting sqref="M2354">
    <cfRule type="cellIs" dxfId="4517" priority="4959" operator="greaterThanOrEqual">
      <formula>30</formula>
    </cfRule>
  </conditionalFormatting>
  <conditionalFormatting sqref="R2354">
    <cfRule type="cellIs" dxfId="4516" priority="4960" operator="greaterThanOrEqual">
      <formula>600</formula>
    </cfRule>
  </conditionalFormatting>
  <conditionalFormatting sqref="R2354">
    <cfRule type="cellIs" dxfId="4515" priority="4961" operator="greaterThanOrEqual">
      <formula>260</formula>
    </cfRule>
  </conditionalFormatting>
  <conditionalFormatting sqref="S2354">
    <cfRule type="containsText" dxfId="4514" priority="4962" operator="containsText" text="&lt;">
      <formula>NOT(ISERROR(SEARCH(("&lt;"),(S2354))))</formula>
    </cfRule>
  </conditionalFormatting>
  <conditionalFormatting sqref="S2354">
    <cfRule type="containsText" dxfId="4513" priority="4963" operator="containsText" text="ND">
      <formula>NOT(ISERROR(SEARCH(("ND"),(S2354))))</formula>
    </cfRule>
  </conditionalFormatting>
  <conditionalFormatting sqref="N2354 S2354">
    <cfRule type="cellIs" dxfId="4512" priority="4964" operator="greaterThanOrEqual">
      <formula>200</formula>
    </cfRule>
  </conditionalFormatting>
  <conditionalFormatting sqref="S2354">
    <cfRule type="cellIs" dxfId="4511" priority="4965" operator="greaterThanOrEqual">
      <formula>130</formula>
    </cfRule>
  </conditionalFormatting>
  <conditionalFormatting sqref="N2354">
    <cfRule type="cellIs" dxfId="4510" priority="4966" operator="greaterThanOrEqual">
      <formula>120</formula>
    </cfRule>
  </conditionalFormatting>
  <conditionalFormatting sqref="O2354:Q2354">
    <cfRule type="containsText" dxfId="4509" priority="4967" operator="containsText" text="ND">
      <formula>NOT(ISERROR(SEARCH(("ND"),(O2354))))</formula>
    </cfRule>
  </conditionalFormatting>
  <conditionalFormatting sqref="O2354">
    <cfRule type="cellIs" dxfId="4508" priority="4968" operator="greaterThanOrEqual">
      <formula>250</formula>
    </cfRule>
  </conditionalFormatting>
  <conditionalFormatting sqref="O2354">
    <cfRule type="cellIs" dxfId="4507" priority="4969" operator="greaterThanOrEqual">
      <formula>175</formula>
    </cfRule>
  </conditionalFormatting>
  <conditionalFormatting sqref="P2354">
    <cfRule type="cellIs" dxfId="4506" priority="4970" operator="greaterThanOrEqual">
      <formula>2.5</formula>
    </cfRule>
  </conditionalFormatting>
  <conditionalFormatting sqref="Q2354">
    <cfRule type="cellIs" dxfId="4505" priority="4971" operator="greaterThanOrEqual">
      <formula>500</formula>
    </cfRule>
  </conditionalFormatting>
  <conditionalFormatting sqref="Q2354">
    <cfRule type="cellIs" dxfId="4504" priority="4972" operator="greaterThanOrEqual">
      <formula>300</formula>
    </cfRule>
  </conditionalFormatting>
  <conditionalFormatting sqref="P1723 L1723">
    <cfRule type="cellIs" dxfId="4503" priority="4939" operator="greaterThanOrEqual">
      <formula>5</formula>
    </cfRule>
  </conditionalFormatting>
  <conditionalFormatting sqref="L1723">
    <cfRule type="cellIs" dxfId="4502" priority="4940" operator="greaterThanOrEqual">
      <formula>2</formula>
    </cfRule>
  </conditionalFormatting>
  <conditionalFormatting sqref="M1723">
    <cfRule type="cellIs" dxfId="4501" priority="4941" operator="greaterThanOrEqual">
      <formula>60</formula>
    </cfRule>
  </conditionalFormatting>
  <conditionalFormatting sqref="M1723">
    <cfRule type="cellIs" dxfId="4500" priority="4942" operator="greaterThanOrEqual">
      <formula>30</formula>
    </cfRule>
  </conditionalFormatting>
  <conditionalFormatting sqref="R1723">
    <cfRule type="cellIs" dxfId="4499" priority="4943" operator="greaterThanOrEqual">
      <formula>600</formula>
    </cfRule>
  </conditionalFormatting>
  <conditionalFormatting sqref="R1723">
    <cfRule type="cellIs" dxfId="4498" priority="4944" operator="greaterThanOrEqual">
      <formula>260</formula>
    </cfRule>
  </conditionalFormatting>
  <conditionalFormatting sqref="S1723">
    <cfRule type="containsText" dxfId="4497" priority="4945" operator="containsText" text="&lt;">
      <formula>NOT(ISERROR(SEARCH(("&lt;"),(S1723))))</formula>
    </cfRule>
  </conditionalFormatting>
  <conditionalFormatting sqref="S1723">
    <cfRule type="containsText" dxfId="4496" priority="4946" operator="containsText" text="ND">
      <formula>NOT(ISERROR(SEARCH(("ND"),(S1723))))</formula>
    </cfRule>
  </conditionalFormatting>
  <conditionalFormatting sqref="N1723 S1723">
    <cfRule type="cellIs" dxfId="4495" priority="4947" operator="greaterThanOrEqual">
      <formula>200</formula>
    </cfRule>
  </conditionalFormatting>
  <conditionalFormatting sqref="S1723">
    <cfRule type="cellIs" dxfId="4494" priority="4948" operator="greaterThanOrEqual">
      <formula>130</formula>
    </cfRule>
  </conditionalFormatting>
  <conditionalFormatting sqref="N1723">
    <cfRule type="cellIs" dxfId="4493" priority="4949" operator="greaterThanOrEqual">
      <formula>120</formula>
    </cfRule>
  </conditionalFormatting>
  <conditionalFormatting sqref="O1723:Q1723">
    <cfRule type="containsText" dxfId="4492" priority="4950" operator="containsText" text="ND">
      <formula>NOT(ISERROR(SEARCH(("ND"),(O1723))))</formula>
    </cfRule>
  </conditionalFormatting>
  <conditionalFormatting sqref="O1723">
    <cfRule type="cellIs" dxfId="4491" priority="4951" operator="greaterThanOrEqual">
      <formula>250</formula>
    </cfRule>
  </conditionalFormatting>
  <conditionalFormatting sqref="O1723">
    <cfRule type="cellIs" dxfId="4490" priority="4952" operator="greaterThanOrEqual">
      <formula>175</formula>
    </cfRule>
  </conditionalFormatting>
  <conditionalFormatting sqref="P1723">
    <cfRule type="cellIs" dxfId="4489" priority="4953" operator="greaterThanOrEqual">
      <formula>2.5</formula>
    </cfRule>
  </conditionalFormatting>
  <conditionalFormatting sqref="Q1723">
    <cfRule type="cellIs" dxfId="4488" priority="4954" operator="greaterThanOrEqual">
      <formula>500</formula>
    </cfRule>
  </conditionalFormatting>
  <conditionalFormatting sqref="Q1723">
    <cfRule type="cellIs" dxfId="4487" priority="4955" operator="greaterThanOrEqual">
      <formula>300</formula>
    </cfRule>
  </conditionalFormatting>
  <conditionalFormatting sqref="L1724:L1729 P1724:P1729">
    <cfRule type="cellIs" dxfId="4486" priority="4922" operator="greaterThanOrEqual">
      <formula>5</formula>
    </cfRule>
  </conditionalFormatting>
  <conditionalFormatting sqref="L1724:L1729">
    <cfRule type="cellIs" dxfId="4485" priority="4923" operator="greaterThanOrEqual">
      <formula>2</formula>
    </cfRule>
  </conditionalFormatting>
  <conditionalFormatting sqref="M1724:M1729">
    <cfRule type="cellIs" dxfId="4484" priority="4924" operator="greaterThanOrEqual">
      <formula>60</formula>
    </cfRule>
  </conditionalFormatting>
  <conditionalFormatting sqref="M1724:M1729">
    <cfRule type="cellIs" dxfId="4483" priority="4925" operator="greaterThanOrEqual">
      <formula>30</formula>
    </cfRule>
  </conditionalFormatting>
  <conditionalFormatting sqref="R1724:R1729">
    <cfRule type="cellIs" dxfId="4482" priority="4926" operator="greaterThanOrEqual">
      <formula>600</formula>
    </cfRule>
  </conditionalFormatting>
  <conditionalFormatting sqref="R1724:R1729">
    <cfRule type="cellIs" dxfId="4481" priority="4927" operator="greaterThanOrEqual">
      <formula>260</formula>
    </cfRule>
  </conditionalFormatting>
  <conditionalFormatting sqref="S1724:S1729">
    <cfRule type="containsText" dxfId="4480" priority="4928" operator="containsText" text="&lt;">
      <formula>NOT(ISERROR(SEARCH(("&lt;"),(S1724))))</formula>
    </cfRule>
  </conditionalFormatting>
  <conditionalFormatting sqref="S1724:S1729">
    <cfRule type="containsText" dxfId="4479" priority="4929" operator="containsText" text="ND">
      <formula>NOT(ISERROR(SEARCH(("ND"),(S1724))))</formula>
    </cfRule>
  </conditionalFormatting>
  <conditionalFormatting sqref="S1724:S1729 N1724:N1729">
    <cfRule type="cellIs" dxfId="4478" priority="4930" operator="greaterThanOrEqual">
      <formula>200</formula>
    </cfRule>
  </conditionalFormatting>
  <conditionalFormatting sqref="S1724:S1729">
    <cfRule type="cellIs" dxfId="4477" priority="4931" operator="greaterThanOrEqual">
      <formula>130</formula>
    </cfRule>
  </conditionalFormatting>
  <conditionalFormatting sqref="N1724:N1729">
    <cfRule type="cellIs" dxfId="4476" priority="4932" operator="greaterThanOrEqual">
      <formula>120</formula>
    </cfRule>
  </conditionalFormatting>
  <conditionalFormatting sqref="O1724:Q1729">
    <cfRule type="containsText" dxfId="4475" priority="4933" operator="containsText" text="ND">
      <formula>NOT(ISERROR(SEARCH(("ND"),(O1724))))</formula>
    </cfRule>
  </conditionalFormatting>
  <conditionalFormatting sqref="O1724:O1729">
    <cfRule type="cellIs" dxfId="4474" priority="4934" operator="greaterThanOrEqual">
      <formula>250</formula>
    </cfRule>
  </conditionalFormatting>
  <conditionalFormatting sqref="O1724:O1729">
    <cfRule type="cellIs" dxfId="4473" priority="4935" operator="greaterThanOrEqual">
      <formula>175</formula>
    </cfRule>
  </conditionalFormatting>
  <conditionalFormatting sqref="P1724:P1729">
    <cfRule type="cellIs" dxfId="4472" priority="4936" operator="greaterThanOrEqual">
      <formula>2.5</formula>
    </cfRule>
  </conditionalFormatting>
  <conditionalFormatting sqref="Q1724:Q1729">
    <cfRule type="cellIs" dxfId="4471" priority="4937" operator="greaterThanOrEqual">
      <formula>500</formula>
    </cfRule>
  </conditionalFormatting>
  <conditionalFormatting sqref="Q1724:Q1729">
    <cfRule type="cellIs" dxfId="4470" priority="4938" operator="greaterThanOrEqual">
      <formula>300</formula>
    </cfRule>
  </conditionalFormatting>
  <conditionalFormatting sqref="P2229 L2229">
    <cfRule type="cellIs" dxfId="4469" priority="4905" operator="greaterThanOrEqual">
      <formula>5</formula>
    </cfRule>
  </conditionalFormatting>
  <conditionalFormatting sqref="L2229">
    <cfRule type="cellIs" dxfId="4468" priority="4906" operator="greaterThanOrEqual">
      <formula>2</formula>
    </cfRule>
  </conditionalFormatting>
  <conditionalFormatting sqref="M2229">
    <cfRule type="cellIs" dxfId="4467" priority="4907" operator="greaterThanOrEqual">
      <formula>60</formula>
    </cfRule>
  </conditionalFormatting>
  <conditionalFormatting sqref="M2229">
    <cfRule type="cellIs" dxfId="4466" priority="4908" operator="greaterThanOrEqual">
      <formula>30</formula>
    </cfRule>
  </conditionalFormatting>
  <conditionalFormatting sqref="R2229">
    <cfRule type="cellIs" dxfId="4465" priority="4909" operator="greaterThanOrEqual">
      <formula>600</formula>
    </cfRule>
  </conditionalFormatting>
  <conditionalFormatting sqref="R2229">
    <cfRule type="cellIs" dxfId="4464" priority="4910" operator="greaterThanOrEqual">
      <formula>260</formula>
    </cfRule>
  </conditionalFormatting>
  <conditionalFormatting sqref="S2229">
    <cfRule type="containsText" dxfId="4463" priority="4911" operator="containsText" text="&lt;">
      <formula>NOT(ISERROR(SEARCH(("&lt;"),(S2229))))</formula>
    </cfRule>
  </conditionalFormatting>
  <conditionalFormatting sqref="S2229">
    <cfRule type="containsText" dxfId="4462" priority="4912" operator="containsText" text="ND">
      <formula>NOT(ISERROR(SEARCH(("ND"),(S2229))))</formula>
    </cfRule>
  </conditionalFormatting>
  <conditionalFormatting sqref="N2229 S2229">
    <cfRule type="cellIs" dxfId="4461" priority="4913" operator="greaterThanOrEqual">
      <formula>200</formula>
    </cfRule>
  </conditionalFormatting>
  <conditionalFormatting sqref="S2229">
    <cfRule type="cellIs" dxfId="4460" priority="4914" operator="greaterThanOrEqual">
      <formula>130</formula>
    </cfRule>
  </conditionalFormatting>
  <conditionalFormatting sqref="N2229">
    <cfRule type="cellIs" dxfId="4459" priority="4915" operator="greaterThanOrEqual">
      <formula>120</formula>
    </cfRule>
  </conditionalFormatting>
  <conditionalFormatting sqref="O2229:Q2229">
    <cfRule type="containsText" dxfId="4458" priority="4916" operator="containsText" text="ND">
      <formula>NOT(ISERROR(SEARCH(("ND"),(O2229))))</formula>
    </cfRule>
  </conditionalFormatting>
  <conditionalFormatting sqref="O2229">
    <cfRule type="cellIs" dxfId="4457" priority="4917" operator="greaterThanOrEqual">
      <formula>250</formula>
    </cfRule>
  </conditionalFormatting>
  <conditionalFormatting sqref="O2229">
    <cfRule type="cellIs" dxfId="4456" priority="4918" operator="greaterThanOrEqual">
      <formula>175</formula>
    </cfRule>
  </conditionalFormatting>
  <conditionalFormatting sqref="P2229">
    <cfRule type="cellIs" dxfId="4455" priority="4919" operator="greaterThanOrEqual">
      <formula>2.5</formula>
    </cfRule>
  </conditionalFormatting>
  <conditionalFormatting sqref="Q2229">
    <cfRule type="cellIs" dxfId="4454" priority="4920" operator="greaterThanOrEqual">
      <formula>500</formula>
    </cfRule>
  </conditionalFormatting>
  <conditionalFormatting sqref="Q2229">
    <cfRule type="cellIs" dxfId="4453" priority="4921" operator="greaterThanOrEqual">
      <formula>300</formula>
    </cfRule>
  </conditionalFormatting>
  <conditionalFormatting sqref="L2230 P2230">
    <cfRule type="cellIs" dxfId="4452" priority="4888" operator="greaterThanOrEqual">
      <formula>5</formula>
    </cfRule>
  </conditionalFormatting>
  <conditionalFormatting sqref="L2230">
    <cfRule type="cellIs" dxfId="4451" priority="4889" operator="greaterThanOrEqual">
      <formula>2</formula>
    </cfRule>
  </conditionalFormatting>
  <conditionalFormatting sqref="M2230">
    <cfRule type="cellIs" dxfId="4450" priority="4890" operator="greaterThanOrEqual">
      <formula>60</formula>
    </cfRule>
  </conditionalFormatting>
  <conditionalFormatting sqref="M2230">
    <cfRule type="cellIs" dxfId="4449" priority="4891" operator="greaterThanOrEqual">
      <formula>30</formula>
    </cfRule>
  </conditionalFormatting>
  <conditionalFormatting sqref="R2230">
    <cfRule type="cellIs" dxfId="4448" priority="4892" operator="greaterThanOrEqual">
      <formula>600</formula>
    </cfRule>
  </conditionalFormatting>
  <conditionalFormatting sqref="R2230">
    <cfRule type="cellIs" dxfId="4447" priority="4893" operator="greaterThanOrEqual">
      <formula>260</formula>
    </cfRule>
  </conditionalFormatting>
  <conditionalFormatting sqref="S2230">
    <cfRule type="containsText" dxfId="4446" priority="4894" operator="containsText" text="&lt;">
      <formula>NOT(ISERROR(SEARCH(("&lt;"),(S2230))))</formula>
    </cfRule>
  </conditionalFormatting>
  <conditionalFormatting sqref="S2230">
    <cfRule type="containsText" dxfId="4445" priority="4895" operator="containsText" text="ND">
      <formula>NOT(ISERROR(SEARCH(("ND"),(S2230))))</formula>
    </cfRule>
  </conditionalFormatting>
  <conditionalFormatting sqref="S2230 N2230">
    <cfRule type="cellIs" dxfId="4444" priority="4896" operator="greaterThanOrEqual">
      <formula>200</formula>
    </cfRule>
  </conditionalFormatting>
  <conditionalFormatting sqref="S2230">
    <cfRule type="cellIs" dxfId="4443" priority="4897" operator="greaterThanOrEqual">
      <formula>130</formula>
    </cfRule>
  </conditionalFormatting>
  <conditionalFormatting sqref="N2230">
    <cfRule type="cellIs" dxfId="4442" priority="4898" operator="greaterThanOrEqual">
      <formula>120</formula>
    </cfRule>
  </conditionalFormatting>
  <conditionalFormatting sqref="O2230:Q2230">
    <cfRule type="containsText" dxfId="4441" priority="4899" operator="containsText" text="ND">
      <formula>NOT(ISERROR(SEARCH(("ND"),(O2230))))</formula>
    </cfRule>
  </conditionalFormatting>
  <conditionalFormatting sqref="O2230">
    <cfRule type="cellIs" dxfId="4440" priority="4900" operator="greaterThanOrEqual">
      <formula>250</formula>
    </cfRule>
  </conditionalFormatting>
  <conditionalFormatting sqref="O2230">
    <cfRule type="cellIs" dxfId="4439" priority="4901" operator="greaterThanOrEqual">
      <formula>175</formula>
    </cfRule>
  </conditionalFormatting>
  <conditionalFormatting sqref="P2230">
    <cfRule type="cellIs" dxfId="4438" priority="4902" operator="greaterThanOrEqual">
      <formula>2.5</formula>
    </cfRule>
  </conditionalFormatting>
  <conditionalFormatting sqref="Q2230">
    <cfRule type="cellIs" dxfId="4437" priority="4903" operator="greaterThanOrEqual">
      <formula>500</formula>
    </cfRule>
  </conditionalFormatting>
  <conditionalFormatting sqref="Q2230">
    <cfRule type="cellIs" dxfId="4436" priority="4904" operator="greaterThanOrEqual">
      <formula>300</formula>
    </cfRule>
  </conditionalFormatting>
  <conditionalFormatting sqref="L1856">
    <cfRule type="cellIs" dxfId="4435" priority="4869" operator="greaterThanOrEqual">
      <formula>5</formula>
    </cfRule>
  </conditionalFormatting>
  <conditionalFormatting sqref="L1856">
    <cfRule type="cellIs" dxfId="4434" priority="4870" operator="greaterThanOrEqual">
      <formula>2</formula>
    </cfRule>
  </conditionalFormatting>
  <conditionalFormatting sqref="M1856">
    <cfRule type="cellIs" dxfId="4433" priority="4871" operator="greaterThanOrEqual">
      <formula>60</formula>
    </cfRule>
  </conditionalFormatting>
  <conditionalFormatting sqref="M1856">
    <cfRule type="cellIs" dxfId="4432" priority="4872" operator="greaterThanOrEqual">
      <formula>30</formula>
    </cfRule>
  </conditionalFormatting>
  <conditionalFormatting sqref="R1856">
    <cfRule type="cellIs" dxfId="4431" priority="4873" operator="greaterThanOrEqual">
      <formula>600</formula>
    </cfRule>
  </conditionalFormatting>
  <conditionalFormatting sqref="R1856">
    <cfRule type="cellIs" dxfId="4430" priority="4874" operator="greaterThanOrEqual">
      <formula>260</formula>
    </cfRule>
  </conditionalFormatting>
  <conditionalFormatting sqref="S1856">
    <cfRule type="cellIs" dxfId="4429" priority="4877" operator="greaterThanOrEqual">
      <formula>200</formula>
    </cfRule>
  </conditionalFormatting>
  <conditionalFormatting sqref="S1856">
    <cfRule type="cellIs" dxfId="4428" priority="4878" operator="greaterThanOrEqual">
      <formula>130</formula>
    </cfRule>
  </conditionalFormatting>
  <conditionalFormatting sqref="N1856">
    <cfRule type="cellIs" dxfId="4427" priority="4879" operator="greaterThanOrEqual">
      <formula>200</formula>
    </cfRule>
  </conditionalFormatting>
  <conditionalFormatting sqref="N1856">
    <cfRule type="cellIs" dxfId="4426" priority="4880" operator="greaterThanOrEqual">
      <formula>120</formula>
    </cfRule>
  </conditionalFormatting>
  <conditionalFormatting sqref="O1856">
    <cfRule type="cellIs" dxfId="4425" priority="4882" operator="greaterThanOrEqual">
      <formula>250</formula>
    </cfRule>
  </conditionalFormatting>
  <conditionalFormatting sqref="O1856">
    <cfRule type="cellIs" dxfId="4424" priority="4883" operator="greaterThanOrEqual">
      <formula>175</formula>
    </cfRule>
  </conditionalFormatting>
  <conditionalFormatting sqref="P1856">
    <cfRule type="cellIs" dxfId="4423" priority="4884" operator="greaterThanOrEqual">
      <formula>5</formula>
    </cfRule>
  </conditionalFormatting>
  <conditionalFormatting sqref="P1856">
    <cfRule type="cellIs" dxfId="4422" priority="4885" operator="greaterThanOrEqual">
      <formula>2.5</formula>
    </cfRule>
  </conditionalFormatting>
  <conditionalFormatting sqref="Q1856">
    <cfRule type="cellIs" dxfId="4421" priority="4886" operator="greaterThanOrEqual">
      <formula>500</formula>
    </cfRule>
  </conditionalFormatting>
  <conditionalFormatting sqref="Q1856">
    <cfRule type="cellIs" dxfId="4420" priority="4887" operator="greaterThanOrEqual">
      <formula>300</formula>
    </cfRule>
  </conditionalFormatting>
  <conditionalFormatting sqref="L1861 P1861">
    <cfRule type="cellIs" dxfId="4419" priority="4852" operator="greaterThanOrEqual">
      <formula>5</formula>
    </cfRule>
  </conditionalFormatting>
  <conditionalFormatting sqref="L1861">
    <cfRule type="cellIs" dxfId="4418" priority="4853" operator="greaterThanOrEqual">
      <formula>2</formula>
    </cfRule>
  </conditionalFormatting>
  <conditionalFormatting sqref="M1861">
    <cfRule type="cellIs" dxfId="4417" priority="4854" operator="greaterThanOrEqual">
      <formula>60</formula>
    </cfRule>
  </conditionalFormatting>
  <conditionalFormatting sqref="M1861">
    <cfRule type="cellIs" dxfId="4416" priority="4855" operator="greaterThanOrEqual">
      <formula>30</formula>
    </cfRule>
  </conditionalFormatting>
  <conditionalFormatting sqref="R1861">
    <cfRule type="cellIs" dxfId="4415" priority="4856" operator="greaterThanOrEqual">
      <formula>600</formula>
    </cfRule>
  </conditionalFormatting>
  <conditionalFormatting sqref="R1861">
    <cfRule type="cellIs" dxfId="4414" priority="4857" operator="greaterThanOrEqual">
      <formula>260</formula>
    </cfRule>
  </conditionalFormatting>
  <conditionalFormatting sqref="S1861">
    <cfRule type="containsText" dxfId="4413" priority="4858" operator="containsText" text="&lt;">
      <formula>NOT(ISERROR(SEARCH(("&lt;"),(S1861))))</formula>
    </cfRule>
  </conditionalFormatting>
  <conditionalFormatting sqref="S1861">
    <cfRule type="containsText" dxfId="4412" priority="4859" operator="containsText" text="ND">
      <formula>NOT(ISERROR(SEARCH(("ND"),(S1861))))</formula>
    </cfRule>
  </conditionalFormatting>
  <conditionalFormatting sqref="S1861 N1861">
    <cfRule type="cellIs" dxfId="4411" priority="4860" operator="greaterThanOrEqual">
      <formula>200</formula>
    </cfRule>
  </conditionalFormatting>
  <conditionalFormatting sqref="S1861">
    <cfRule type="cellIs" dxfId="4410" priority="4861" operator="greaterThanOrEqual">
      <formula>130</formula>
    </cfRule>
  </conditionalFormatting>
  <conditionalFormatting sqref="N1861">
    <cfRule type="cellIs" dxfId="4409" priority="4862" operator="greaterThanOrEqual">
      <formula>120</formula>
    </cfRule>
  </conditionalFormatting>
  <conditionalFormatting sqref="O1861:Q1861">
    <cfRule type="containsText" dxfId="4408" priority="4863" operator="containsText" text="ND">
      <formula>NOT(ISERROR(SEARCH(("ND"),(O1861))))</formula>
    </cfRule>
  </conditionalFormatting>
  <conditionalFormatting sqref="O1861">
    <cfRule type="cellIs" dxfId="4407" priority="4864" operator="greaterThanOrEqual">
      <formula>250</formula>
    </cfRule>
  </conditionalFormatting>
  <conditionalFormatting sqref="O1861">
    <cfRule type="cellIs" dxfId="4406" priority="4865" operator="greaterThanOrEqual">
      <formula>175</formula>
    </cfRule>
  </conditionalFormatting>
  <conditionalFormatting sqref="P1861">
    <cfRule type="cellIs" dxfId="4405" priority="4866" operator="greaterThanOrEqual">
      <formula>2.5</formula>
    </cfRule>
  </conditionalFormatting>
  <conditionalFormatting sqref="Q1861">
    <cfRule type="cellIs" dxfId="4404" priority="4867" operator="greaterThanOrEqual">
      <formula>500</formula>
    </cfRule>
  </conditionalFormatting>
  <conditionalFormatting sqref="Q1861">
    <cfRule type="cellIs" dxfId="4403" priority="4868" operator="greaterThanOrEqual">
      <formula>300</formula>
    </cfRule>
  </conditionalFormatting>
  <conditionalFormatting sqref="L1651 P1651">
    <cfRule type="cellIs" dxfId="4402" priority="4835" operator="greaterThanOrEqual">
      <formula>5</formula>
    </cfRule>
  </conditionalFormatting>
  <conditionalFormatting sqref="L1651">
    <cfRule type="cellIs" dxfId="4401" priority="4836" operator="greaterThanOrEqual">
      <formula>2</formula>
    </cfRule>
  </conditionalFormatting>
  <conditionalFormatting sqref="M1651">
    <cfRule type="cellIs" dxfId="4400" priority="4837" operator="greaterThanOrEqual">
      <formula>60</formula>
    </cfRule>
  </conditionalFormatting>
  <conditionalFormatting sqref="M1651">
    <cfRule type="cellIs" dxfId="4399" priority="4838" operator="greaterThanOrEqual">
      <formula>30</formula>
    </cfRule>
  </conditionalFormatting>
  <conditionalFormatting sqref="R1651">
    <cfRule type="cellIs" dxfId="4398" priority="4839" operator="greaterThanOrEqual">
      <formula>600</formula>
    </cfRule>
  </conditionalFormatting>
  <conditionalFormatting sqref="R1651">
    <cfRule type="cellIs" dxfId="4397" priority="4840" operator="greaterThanOrEqual">
      <formula>260</formula>
    </cfRule>
  </conditionalFormatting>
  <conditionalFormatting sqref="S1651">
    <cfRule type="containsText" dxfId="4396" priority="4841" operator="containsText" text="&lt;">
      <formula>NOT(ISERROR(SEARCH(("&lt;"),(S1651))))</formula>
    </cfRule>
  </conditionalFormatting>
  <conditionalFormatting sqref="S1651">
    <cfRule type="containsText" dxfId="4395" priority="4842" operator="containsText" text="ND">
      <formula>NOT(ISERROR(SEARCH(("ND"),(S1651))))</formula>
    </cfRule>
  </conditionalFormatting>
  <conditionalFormatting sqref="S1651 N1651">
    <cfRule type="cellIs" dxfId="4394" priority="4843" operator="greaterThanOrEqual">
      <formula>200</formula>
    </cfRule>
  </conditionalFormatting>
  <conditionalFormatting sqref="S1651">
    <cfRule type="cellIs" dxfId="4393" priority="4844" operator="greaterThanOrEqual">
      <formula>130</formula>
    </cfRule>
  </conditionalFormatting>
  <conditionalFormatting sqref="N1651">
    <cfRule type="cellIs" dxfId="4392" priority="4845" operator="greaterThanOrEqual">
      <formula>120</formula>
    </cfRule>
  </conditionalFormatting>
  <conditionalFormatting sqref="O1651:Q1651">
    <cfRule type="containsText" dxfId="4391" priority="4846" operator="containsText" text="ND">
      <formula>NOT(ISERROR(SEARCH(("ND"),(O1651))))</formula>
    </cfRule>
  </conditionalFormatting>
  <conditionalFormatting sqref="O1651">
    <cfRule type="cellIs" dxfId="4390" priority="4847" operator="greaterThanOrEqual">
      <formula>250</formula>
    </cfRule>
  </conditionalFormatting>
  <conditionalFormatting sqref="O1651">
    <cfRule type="cellIs" dxfId="4389" priority="4848" operator="greaterThanOrEqual">
      <formula>175</formula>
    </cfRule>
  </conditionalFormatting>
  <conditionalFormatting sqref="P1651">
    <cfRule type="cellIs" dxfId="4388" priority="4849" operator="greaterThanOrEqual">
      <formula>2.5</formula>
    </cfRule>
  </conditionalFormatting>
  <conditionalFormatting sqref="Q1651">
    <cfRule type="cellIs" dxfId="4387" priority="4850" operator="greaterThanOrEqual">
      <formula>500</formula>
    </cfRule>
  </conditionalFormatting>
  <conditionalFormatting sqref="Q1651">
    <cfRule type="cellIs" dxfId="4386" priority="4851" operator="greaterThanOrEqual">
      <formula>300</formula>
    </cfRule>
  </conditionalFormatting>
  <conditionalFormatting sqref="L1862 P1862">
    <cfRule type="cellIs" dxfId="4385" priority="4818" operator="greaterThanOrEqual">
      <formula>5</formula>
    </cfRule>
  </conditionalFormatting>
  <conditionalFormatting sqref="L1862">
    <cfRule type="cellIs" dxfId="4384" priority="4819" operator="greaterThanOrEqual">
      <formula>2</formula>
    </cfRule>
  </conditionalFormatting>
  <conditionalFormatting sqref="M1862">
    <cfRule type="cellIs" dxfId="4383" priority="4820" operator="greaterThanOrEqual">
      <formula>60</formula>
    </cfRule>
  </conditionalFormatting>
  <conditionalFormatting sqref="M1862">
    <cfRule type="cellIs" dxfId="4382" priority="4821" operator="greaterThanOrEqual">
      <formula>30</formula>
    </cfRule>
  </conditionalFormatting>
  <conditionalFormatting sqref="R1862">
    <cfRule type="cellIs" dxfId="4381" priority="4822" operator="greaterThanOrEqual">
      <formula>600</formula>
    </cfRule>
  </conditionalFormatting>
  <conditionalFormatting sqref="R1862">
    <cfRule type="cellIs" dxfId="4380" priority="4823" operator="greaterThanOrEqual">
      <formula>260</formula>
    </cfRule>
  </conditionalFormatting>
  <conditionalFormatting sqref="S1862">
    <cfRule type="containsText" dxfId="4379" priority="4824" operator="containsText" text="&lt;">
      <formula>NOT(ISERROR(SEARCH(("&lt;"),(S1862))))</formula>
    </cfRule>
  </conditionalFormatting>
  <conditionalFormatting sqref="S1862">
    <cfRule type="containsText" dxfId="4378" priority="4825" operator="containsText" text="ND">
      <formula>NOT(ISERROR(SEARCH(("ND"),(S1862))))</formula>
    </cfRule>
  </conditionalFormatting>
  <conditionalFormatting sqref="S1862 N1862">
    <cfRule type="cellIs" dxfId="4377" priority="4826" operator="greaterThanOrEqual">
      <formula>200</formula>
    </cfRule>
  </conditionalFormatting>
  <conditionalFormatting sqref="S1862">
    <cfRule type="cellIs" dxfId="4376" priority="4827" operator="greaterThanOrEqual">
      <formula>130</formula>
    </cfRule>
  </conditionalFormatting>
  <conditionalFormatting sqref="N1862">
    <cfRule type="cellIs" dxfId="4375" priority="4828" operator="greaterThanOrEqual">
      <formula>120</formula>
    </cfRule>
  </conditionalFormatting>
  <conditionalFormatting sqref="O1862:Q1862">
    <cfRule type="containsText" dxfId="4374" priority="4829" operator="containsText" text="ND">
      <formula>NOT(ISERROR(SEARCH(("ND"),(O1862))))</formula>
    </cfRule>
  </conditionalFormatting>
  <conditionalFormatting sqref="O1862">
    <cfRule type="cellIs" dxfId="4373" priority="4830" operator="greaterThanOrEqual">
      <formula>250</formula>
    </cfRule>
  </conditionalFormatting>
  <conditionalFormatting sqref="O1862">
    <cfRule type="cellIs" dxfId="4372" priority="4831" operator="greaterThanOrEqual">
      <formula>175</formula>
    </cfRule>
  </conditionalFormatting>
  <conditionalFormatting sqref="P1862">
    <cfRule type="cellIs" dxfId="4371" priority="4832" operator="greaterThanOrEqual">
      <formula>2.5</formula>
    </cfRule>
  </conditionalFormatting>
  <conditionalFormatting sqref="Q1862">
    <cfRule type="cellIs" dxfId="4370" priority="4833" operator="greaterThanOrEqual">
      <formula>500</formula>
    </cfRule>
  </conditionalFormatting>
  <conditionalFormatting sqref="Q1862">
    <cfRule type="cellIs" dxfId="4369" priority="4834" operator="greaterThanOrEqual">
      <formula>300</formula>
    </cfRule>
  </conditionalFormatting>
  <conditionalFormatting sqref="L2235 P2235">
    <cfRule type="cellIs" dxfId="4368" priority="4801" operator="greaterThanOrEqual">
      <formula>5</formula>
    </cfRule>
  </conditionalFormatting>
  <conditionalFormatting sqref="L2235">
    <cfRule type="cellIs" dxfId="4367" priority="4802" operator="greaterThanOrEqual">
      <formula>2</formula>
    </cfRule>
  </conditionalFormatting>
  <conditionalFormatting sqref="M2235">
    <cfRule type="cellIs" dxfId="4366" priority="4803" operator="greaterThanOrEqual">
      <formula>60</formula>
    </cfRule>
  </conditionalFormatting>
  <conditionalFormatting sqref="M2235">
    <cfRule type="cellIs" dxfId="4365" priority="4804" operator="greaterThanOrEqual">
      <formula>30</formula>
    </cfRule>
  </conditionalFormatting>
  <conditionalFormatting sqref="R2235">
    <cfRule type="cellIs" dxfId="4364" priority="4805" operator="greaterThanOrEqual">
      <formula>600</formula>
    </cfRule>
  </conditionalFormatting>
  <conditionalFormatting sqref="R2235">
    <cfRule type="cellIs" dxfId="4363" priority="4806" operator="greaterThanOrEqual">
      <formula>260</formula>
    </cfRule>
  </conditionalFormatting>
  <conditionalFormatting sqref="S2235">
    <cfRule type="containsText" dxfId="4362" priority="4807" operator="containsText" text="&lt;">
      <formula>NOT(ISERROR(SEARCH(("&lt;"),(S2235))))</formula>
    </cfRule>
  </conditionalFormatting>
  <conditionalFormatting sqref="S2235">
    <cfRule type="containsText" dxfId="4361" priority="4808" operator="containsText" text="ND">
      <formula>NOT(ISERROR(SEARCH(("ND"),(S2235))))</formula>
    </cfRule>
  </conditionalFormatting>
  <conditionalFormatting sqref="S2235 N2235">
    <cfRule type="cellIs" dxfId="4360" priority="4809" operator="greaterThanOrEqual">
      <formula>200</formula>
    </cfRule>
  </conditionalFormatting>
  <conditionalFormatting sqref="S2235">
    <cfRule type="cellIs" dxfId="4359" priority="4810" operator="greaterThanOrEqual">
      <formula>130</formula>
    </cfRule>
  </conditionalFormatting>
  <conditionalFormatting sqref="N2235">
    <cfRule type="cellIs" dxfId="4358" priority="4811" operator="greaterThanOrEqual">
      <formula>120</formula>
    </cfRule>
  </conditionalFormatting>
  <conditionalFormatting sqref="O2235:Q2235">
    <cfRule type="containsText" dxfId="4357" priority="4812" operator="containsText" text="ND">
      <formula>NOT(ISERROR(SEARCH(("ND"),(O2235))))</formula>
    </cfRule>
  </conditionalFormatting>
  <conditionalFormatting sqref="O2235">
    <cfRule type="cellIs" dxfId="4356" priority="4813" operator="greaterThanOrEqual">
      <formula>250</formula>
    </cfRule>
  </conditionalFormatting>
  <conditionalFormatting sqref="O2235">
    <cfRule type="cellIs" dxfId="4355" priority="4814" operator="greaterThanOrEqual">
      <formula>175</formula>
    </cfRule>
  </conditionalFormatting>
  <conditionalFormatting sqref="P2235">
    <cfRule type="cellIs" dxfId="4354" priority="4815" operator="greaterThanOrEqual">
      <formula>2.5</formula>
    </cfRule>
  </conditionalFormatting>
  <conditionalFormatting sqref="Q2235">
    <cfRule type="cellIs" dxfId="4353" priority="4816" operator="greaterThanOrEqual">
      <formula>500</formula>
    </cfRule>
  </conditionalFormatting>
  <conditionalFormatting sqref="Q2235">
    <cfRule type="cellIs" dxfId="4352" priority="4817" operator="greaterThanOrEqual">
      <formula>300</formula>
    </cfRule>
  </conditionalFormatting>
  <conditionalFormatting sqref="L1865 P1865">
    <cfRule type="cellIs" dxfId="4351" priority="4784" operator="greaterThanOrEqual">
      <formula>5</formula>
    </cfRule>
  </conditionalFormatting>
  <conditionalFormatting sqref="L1865">
    <cfRule type="cellIs" dxfId="4350" priority="4785" operator="greaterThanOrEqual">
      <formula>2</formula>
    </cfRule>
  </conditionalFormatting>
  <conditionalFormatting sqref="M1865">
    <cfRule type="cellIs" dxfId="4349" priority="4786" operator="greaterThanOrEqual">
      <formula>60</formula>
    </cfRule>
  </conditionalFormatting>
  <conditionalFormatting sqref="M1865">
    <cfRule type="cellIs" dxfId="4348" priority="4787" operator="greaterThanOrEqual">
      <formula>30</formula>
    </cfRule>
  </conditionalFormatting>
  <conditionalFormatting sqref="R1865">
    <cfRule type="cellIs" dxfId="4347" priority="4788" operator="greaterThanOrEqual">
      <formula>600</formula>
    </cfRule>
  </conditionalFormatting>
  <conditionalFormatting sqref="R1865">
    <cfRule type="cellIs" dxfId="4346" priority="4789" operator="greaterThanOrEqual">
      <formula>260</formula>
    </cfRule>
  </conditionalFormatting>
  <conditionalFormatting sqref="S1865">
    <cfRule type="containsText" dxfId="4345" priority="4790" operator="containsText" text="&lt;">
      <formula>NOT(ISERROR(SEARCH(("&lt;"),(S1865))))</formula>
    </cfRule>
  </conditionalFormatting>
  <conditionalFormatting sqref="S1865">
    <cfRule type="containsText" dxfId="4344" priority="4791" operator="containsText" text="ND">
      <formula>NOT(ISERROR(SEARCH(("ND"),(S1865))))</formula>
    </cfRule>
  </conditionalFormatting>
  <conditionalFormatting sqref="S1865 N1865">
    <cfRule type="cellIs" dxfId="4343" priority="4792" operator="greaterThanOrEqual">
      <formula>200</formula>
    </cfRule>
  </conditionalFormatting>
  <conditionalFormatting sqref="S1865">
    <cfRule type="cellIs" dxfId="4342" priority="4793" operator="greaterThanOrEqual">
      <formula>130</formula>
    </cfRule>
  </conditionalFormatting>
  <conditionalFormatting sqref="N1865">
    <cfRule type="cellIs" dxfId="4341" priority="4794" operator="greaterThanOrEqual">
      <formula>120</formula>
    </cfRule>
  </conditionalFormatting>
  <conditionalFormatting sqref="O1865:Q1865">
    <cfRule type="containsText" dxfId="4340" priority="4795" operator="containsText" text="ND">
      <formula>NOT(ISERROR(SEARCH(("ND"),(O1865))))</formula>
    </cfRule>
  </conditionalFormatting>
  <conditionalFormatting sqref="O1865">
    <cfRule type="cellIs" dxfId="4339" priority="4796" operator="greaterThanOrEqual">
      <formula>250</formula>
    </cfRule>
  </conditionalFormatting>
  <conditionalFormatting sqref="O1865">
    <cfRule type="cellIs" dxfId="4338" priority="4797" operator="greaterThanOrEqual">
      <formula>175</formula>
    </cfRule>
  </conditionalFormatting>
  <conditionalFormatting sqref="P1865">
    <cfRule type="cellIs" dxfId="4337" priority="4798" operator="greaterThanOrEqual">
      <formula>2.5</formula>
    </cfRule>
  </conditionalFormatting>
  <conditionalFormatting sqref="Q1865">
    <cfRule type="cellIs" dxfId="4336" priority="4799" operator="greaterThanOrEqual">
      <formula>500</formula>
    </cfRule>
  </conditionalFormatting>
  <conditionalFormatting sqref="Q1865">
    <cfRule type="cellIs" dxfId="4335" priority="4800" operator="greaterThanOrEqual">
      <formula>300</formula>
    </cfRule>
  </conditionalFormatting>
  <conditionalFormatting sqref="L2236 P2236">
    <cfRule type="cellIs" dxfId="4334" priority="4767" operator="greaterThanOrEqual">
      <formula>5</formula>
    </cfRule>
  </conditionalFormatting>
  <conditionalFormatting sqref="L2236">
    <cfRule type="cellIs" dxfId="4333" priority="4768" operator="greaterThanOrEqual">
      <formula>2</formula>
    </cfRule>
  </conditionalFormatting>
  <conditionalFormatting sqref="M2236">
    <cfRule type="cellIs" dxfId="4332" priority="4769" operator="greaterThanOrEqual">
      <formula>60</formula>
    </cfRule>
  </conditionalFormatting>
  <conditionalFormatting sqref="M2236">
    <cfRule type="cellIs" dxfId="4331" priority="4770" operator="greaterThanOrEqual">
      <formula>30</formula>
    </cfRule>
  </conditionalFormatting>
  <conditionalFormatting sqref="R2236">
    <cfRule type="cellIs" dxfId="4330" priority="4771" operator="greaterThanOrEqual">
      <formula>600</formula>
    </cfRule>
  </conditionalFormatting>
  <conditionalFormatting sqref="R2236">
    <cfRule type="cellIs" dxfId="4329" priority="4772" operator="greaterThanOrEqual">
      <formula>260</formula>
    </cfRule>
  </conditionalFormatting>
  <conditionalFormatting sqref="S2236">
    <cfRule type="containsText" dxfId="4328" priority="4773" operator="containsText" text="&lt;">
      <formula>NOT(ISERROR(SEARCH(("&lt;"),(S2236))))</formula>
    </cfRule>
  </conditionalFormatting>
  <conditionalFormatting sqref="S2236">
    <cfRule type="containsText" dxfId="4327" priority="4774" operator="containsText" text="ND">
      <formula>NOT(ISERROR(SEARCH(("ND"),(S2236))))</formula>
    </cfRule>
  </conditionalFormatting>
  <conditionalFormatting sqref="S2236 N2236">
    <cfRule type="cellIs" dxfId="4326" priority="4775" operator="greaterThanOrEqual">
      <formula>200</formula>
    </cfRule>
  </conditionalFormatting>
  <conditionalFormatting sqref="S2236">
    <cfRule type="cellIs" dxfId="4325" priority="4776" operator="greaterThanOrEqual">
      <formula>130</formula>
    </cfRule>
  </conditionalFormatting>
  <conditionalFormatting sqref="N2236">
    <cfRule type="cellIs" dxfId="4324" priority="4777" operator="greaterThanOrEqual">
      <formula>120</formula>
    </cfRule>
  </conditionalFormatting>
  <conditionalFormatting sqref="O2236:Q2236">
    <cfRule type="containsText" dxfId="4323" priority="4778" operator="containsText" text="ND">
      <formula>NOT(ISERROR(SEARCH(("ND"),(O2236))))</formula>
    </cfRule>
  </conditionalFormatting>
  <conditionalFormatting sqref="O2236">
    <cfRule type="cellIs" dxfId="4322" priority="4779" operator="greaterThanOrEqual">
      <formula>250</formula>
    </cfRule>
  </conditionalFormatting>
  <conditionalFormatting sqref="O2236">
    <cfRule type="cellIs" dxfId="4321" priority="4780" operator="greaterThanOrEqual">
      <formula>175</formula>
    </cfRule>
  </conditionalFormatting>
  <conditionalFormatting sqref="P2236">
    <cfRule type="cellIs" dxfId="4320" priority="4781" operator="greaterThanOrEqual">
      <formula>2.5</formula>
    </cfRule>
  </conditionalFormatting>
  <conditionalFormatting sqref="Q2236">
    <cfRule type="cellIs" dxfId="4319" priority="4782" operator="greaterThanOrEqual">
      <formula>500</formula>
    </cfRule>
  </conditionalFormatting>
  <conditionalFormatting sqref="Q2236">
    <cfRule type="cellIs" dxfId="4318" priority="4783" operator="greaterThanOrEqual">
      <formula>300</formula>
    </cfRule>
  </conditionalFormatting>
  <conditionalFormatting sqref="P1866 L1866">
    <cfRule type="cellIs" dxfId="4317" priority="4750" operator="greaterThanOrEqual">
      <formula>5</formula>
    </cfRule>
  </conditionalFormatting>
  <conditionalFormatting sqref="L1866">
    <cfRule type="cellIs" dxfId="4316" priority="4751" operator="greaterThanOrEqual">
      <formula>2</formula>
    </cfRule>
  </conditionalFormatting>
  <conditionalFormatting sqref="M1866">
    <cfRule type="cellIs" dxfId="4315" priority="4752" operator="greaterThanOrEqual">
      <formula>60</formula>
    </cfRule>
  </conditionalFormatting>
  <conditionalFormatting sqref="M1866">
    <cfRule type="cellIs" dxfId="4314" priority="4753" operator="greaterThanOrEqual">
      <formula>30</formula>
    </cfRule>
  </conditionalFormatting>
  <conditionalFormatting sqref="R1866">
    <cfRule type="cellIs" dxfId="4313" priority="4754" operator="greaterThanOrEqual">
      <formula>600</formula>
    </cfRule>
  </conditionalFormatting>
  <conditionalFormatting sqref="R1866">
    <cfRule type="cellIs" dxfId="4312" priority="4755" operator="greaterThanOrEqual">
      <formula>260</formula>
    </cfRule>
  </conditionalFormatting>
  <conditionalFormatting sqref="S1866">
    <cfRule type="containsText" dxfId="4311" priority="4756" operator="containsText" text="&lt;">
      <formula>NOT(ISERROR(SEARCH(("&lt;"),(S1866))))</formula>
    </cfRule>
  </conditionalFormatting>
  <conditionalFormatting sqref="S1866">
    <cfRule type="containsText" dxfId="4310" priority="4757" operator="containsText" text="ND">
      <formula>NOT(ISERROR(SEARCH(("ND"),(S1866))))</formula>
    </cfRule>
  </conditionalFormatting>
  <conditionalFormatting sqref="N1866 S1866">
    <cfRule type="cellIs" dxfId="4309" priority="4758" operator="greaterThanOrEqual">
      <formula>200</formula>
    </cfRule>
  </conditionalFormatting>
  <conditionalFormatting sqref="S1866">
    <cfRule type="cellIs" dxfId="4308" priority="4759" operator="greaterThanOrEqual">
      <formula>130</formula>
    </cfRule>
  </conditionalFormatting>
  <conditionalFormatting sqref="N1866">
    <cfRule type="cellIs" dxfId="4307" priority="4760" operator="greaterThanOrEqual">
      <formula>120</formula>
    </cfRule>
  </conditionalFormatting>
  <conditionalFormatting sqref="O1866:Q1866">
    <cfRule type="containsText" dxfId="4306" priority="4761" operator="containsText" text="ND">
      <formula>NOT(ISERROR(SEARCH(("ND"),(O1866))))</formula>
    </cfRule>
  </conditionalFormatting>
  <conditionalFormatting sqref="O1866">
    <cfRule type="cellIs" dxfId="4305" priority="4762" operator="greaterThanOrEqual">
      <formula>250</formula>
    </cfRule>
  </conditionalFormatting>
  <conditionalFormatting sqref="O1866">
    <cfRule type="cellIs" dxfId="4304" priority="4763" operator="greaterThanOrEqual">
      <formula>175</formula>
    </cfRule>
  </conditionalFormatting>
  <conditionalFormatting sqref="P1866">
    <cfRule type="cellIs" dxfId="4303" priority="4764" operator="greaterThanOrEqual">
      <formula>2.5</formula>
    </cfRule>
  </conditionalFormatting>
  <conditionalFormatting sqref="Q1866">
    <cfRule type="cellIs" dxfId="4302" priority="4765" operator="greaterThanOrEqual">
      <formula>500</formula>
    </cfRule>
  </conditionalFormatting>
  <conditionalFormatting sqref="Q1866">
    <cfRule type="cellIs" dxfId="4301" priority="4766" operator="greaterThanOrEqual">
      <formula>300</formula>
    </cfRule>
  </conditionalFormatting>
  <conditionalFormatting sqref="L2237:L2239 P2237:P2239">
    <cfRule type="cellIs" dxfId="4300" priority="4733" operator="greaterThanOrEqual">
      <formula>5</formula>
    </cfRule>
  </conditionalFormatting>
  <conditionalFormatting sqref="L2237:L2239">
    <cfRule type="cellIs" dxfId="4299" priority="4734" operator="greaterThanOrEqual">
      <formula>2</formula>
    </cfRule>
  </conditionalFormatting>
  <conditionalFormatting sqref="M2237:M2239">
    <cfRule type="cellIs" dxfId="4298" priority="4735" operator="greaterThanOrEqual">
      <formula>60</formula>
    </cfRule>
  </conditionalFormatting>
  <conditionalFormatting sqref="M2237:M2239">
    <cfRule type="cellIs" dxfId="4297" priority="4736" operator="greaterThanOrEqual">
      <formula>30</formula>
    </cfRule>
  </conditionalFormatting>
  <conditionalFormatting sqref="R2237:R2239">
    <cfRule type="cellIs" dxfId="4296" priority="4737" operator="greaterThanOrEqual">
      <formula>600</formula>
    </cfRule>
  </conditionalFormatting>
  <conditionalFormatting sqref="R2237:R2239">
    <cfRule type="cellIs" dxfId="4295" priority="4738" operator="greaterThanOrEqual">
      <formula>260</formula>
    </cfRule>
  </conditionalFormatting>
  <conditionalFormatting sqref="S2237:S2239">
    <cfRule type="containsText" dxfId="4294" priority="4739" operator="containsText" text="&lt;">
      <formula>NOT(ISERROR(SEARCH(("&lt;"),(S2237))))</formula>
    </cfRule>
  </conditionalFormatting>
  <conditionalFormatting sqref="S2237:S2239">
    <cfRule type="containsText" dxfId="4293" priority="4740" operator="containsText" text="ND">
      <formula>NOT(ISERROR(SEARCH(("ND"),(S2237))))</formula>
    </cfRule>
  </conditionalFormatting>
  <conditionalFormatting sqref="S2237:S2239 N2237:N2239">
    <cfRule type="cellIs" dxfId="4292" priority="4741" operator="greaterThanOrEqual">
      <formula>200</formula>
    </cfRule>
  </conditionalFormatting>
  <conditionalFormatting sqref="S2237:S2239">
    <cfRule type="cellIs" dxfId="4291" priority="4742" operator="greaterThanOrEqual">
      <formula>130</formula>
    </cfRule>
  </conditionalFormatting>
  <conditionalFormatting sqref="N2237:N2239">
    <cfRule type="cellIs" dxfId="4290" priority="4743" operator="greaterThanOrEqual">
      <formula>120</formula>
    </cfRule>
  </conditionalFormatting>
  <conditionalFormatting sqref="O2237:Q2239">
    <cfRule type="containsText" dxfId="4289" priority="4744" operator="containsText" text="ND">
      <formula>NOT(ISERROR(SEARCH(("ND"),(O2237))))</formula>
    </cfRule>
  </conditionalFormatting>
  <conditionalFormatting sqref="O2237:O2239">
    <cfRule type="cellIs" dxfId="4288" priority="4745" operator="greaterThanOrEqual">
      <formula>250</formula>
    </cfRule>
  </conditionalFormatting>
  <conditionalFormatting sqref="O2237:O2239">
    <cfRule type="cellIs" dxfId="4287" priority="4746" operator="greaterThanOrEqual">
      <formula>175</formula>
    </cfRule>
  </conditionalFormatting>
  <conditionalFormatting sqref="P2237:P2239">
    <cfRule type="cellIs" dxfId="4286" priority="4747" operator="greaterThanOrEqual">
      <formula>2.5</formula>
    </cfRule>
  </conditionalFormatting>
  <conditionalFormatting sqref="Q2237:Q2239">
    <cfRule type="cellIs" dxfId="4285" priority="4748" operator="greaterThanOrEqual">
      <formula>500</formula>
    </cfRule>
  </conditionalFormatting>
  <conditionalFormatting sqref="Q2237:Q2239">
    <cfRule type="cellIs" dxfId="4284" priority="4749" operator="greaterThanOrEqual">
      <formula>300</formula>
    </cfRule>
  </conditionalFormatting>
  <conditionalFormatting sqref="L1652 P1652">
    <cfRule type="cellIs" dxfId="4283" priority="4716" operator="greaterThanOrEqual">
      <formula>5</formula>
    </cfRule>
  </conditionalFormatting>
  <conditionalFormatting sqref="L1652">
    <cfRule type="cellIs" dxfId="4282" priority="4717" operator="greaterThanOrEqual">
      <formula>2</formula>
    </cfRule>
  </conditionalFormatting>
  <conditionalFormatting sqref="M1652">
    <cfRule type="cellIs" dxfId="4281" priority="4718" operator="greaterThanOrEqual">
      <formula>60</formula>
    </cfRule>
  </conditionalFormatting>
  <conditionalFormatting sqref="M1652">
    <cfRule type="cellIs" dxfId="4280" priority="4719" operator="greaterThanOrEqual">
      <formula>30</formula>
    </cfRule>
  </conditionalFormatting>
  <conditionalFormatting sqref="R1652">
    <cfRule type="cellIs" dxfId="4279" priority="4720" operator="greaterThanOrEqual">
      <formula>600</formula>
    </cfRule>
  </conditionalFormatting>
  <conditionalFormatting sqref="R1652">
    <cfRule type="cellIs" dxfId="4278" priority="4721" operator="greaterThanOrEqual">
      <formula>260</formula>
    </cfRule>
  </conditionalFormatting>
  <conditionalFormatting sqref="S1652">
    <cfRule type="containsText" dxfId="4277" priority="4722" operator="containsText" text="&lt;">
      <formula>NOT(ISERROR(SEARCH(("&lt;"),(S1652))))</formula>
    </cfRule>
  </conditionalFormatting>
  <conditionalFormatting sqref="S1652">
    <cfRule type="containsText" dxfId="4276" priority="4723" operator="containsText" text="ND">
      <formula>NOT(ISERROR(SEARCH(("ND"),(S1652))))</formula>
    </cfRule>
  </conditionalFormatting>
  <conditionalFormatting sqref="S1652 N1652">
    <cfRule type="cellIs" dxfId="4275" priority="4724" operator="greaterThanOrEqual">
      <formula>200</formula>
    </cfRule>
  </conditionalFormatting>
  <conditionalFormatting sqref="S1652">
    <cfRule type="cellIs" dxfId="4274" priority="4725" operator="greaterThanOrEqual">
      <formula>130</formula>
    </cfRule>
  </conditionalFormatting>
  <conditionalFormatting sqref="N1652">
    <cfRule type="cellIs" dxfId="4273" priority="4726" operator="greaterThanOrEqual">
      <formula>120</formula>
    </cfRule>
  </conditionalFormatting>
  <conditionalFormatting sqref="O1652:Q1652">
    <cfRule type="containsText" dxfId="4272" priority="4727" operator="containsText" text="ND">
      <formula>NOT(ISERROR(SEARCH(("ND"),(O1652))))</formula>
    </cfRule>
  </conditionalFormatting>
  <conditionalFormatting sqref="O1652">
    <cfRule type="cellIs" dxfId="4271" priority="4728" operator="greaterThanOrEqual">
      <formula>250</formula>
    </cfRule>
  </conditionalFormatting>
  <conditionalFormatting sqref="O1652">
    <cfRule type="cellIs" dxfId="4270" priority="4729" operator="greaterThanOrEqual">
      <formula>175</formula>
    </cfRule>
  </conditionalFormatting>
  <conditionalFormatting sqref="P1652">
    <cfRule type="cellIs" dxfId="4269" priority="4730" operator="greaterThanOrEqual">
      <formula>2.5</formula>
    </cfRule>
  </conditionalFormatting>
  <conditionalFormatting sqref="Q1652">
    <cfRule type="cellIs" dxfId="4268" priority="4731" operator="greaterThanOrEqual">
      <formula>500</formula>
    </cfRule>
  </conditionalFormatting>
  <conditionalFormatting sqref="Q1652">
    <cfRule type="cellIs" dxfId="4267" priority="4732" operator="greaterThanOrEqual">
      <formula>300</formula>
    </cfRule>
  </conditionalFormatting>
  <conditionalFormatting sqref="P1653 L1653">
    <cfRule type="cellIs" dxfId="4266" priority="4699" operator="greaterThanOrEqual">
      <formula>5</formula>
    </cfRule>
  </conditionalFormatting>
  <conditionalFormatting sqref="L1653">
    <cfRule type="cellIs" dxfId="4265" priority="4700" operator="greaterThanOrEqual">
      <formula>2</formula>
    </cfRule>
  </conditionalFormatting>
  <conditionalFormatting sqref="M1653">
    <cfRule type="cellIs" dxfId="4264" priority="4701" operator="greaterThanOrEqual">
      <formula>60</formula>
    </cfRule>
  </conditionalFormatting>
  <conditionalFormatting sqref="M1653">
    <cfRule type="cellIs" dxfId="4263" priority="4702" operator="greaterThanOrEqual">
      <formula>30</formula>
    </cfRule>
  </conditionalFormatting>
  <conditionalFormatting sqref="R1653">
    <cfRule type="cellIs" dxfId="4262" priority="4703" operator="greaterThanOrEqual">
      <formula>600</formula>
    </cfRule>
  </conditionalFormatting>
  <conditionalFormatting sqref="R1653">
    <cfRule type="cellIs" dxfId="4261" priority="4704" operator="greaterThanOrEqual">
      <formula>260</formula>
    </cfRule>
  </conditionalFormatting>
  <conditionalFormatting sqref="S1653">
    <cfRule type="containsText" dxfId="4260" priority="4705" operator="containsText" text="&lt;">
      <formula>NOT(ISERROR(SEARCH(("&lt;"),(S1653))))</formula>
    </cfRule>
  </conditionalFormatting>
  <conditionalFormatting sqref="S1653">
    <cfRule type="containsText" dxfId="4259" priority="4706" operator="containsText" text="ND">
      <formula>NOT(ISERROR(SEARCH(("ND"),(S1653))))</formula>
    </cfRule>
  </conditionalFormatting>
  <conditionalFormatting sqref="N1653 S1653">
    <cfRule type="cellIs" dxfId="4258" priority="4707" operator="greaterThanOrEqual">
      <formula>200</formula>
    </cfRule>
  </conditionalFormatting>
  <conditionalFormatting sqref="S1653">
    <cfRule type="cellIs" dxfId="4257" priority="4708" operator="greaterThanOrEqual">
      <formula>130</formula>
    </cfRule>
  </conditionalFormatting>
  <conditionalFormatting sqref="N1653">
    <cfRule type="cellIs" dxfId="4256" priority="4709" operator="greaterThanOrEqual">
      <formula>120</formula>
    </cfRule>
  </conditionalFormatting>
  <conditionalFormatting sqref="O1653:Q1653">
    <cfRule type="containsText" dxfId="4255" priority="4710" operator="containsText" text="ND">
      <formula>NOT(ISERROR(SEARCH(("ND"),(O1653))))</formula>
    </cfRule>
  </conditionalFormatting>
  <conditionalFormatting sqref="O1653">
    <cfRule type="cellIs" dxfId="4254" priority="4711" operator="greaterThanOrEqual">
      <formula>250</formula>
    </cfRule>
  </conditionalFormatting>
  <conditionalFormatting sqref="O1653">
    <cfRule type="cellIs" dxfId="4253" priority="4712" operator="greaterThanOrEqual">
      <formula>175</formula>
    </cfRule>
  </conditionalFormatting>
  <conditionalFormatting sqref="P1653">
    <cfRule type="cellIs" dxfId="4252" priority="4713" operator="greaterThanOrEqual">
      <formula>2.5</formula>
    </cfRule>
  </conditionalFormatting>
  <conditionalFormatting sqref="Q1653">
    <cfRule type="cellIs" dxfId="4251" priority="4714" operator="greaterThanOrEqual">
      <formula>500</formula>
    </cfRule>
  </conditionalFormatting>
  <conditionalFormatting sqref="Q1653">
    <cfRule type="cellIs" dxfId="4250" priority="4715" operator="greaterThanOrEqual">
      <formula>300</formula>
    </cfRule>
  </conditionalFormatting>
  <conditionalFormatting sqref="L2240:L2245 P2240:P2245">
    <cfRule type="cellIs" dxfId="4249" priority="4682" operator="greaterThanOrEqual">
      <formula>5</formula>
    </cfRule>
  </conditionalFormatting>
  <conditionalFormatting sqref="L2240:L2245">
    <cfRule type="cellIs" dxfId="4248" priority="4683" operator="greaterThanOrEqual">
      <formula>2</formula>
    </cfRule>
  </conditionalFormatting>
  <conditionalFormatting sqref="M2240:M2245">
    <cfRule type="cellIs" dxfId="4247" priority="4684" operator="greaterThanOrEqual">
      <formula>60</formula>
    </cfRule>
  </conditionalFormatting>
  <conditionalFormatting sqref="M2240:M2245">
    <cfRule type="cellIs" dxfId="4246" priority="4685" operator="greaterThanOrEqual">
      <formula>30</formula>
    </cfRule>
  </conditionalFormatting>
  <conditionalFormatting sqref="R2240:R2245">
    <cfRule type="cellIs" dxfId="4245" priority="4686" operator="greaterThanOrEqual">
      <formula>600</formula>
    </cfRule>
  </conditionalFormatting>
  <conditionalFormatting sqref="R2240:R2245">
    <cfRule type="cellIs" dxfId="4244" priority="4687" operator="greaterThanOrEqual">
      <formula>260</formula>
    </cfRule>
  </conditionalFormatting>
  <conditionalFormatting sqref="S2240:S2245">
    <cfRule type="containsText" dxfId="4243" priority="4688" operator="containsText" text="&lt;">
      <formula>NOT(ISERROR(SEARCH(("&lt;"),(S2240))))</formula>
    </cfRule>
  </conditionalFormatting>
  <conditionalFormatting sqref="S2240:S2245">
    <cfRule type="containsText" dxfId="4242" priority="4689" operator="containsText" text="ND">
      <formula>NOT(ISERROR(SEARCH(("ND"),(S2240))))</formula>
    </cfRule>
  </conditionalFormatting>
  <conditionalFormatting sqref="S2240:S2245 N2240:N2245">
    <cfRule type="cellIs" dxfId="4241" priority="4690" operator="greaterThanOrEqual">
      <formula>200</formula>
    </cfRule>
  </conditionalFormatting>
  <conditionalFormatting sqref="S2240:S2245">
    <cfRule type="cellIs" dxfId="4240" priority="4691" operator="greaterThanOrEqual">
      <formula>130</formula>
    </cfRule>
  </conditionalFormatting>
  <conditionalFormatting sqref="N2240:N2245">
    <cfRule type="cellIs" dxfId="4239" priority="4692" operator="greaterThanOrEqual">
      <formula>120</formula>
    </cfRule>
  </conditionalFormatting>
  <conditionalFormatting sqref="O2240:Q2245">
    <cfRule type="containsText" dxfId="4238" priority="4693" operator="containsText" text="ND">
      <formula>NOT(ISERROR(SEARCH(("ND"),(O2240))))</formula>
    </cfRule>
  </conditionalFormatting>
  <conditionalFormatting sqref="O2240:O2245">
    <cfRule type="cellIs" dxfId="4237" priority="4694" operator="greaterThanOrEqual">
      <formula>250</formula>
    </cfRule>
  </conditionalFormatting>
  <conditionalFormatting sqref="O2240:O2245">
    <cfRule type="cellIs" dxfId="4236" priority="4695" operator="greaterThanOrEqual">
      <formula>175</formula>
    </cfRule>
  </conditionalFormatting>
  <conditionalFormatting sqref="P2240:P2245">
    <cfRule type="cellIs" dxfId="4235" priority="4696" operator="greaterThanOrEqual">
      <formula>2.5</formula>
    </cfRule>
  </conditionalFormatting>
  <conditionalFormatting sqref="Q2240:Q2245">
    <cfRule type="cellIs" dxfId="4234" priority="4697" operator="greaterThanOrEqual">
      <formula>500</formula>
    </cfRule>
  </conditionalFormatting>
  <conditionalFormatting sqref="Q2240:Q2245">
    <cfRule type="cellIs" dxfId="4233" priority="4698" operator="greaterThanOrEqual">
      <formula>300</formula>
    </cfRule>
  </conditionalFormatting>
  <conditionalFormatting sqref="P2246 L2246">
    <cfRule type="cellIs" dxfId="4232" priority="4665" operator="greaterThanOrEqual">
      <formula>5</formula>
    </cfRule>
  </conditionalFormatting>
  <conditionalFormatting sqref="L2246">
    <cfRule type="cellIs" dxfId="4231" priority="4666" operator="greaterThanOrEqual">
      <formula>2</formula>
    </cfRule>
  </conditionalFormatting>
  <conditionalFormatting sqref="M2246">
    <cfRule type="cellIs" dxfId="4230" priority="4667" operator="greaterThanOrEqual">
      <formula>60</formula>
    </cfRule>
  </conditionalFormatting>
  <conditionalFormatting sqref="M2246">
    <cfRule type="cellIs" dxfId="4229" priority="4668" operator="greaterThanOrEqual">
      <formula>30</formula>
    </cfRule>
  </conditionalFormatting>
  <conditionalFormatting sqref="R2246">
    <cfRule type="cellIs" dxfId="4228" priority="4669" operator="greaterThanOrEqual">
      <formula>600</formula>
    </cfRule>
  </conditionalFormatting>
  <conditionalFormatting sqref="R2246">
    <cfRule type="cellIs" dxfId="4227" priority="4670" operator="greaterThanOrEqual">
      <formula>260</formula>
    </cfRule>
  </conditionalFormatting>
  <conditionalFormatting sqref="S2246">
    <cfRule type="containsText" dxfId="4226" priority="4671" operator="containsText" text="&lt;">
      <formula>NOT(ISERROR(SEARCH(("&lt;"),(S2246))))</formula>
    </cfRule>
  </conditionalFormatting>
  <conditionalFormatting sqref="S2246">
    <cfRule type="containsText" dxfId="4225" priority="4672" operator="containsText" text="ND">
      <formula>NOT(ISERROR(SEARCH(("ND"),(S2246))))</formula>
    </cfRule>
  </conditionalFormatting>
  <conditionalFormatting sqref="N2246 S2246">
    <cfRule type="cellIs" dxfId="4224" priority="4673" operator="greaterThanOrEqual">
      <formula>200</formula>
    </cfRule>
  </conditionalFormatting>
  <conditionalFormatting sqref="S2246">
    <cfRule type="cellIs" dxfId="4223" priority="4674" operator="greaterThanOrEqual">
      <formula>130</formula>
    </cfRule>
  </conditionalFormatting>
  <conditionalFormatting sqref="N2246">
    <cfRule type="cellIs" dxfId="4222" priority="4675" operator="greaterThanOrEqual">
      <formula>120</formula>
    </cfRule>
  </conditionalFormatting>
  <conditionalFormatting sqref="O2246:Q2246">
    <cfRule type="containsText" dxfId="4221" priority="4676" operator="containsText" text="ND">
      <formula>NOT(ISERROR(SEARCH(("ND"),(O2246))))</formula>
    </cfRule>
  </conditionalFormatting>
  <conditionalFormatting sqref="O2246">
    <cfRule type="cellIs" dxfId="4220" priority="4677" operator="greaterThanOrEqual">
      <formula>250</formula>
    </cfRule>
  </conditionalFormatting>
  <conditionalFormatting sqref="O2246">
    <cfRule type="cellIs" dxfId="4219" priority="4678" operator="greaterThanOrEqual">
      <formula>175</formula>
    </cfRule>
  </conditionalFormatting>
  <conditionalFormatting sqref="P2246">
    <cfRule type="cellIs" dxfId="4218" priority="4679" operator="greaterThanOrEqual">
      <formula>2.5</formula>
    </cfRule>
  </conditionalFormatting>
  <conditionalFormatting sqref="Q2246">
    <cfRule type="cellIs" dxfId="4217" priority="4680" operator="greaterThanOrEqual">
      <formula>500</formula>
    </cfRule>
  </conditionalFormatting>
  <conditionalFormatting sqref="Q2246">
    <cfRule type="cellIs" dxfId="4216" priority="4681" operator="greaterThanOrEqual">
      <formula>300</formula>
    </cfRule>
  </conditionalFormatting>
  <conditionalFormatting sqref="L2357">
    <cfRule type="cellIs" dxfId="4215" priority="4649" operator="greaterThanOrEqual">
      <formula>5</formula>
    </cfRule>
  </conditionalFormatting>
  <conditionalFormatting sqref="L2357">
    <cfRule type="cellIs" dxfId="4214" priority="4650" operator="greaterThanOrEqual">
      <formula>2</formula>
    </cfRule>
  </conditionalFormatting>
  <conditionalFormatting sqref="M2357">
    <cfRule type="cellIs" dxfId="4213" priority="4651" operator="greaterThanOrEqual">
      <formula>60</formula>
    </cfRule>
  </conditionalFormatting>
  <conditionalFormatting sqref="M2357">
    <cfRule type="cellIs" dxfId="4212" priority="4652" operator="greaterThanOrEqual">
      <formula>30</formula>
    </cfRule>
  </conditionalFormatting>
  <conditionalFormatting sqref="R2357">
    <cfRule type="cellIs" dxfId="4211" priority="4653" operator="greaterThanOrEqual">
      <formula>600</formula>
    </cfRule>
  </conditionalFormatting>
  <conditionalFormatting sqref="R2357">
    <cfRule type="cellIs" dxfId="4210" priority="4654" operator="greaterThanOrEqual">
      <formula>260</formula>
    </cfRule>
  </conditionalFormatting>
  <conditionalFormatting sqref="S2357">
    <cfRule type="containsText" dxfId="4209" priority="4655" operator="containsText" text="&lt;">
      <formula>NOT(ISERROR(SEARCH(("&lt;"),(S2357))))</formula>
    </cfRule>
  </conditionalFormatting>
  <conditionalFormatting sqref="S2357">
    <cfRule type="containsText" dxfId="4208" priority="4656" operator="containsText" text="ND">
      <formula>NOT(ISERROR(SEARCH(("ND"),(S2357))))</formula>
    </cfRule>
  </conditionalFormatting>
  <conditionalFormatting sqref="S2357 N2357">
    <cfRule type="cellIs" dxfId="4207" priority="4657" operator="greaterThanOrEqual">
      <formula>200</formula>
    </cfRule>
  </conditionalFormatting>
  <conditionalFormatting sqref="S2357">
    <cfRule type="cellIs" dxfId="4206" priority="4658" operator="greaterThanOrEqual">
      <formula>130</formula>
    </cfRule>
  </conditionalFormatting>
  <conditionalFormatting sqref="N2357">
    <cfRule type="cellIs" dxfId="4205" priority="4659" operator="greaterThanOrEqual">
      <formula>120</formula>
    </cfRule>
  </conditionalFormatting>
  <conditionalFormatting sqref="O2357 Q2357">
    <cfRule type="containsText" dxfId="4204" priority="4660" operator="containsText" text="ND">
      <formula>NOT(ISERROR(SEARCH(("ND"),(O2357))))</formula>
    </cfRule>
  </conditionalFormatting>
  <conditionalFormatting sqref="O2357">
    <cfRule type="cellIs" dxfId="4203" priority="4661" operator="greaterThanOrEqual">
      <formula>250</formula>
    </cfRule>
  </conditionalFormatting>
  <conditionalFormatting sqref="O2357">
    <cfRule type="cellIs" dxfId="4202" priority="4662" operator="greaterThanOrEqual">
      <formula>175</formula>
    </cfRule>
  </conditionalFormatting>
  <conditionalFormatting sqref="Q2357">
    <cfRule type="cellIs" dxfId="4201" priority="4663" operator="greaterThanOrEqual">
      <formula>500</formula>
    </cfRule>
  </conditionalFormatting>
  <conditionalFormatting sqref="Q2357">
    <cfRule type="cellIs" dxfId="4200" priority="4664" operator="greaterThanOrEqual">
      <formula>300</formula>
    </cfRule>
  </conditionalFormatting>
  <conditionalFormatting sqref="P2357">
    <cfRule type="containsText" dxfId="4199" priority="4646" operator="containsText" text="ND">
      <formula>NOT(ISERROR(SEARCH(("ND"),(P2357))))</formula>
    </cfRule>
  </conditionalFormatting>
  <conditionalFormatting sqref="P2357">
    <cfRule type="cellIs" dxfId="4198" priority="4647" operator="greaterThanOrEqual">
      <formula>5</formula>
    </cfRule>
  </conditionalFormatting>
  <conditionalFormatting sqref="P2357">
    <cfRule type="cellIs" dxfId="4197" priority="4648" operator="greaterThanOrEqual">
      <formula>2.5</formula>
    </cfRule>
  </conditionalFormatting>
  <conditionalFormatting sqref="L2250">
    <cfRule type="cellIs" dxfId="4196" priority="4642" operator="greaterThanOrEqual">
      <formula>5</formula>
    </cfRule>
  </conditionalFormatting>
  <conditionalFormatting sqref="L2250">
    <cfRule type="cellIs" dxfId="4195" priority="4643" operator="greaterThanOrEqual">
      <formula>2</formula>
    </cfRule>
  </conditionalFormatting>
  <conditionalFormatting sqref="M2250">
    <cfRule type="cellIs" dxfId="4194" priority="4644" operator="greaterThanOrEqual">
      <formula>60</formula>
    </cfRule>
  </conditionalFormatting>
  <conditionalFormatting sqref="M2250">
    <cfRule type="cellIs" dxfId="4193" priority="4645" operator="greaterThanOrEqual">
      <formula>30</formula>
    </cfRule>
  </conditionalFormatting>
  <conditionalFormatting sqref="R2250">
    <cfRule type="cellIs" dxfId="4192" priority="4625" operator="greaterThanOrEqual">
      <formula>600</formula>
    </cfRule>
  </conditionalFormatting>
  <conditionalFormatting sqref="R2250">
    <cfRule type="cellIs" dxfId="4191" priority="4626" operator="greaterThanOrEqual">
      <formula>260</formula>
    </cfRule>
  </conditionalFormatting>
  <conditionalFormatting sqref="S2250">
    <cfRule type="containsText" dxfId="4190" priority="4627" operator="containsText" text="&lt;">
      <formula>NOT(ISERROR(SEARCH(("&lt;"),(S2250))))</formula>
    </cfRule>
  </conditionalFormatting>
  <conditionalFormatting sqref="S2250">
    <cfRule type="containsText" dxfId="4189" priority="4628" operator="containsText" text="ND">
      <formula>NOT(ISERROR(SEARCH(("ND"),(S2250))))</formula>
    </cfRule>
  </conditionalFormatting>
  <conditionalFormatting sqref="S2250">
    <cfRule type="cellIs" dxfId="4188" priority="4629" operator="greaterThanOrEqual">
      <formula>200</formula>
    </cfRule>
  </conditionalFormatting>
  <conditionalFormatting sqref="S2250">
    <cfRule type="cellIs" dxfId="4187" priority="4630" operator="greaterThanOrEqual">
      <formula>130</formula>
    </cfRule>
  </conditionalFormatting>
  <conditionalFormatting sqref="N2250">
    <cfRule type="cellIs" dxfId="4186" priority="4631" operator="greaterThanOrEqual">
      <formula>200</formula>
    </cfRule>
  </conditionalFormatting>
  <conditionalFormatting sqref="N2250">
    <cfRule type="cellIs" dxfId="4185" priority="4632" operator="greaterThanOrEqual">
      <formula>120</formula>
    </cfRule>
  </conditionalFormatting>
  <conditionalFormatting sqref="O2250">
    <cfRule type="containsText" dxfId="4184" priority="4633" operator="containsText" text="ND">
      <formula>NOT(ISERROR(SEARCH(("ND"),(O2250))))</formula>
    </cfRule>
  </conditionalFormatting>
  <conditionalFormatting sqref="O2250">
    <cfRule type="cellIs" dxfId="4183" priority="4634" operator="greaterThanOrEqual">
      <formula>250</formula>
    </cfRule>
  </conditionalFormatting>
  <conditionalFormatting sqref="O2250">
    <cfRule type="cellIs" dxfId="4182" priority="4635" operator="greaterThanOrEqual">
      <formula>175</formula>
    </cfRule>
  </conditionalFormatting>
  <conditionalFormatting sqref="P2250">
    <cfRule type="containsText" dxfId="4181" priority="4636" operator="containsText" text="ND">
      <formula>NOT(ISERROR(SEARCH(("ND"),(P2250))))</formula>
    </cfRule>
  </conditionalFormatting>
  <conditionalFormatting sqref="P2250">
    <cfRule type="cellIs" dxfId="4180" priority="4637" operator="greaterThanOrEqual">
      <formula>5</formula>
    </cfRule>
  </conditionalFormatting>
  <conditionalFormatting sqref="P2250">
    <cfRule type="cellIs" dxfId="4179" priority="4638" operator="greaterThanOrEqual">
      <formula>2.5</formula>
    </cfRule>
  </conditionalFormatting>
  <conditionalFormatting sqref="Q2250">
    <cfRule type="containsText" dxfId="4178" priority="4639" operator="containsText" text="ND">
      <formula>NOT(ISERROR(SEARCH(("ND"),(Q2250))))</formula>
    </cfRule>
  </conditionalFormatting>
  <conditionalFormatting sqref="Q2250">
    <cfRule type="cellIs" dxfId="4177" priority="4640" operator="greaterThanOrEqual">
      <formula>500</formula>
    </cfRule>
  </conditionalFormatting>
  <conditionalFormatting sqref="Q2250">
    <cfRule type="cellIs" dxfId="4176" priority="4641" operator="greaterThanOrEqual">
      <formula>300</formula>
    </cfRule>
  </conditionalFormatting>
  <conditionalFormatting sqref="L1868">
    <cfRule type="cellIs" dxfId="4175" priority="4621" operator="greaterThanOrEqual">
      <formula>5</formula>
    </cfRule>
  </conditionalFormatting>
  <conditionalFormatting sqref="L1868">
    <cfRule type="cellIs" dxfId="4174" priority="4622" operator="greaterThanOrEqual">
      <formula>2</formula>
    </cfRule>
  </conditionalFormatting>
  <conditionalFormatting sqref="M1868">
    <cfRule type="cellIs" dxfId="4173" priority="4623" operator="greaterThanOrEqual">
      <formula>60</formula>
    </cfRule>
  </conditionalFormatting>
  <conditionalFormatting sqref="M1868">
    <cfRule type="cellIs" dxfId="4172" priority="4624" operator="greaterThanOrEqual">
      <formula>30</formula>
    </cfRule>
  </conditionalFormatting>
  <conditionalFormatting sqref="R1868">
    <cfRule type="cellIs" dxfId="4171" priority="4604" operator="greaterThanOrEqual">
      <formula>600</formula>
    </cfRule>
  </conditionalFormatting>
  <conditionalFormatting sqref="R1868">
    <cfRule type="cellIs" dxfId="4170" priority="4605" operator="greaterThanOrEqual">
      <formula>260</formula>
    </cfRule>
  </conditionalFormatting>
  <conditionalFormatting sqref="S1868">
    <cfRule type="containsText" dxfId="4169" priority="4606" operator="containsText" text="&lt;">
      <formula>NOT(ISERROR(SEARCH(("&lt;"),(S1868))))</formula>
    </cfRule>
  </conditionalFormatting>
  <conditionalFormatting sqref="S1868">
    <cfRule type="containsText" dxfId="4168" priority="4607" operator="containsText" text="ND">
      <formula>NOT(ISERROR(SEARCH(("ND"),(S1868))))</formula>
    </cfRule>
  </conditionalFormatting>
  <conditionalFormatting sqref="S1868">
    <cfRule type="cellIs" dxfId="4167" priority="4608" operator="greaterThanOrEqual">
      <formula>200</formula>
    </cfRule>
  </conditionalFormatting>
  <conditionalFormatting sqref="S1868">
    <cfRule type="cellIs" dxfId="4166" priority="4609" operator="greaterThanOrEqual">
      <formula>130</formula>
    </cfRule>
  </conditionalFormatting>
  <conditionalFormatting sqref="N1868">
    <cfRule type="cellIs" dxfId="4165" priority="4610" operator="greaterThanOrEqual">
      <formula>200</formula>
    </cfRule>
  </conditionalFormatting>
  <conditionalFormatting sqref="N1868">
    <cfRule type="cellIs" dxfId="4164" priority="4611" operator="greaterThanOrEqual">
      <formula>120</formula>
    </cfRule>
  </conditionalFormatting>
  <conditionalFormatting sqref="O1868">
    <cfRule type="containsText" dxfId="4163" priority="4612" operator="containsText" text="ND">
      <formula>NOT(ISERROR(SEARCH(("ND"),(O1868))))</formula>
    </cfRule>
  </conditionalFormatting>
  <conditionalFormatting sqref="O1868">
    <cfRule type="cellIs" dxfId="4162" priority="4613" operator="greaterThanOrEqual">
      <formula>250</formula>
    </cfRule>
  </conditionalFormatting>
  <conditionalFormatting sqref="O1868">
    <cfRule type="cellIs" dxfId="4161" priority="4614" operator="greaterThanOrEqual">
      <formula>175</formula>
    </cfRule>
  </conditionalFormatting>
  <conditionalFormatting sqref="P1868">
    <cfRule type="containsText" dxfId="4160" priority="4615" operator="containsText" text="ND">
      <formula>NOT(ISERROR(SEARCH(("ND"),(P1868))))</formula>
    </cfRule>
  </conditionalFormatting>
  <conditionalFormatting sqref="P1868">
    <cfRule type="cellIs" dxfId="4159" priority="4616" operator="greaterThanOrEqual">
      <formula>5</formula>
    </cfRule>
  </conditionalFormatting>
  <conditionalFormatting sqref="P1868">
    <cfRule type="cellIs" dxfId="4158" priority="4617" operator="greaterThanOrEqual">
      <formula>2.5</formula>
    </cfRule>
  </conditionalFormatting>
  <conditionalFormatting sqref="Q1868">
    <cfRule type="containsText" dxfId="4157" priority="4618" operator="containsText" text="ND">
      <formula>NOT(ISERROR(SEARCH(("ND"),(Q1868))))</formula>
    </cfRule>
  </conditionalFormatting>
  <conditionalFormatting sqref="Q1868">
    <cfRule type="cellIs" dxfId="4156" priority="4619" operator="greaterThanOrEqual">
      <formula>500</formula>
    </cfRule>
  </conditionalFormatting>
  <conditionalFormatting sqref="Q1868">
    <cfRule type="cellIs" dxfId="4155" priority="4620" operator="greaterThanOrEqual">
      <formula>300</formula>
    </cfRule>
  </conditionalFormatting>
  <conditionalFormatting sqref="R1869">
    <cfRule type="cellIs" dxfId="4154" priority="4587" operator="greaterThanOrEqual">
      <formula>600</formula>
    </cfRule>
  </conditionalFormatting>
  <conditionalFormatting sqref="R1869">
    <cfRule type="cellIs" dxfId="4153" priority="4588" operator="greaterThanOrEqual">
      <formula>260</formula>
    </cfRule>
  </conditionalFormatting>
  <conditionalFormatting sqref="S1869">
    <cfRule type="containsText" dxfId="4152" priority="4589" operator="containsText" text="&lt;">
      <formula>NOT(ISERROR(SEARCH(("&lt;"),(S1869))))</formula>
    </cfRule>
  </conditionalFormatting>
  <conditionalFormatting sqref="S1869">
    <cfRule type="containsText" dxfId="4151" priority="4590" operator="containsText" text="ND">
      <formula>NOT(ISERROR(SEARCH(("ND"),(S1869))))</formula>
    </cfRule>
  </conditionalFormatting>
  <conditionalFormatting sqref="S1869">
    <cfRule type="cellIs" dxfId="4150" priority="4591" operator="greaterThanOrEqual">
      <formula>200</formula>
    </cfRule>
  </conditionalFormatting>
  <conditionalFormatting sqref="S1869">
    <cfRule type="cellIs" dxfId="4149" priority="4592" operator="greaterThanOrEqual">
      <formula>130</formula>
    </cfRule>
  </conditionalFormatting>
  <conditionalFormatting sqref="N1869">
    <cfRule type="cellIs" dxfId="4148" priority="4593" operator="greaterThanOrEqual">
      <formula>200</formula>
    </cfRule>
  </conditionalFormatting>
  <conditionalFormatting sqref="N1869">
    <cfRule type="cellIs" dxfId="4147" priority="4594" operator="greaterThanOrEqual">
      <formula>120</formula>
    </cfRule>
  </conditionalFormatting>
  <conditionalFormatting sqref="O1869">
    <cfRule type="containsText" dxfId="4146" priority="4595" operator="containsText" text="ND">
      <formula>NOT(ISERROR(SEARCH(("ND"),(O1869))))</formula>
    </cfRule>
  </conditionalFormatting>
  <conditionalFormatting sqref="O1869">
    <cfRule type="cellIs" dxfId="4145" priority="4596" operator="greaterThanOrEqual">
      <formula>250</formula>
    </cfRule>
  </conditionalFormatting>
  <conditionalFormatting sqref="O1869">
    <cfRule type="cellIs" dxfId="4144" priority="4597" operator="greaterThanOrEqual">
      <formula>175</formula>
    </cfRule>
  </conditionalFormatting>
  <conditionalFormatting sqref="P1869">
    <cfRule type="containsText" dxfId="4143" priority="4598" operator="containsText" text="ND">
      <formula>NOT(ISERROR(SEARCH(("ND"),(P1869))))</formula>
    </cfRule>
  </conditionalFormatting>
  <conditionalFormatting sqref="P1869">
    <cfRule type="cellIs" dxfId="4142" priority="4599" operator="greaterThanOrEqual">
      <formula>5</formula>
    </cfRule>
  </conditionalFormatting>
  <conditionalFormatting sqref="P1869">
    <cfRule type="cellIs" dxfId="4141" priority="4600" operator="greaterThanOrEqual">
      <formula>2.5</formula>
    </cfRule>
  </conditionalFormatting>
  <conditionalFormatting sqref="Q1869">
    <cfRule type="containsText" dxfId="4140" priority="4601" operator="containsText" text="ND">
      <formula>NOT(ISERROR(SEARCH(("ND"),(Q1869))))</formula>
    </cfRule>
  </conditionalFormatting>
  <conditionalFormatting sqref="Q1869">
    <cfRule type="cellIs" dxfId="4139" priority="4602" operator="greaterThanOrEqual">
      <formula>500</formula>
    </cfRule>
  </conditionalFormatting>
  <conditionalFormatting sqref="Q1869">
    <cfRule type="cellIs" dxfId="4138" priority="4603" operator="greaterThanOrEqual">
      <formula>300</formula>
    </cfRule>
  </conditionalFormatting>
  <conditionalFormatting sqref="L1869">
    <cfRule type="cellIs" dxfId="4137" priority="4583" operator="greaterThanOrEqual">
      <formula>5</formula>
    </cfRule>
  </conditionalFormatting>
  <conditionalFormatting sqref="L1869">
    <cfRule type="cellIs" dxfId="4136" priority="4584" operator="greaterThanOrEqual">
      <formula>2</formula>
    </cfRule>
  </conditionalFormatting>
  <conditionalFormatting sqref="M1869">
    <cfRule type="cellIs" dxfId="4135" priority="4585" operator="greaterThanOrEqual">
      <formula>60</formula>
    </cfRule>
  </conditionalFormatting>
  <conditionalFormatting sqref="M1869">
    <cfRule type="cellIs" dxfId="4134" priority="4586" operator="greaterThanOrEqual">
      <formula>30</formula>
    </cfRule>
  </conditionalFormatting>
  <conditionalFormatting sqref="P1735">
    <cfRule type="cellIs" dxfId="4133" priority="4580" operator="greaterThanOrEqual">
      <formula>5</formula>
    </cfRule>
  </conditionalFormatting>
  <conditionalFormatting sqref="N1735">
    <cfRule type="cellIs" dxfId="4132" priority="4581" operator="greaterThanOrEqual">
      <formula>200</formula>
    </cfRule>
  </conditionalFormatting>
  <conditionalFormatting sqref="O1735:Q1735">
    <cfRule type="containsText" dxfId="4131" priority="4582" operator="containsText" text="ND">
      <formula>NOT(ISERROR(SEARCH(("ND"),(O1735))))</formula>
    </cfRule>
  </conditionalFormatting>
  <conditionalFormatting sqref="L1872:L1873 P1872:P1873">
    <cfRule type="cellIs" dxfId="4130" priority="4563" operator="greaterThanOrEqual">
      <formula>5</formula>
    </cfRule>
  </conditionalFormatting>
  <conditionalFormatting sqref="L1872:L1873">
    <cfRule type="cellIs" dxfId="4129" priority="4564" operator="greaterThanOrEqual">
      <formula>2</formula>
    </cfRule>
  </conditionalFormatting>
  <conditionalFormatting sqref="M1872:M1873">
    <cfRule type="cellIs" dxfId="4128" priority="4565" operator="greaterThanOrEqual">
      <formula>60</formula>
    </cfRule>
  </conditionalFormatting>
  <conditionalFormatting sqref="M1872:M1873">
    <cfRule type="cellIs" dxfId="4127" priority="4566" operator="greaterThanOrEqual">
      <formula>30</formula>
    </cfRule>
  </conditionalFormatting>
  <conditionalFormatting sqref="R1872:R1873">
    <cfRule type="cellIs" dxfId="4126" priority="4567" operator="greaterThanOrEqual">
      <formula>600</formula>
    </cfRule>
  </conditionalFormatting>
  <conditionalFormatting sqref="R1872:R1873">
    <cfRule type="cellIs" dxfId="4125" priority="4568" operator="greaterThanOrEqual">
      <formula>260</formula>
    </cfRule>
  </conditionalFormatting>
  <conditionalFormatting sqref="S1872:S1873">
    <cfRule type="containsText" dxfId="4124" priority="4569" operator="containsText" text="&lt;">
      <formula>NOT(ISERROR(SEARCH(("&lt;"),(S1872))))</formula>
    </cfRule>
  </conditionalFormatting>
  <conditionalFormatting sqref="S1872:S1873">
    <cfRule type="containsText" dxfId="4123" priority="4570" operator="containsText" text="ND">
      <formula>NOT(ISERROR(SEARCH(("ND"),(S1872))))</formula>
    </cfRule>
  </conditionalFormatting>
  <conditionalFormatting sqref="S1872:S1873 N1872:N1873">
    <cfRule type="cellIs" dxfId="4122" priority="4571" operator="greaterThanOrEqual">
      <formula>200</formula>
    </cfRule>
  </conditionalFormatting>
  <conditionalFormatting sqref="S1872:S1873">
    <cfRule type="cellIs" dxfId="4121" priority="4572" operator="greaterThanOrEqual">
      <formula>130</formula>
    </cfRule>
  </conditionalFormatting>
  <conditionalFormatting sqref="N1872:N1873">
    <cfRule type="cellIs" dxfId="4120" priority="4573" operator="greaterThanOrEqual">
      <formula>120</formula>
    </cfRule>
  </conditionalFormatting>
  <conditionalFormatting sqref="O1872:Q1873">
    <cfRule type="containsText" dxfId="4119" priority="4574" operator="containsText" text="ND">
      <formula>NOT(ISERROR(SEARCH(("ND"),(O1872))))</formula>
    </cfRule>
  </conditionalFormatting>
  <conditionalFormatting sqref="O1872:O1873">
    <cfRule type="cellIs" dxfId="4118" priority="4575" operator="greaterThanOrEqual">
      <formula>250</formula>
    </cfRule>
  </conditionalFormatting>
  <conditionalFormatting sqref="O1872:O1873">
    <cfRule type="cellIs" dxfId="4117" priority="4576" operator="greaterThanOrEqual">
      <formula>175</formula>
    </cfRule>
  </conditionalFormatting>
  <conditionalFormatting sqref="P1872:P1873">
    <cfRule type="cellIs" dxfId="4116" priority="4577" operator="greaterThanOrEqual">
      <formula>2.5</formula>
    </cfRule>
  </conditionalFormatting>
  <conditionalFormatting sqref="Q1872:Q1873">
    <cfRule type="cellIs" dxfId="4115" priority="4578" operator="greaterThanOrEqual">
      <formula>500</formula>
    </cfRule>
  </conditionalFormatting>
  <conditionalFormatting sqref="Q1872:Q1873">
    <cfRule type="cellIs" dxfId="4114" priority="4579" operator="greaterThanOrEqual">
      <formula>300</formula>
    </cfRule>
  </conditionalFormatting>
  <conditionalFormatting sqref="P2256 L2256">
    <cfRule type="cellIs" dxfId="4113" priority="4546" operator="greaterThanOrEqual">
      <formula>5</formula>
    </cfRule>
  </conditionalFormatting>
  <conditionalFormatting sqref="L2256">
    <cfRule type="cellIs" dxfId="4112" priority="4547" operator="greaterThanOrEqual">
      <formula>2</formula>
    </cfRule>
  </conditionalFormatting>
  <conditionalFormatting sqref="M2256">
    <cfRule type="cellIs" dxfId="4111" priority="4548" operator="greaterThanOrEqual">
      <formula>60</formula>
    </cfRule>
  </conditionalFormatting>
  <conditionalFormatting sqref="M2256">
    <cfRule type="cellIs" dxfId="4110" priority="4549" operator="greaterThanOrEqual">
      <formula>30</formula>
    </cfRule>
  </conditionalFormatting>
  <conditionalFormatting sqref="R2256">
    <cfRule type="cellIs" dxfId="4109" priority="4550" operator="greaterThanOrEqual">
      <formula>600</formula>
    </cfRule>
  </conditionalFormatting>
  <conditionalFormatting sqref="R2256">
    <cfRule type="cellIs" dxfId="4108" priority="4551" operator="greaterThanOrEqual">
      <formula>260</formula>
    </cfRule>
  </conditionalFormatting>
  <conditionalFormatting sqref="S2256">
    <cfRule type="containsText" dxfId="4107" priority="4552" operator="containsText" text="&lt;">
      <formula>NOT(ISERROR(SEARCH(("&lt;"),(S2256))))</formula>
    </cfRule>
  </conditionalFormatting>
  <conditionalFormatting sqref="S2256">
    <cfRule type="containsText" dxfId="4106" priority="4553" operator="containsText" text="ND">
      <formula>NOT(ISERROR(SEARCH(("ND"),(S2256))))</formula>
    </cfRule>
  </conditionalFormatting>
  <conditionalFormatting sqref="N2256 S2256">
    <cfRule type="cellIs" dxfId="4105" priority="4554" operator="greaterThanOrEqual">
      <formula>200</formula>
    </cfRule>
  </conditionalFormatting>
  <conditionalFormatting sqref="S2256">
    <cfRule type="cellIs" dxfId="4104" priority="4555" operator="greaterThanOrEqual">
      <formula>130</formula>
    </cfRule>
  </conditionalFormatting>
  <conditionalFormatting sqref="N2256">
    <cfRule type="cellIs" dxfId="4103" priority="4556" operator="greaterThanOrEqual">
      <formula>120</formula>
    </cfRule>
  </conditionalFormatting>
  <conditionalFormatting sqref="O2256:Q2256">
    <cfRule type="containsText" dxfId="4102" priority="4557" operator="containsText" text="ND">
      <formula>NOT(ISERROR(SEARCH(("ND"),(O2256))))</formula>
    </cfRule>
  </conditionalFormatting>
  <conditionalFormatting sqref="O2256">
    <cfRule type="cellIs" dxfId="4101" priority="4558" operator="greaterThanOrEqual">
      <formula>250</formula>
    </cfRule>
  </conditionalFormatting>
  <conditionalFormatting sqref="O2256">
    <cfRule type="cellIs" dxfId="4100" priority="4559" operator="greaterThanOrEqual">
      <formula>175</formula>
    </cfRule>
  </conditionalFormatting>
  <conditionalFormatting sqref="P2256">
    <cfRule type="cellIs" dxfId="4099" priority="4560" operator="greaterThanOrEqual">
      <formula>2.5</formula>
    </cfRule>
  </conditionalFormatting>
  <conditionalFormatting sqref="Q2256">
    <cfRule type="cellIs" dxfId="4098" priority="4561" operator="greaterThanOrEqual">
      <formula>500</formula>
    </cfRule>
  </conditionalFormatting>
  <conditionalFormatting sqref="Q2256">
    <cfRule type="cellIs" dxfId="4097" priority="4562" operator="greaterThanOrEqual">
      <formula>300</formula>
    </cfRule>
  </conditionalFormatting>
  <conditionalFormatting sqref="L1880 P1880">
    <cfRule type="cellIs" dxfId="4096" priority="4529" operator="greaterThanOrEqual">
      <formula>5</formula>
    </cfRule>
  </conditionalFormatting>
  <conditionalFormatting sqref="L1880">
    <cfRule type="cellIs" dxfId="4095" priority="4530" operator="greaterThanOrEqual">
      <formula>2</formula>
    </cfRule>
  </conditionalFormatting>
  <conditionalFormatting sqref="M1880">
    <cfRule type="cellIs" dxfId="4094" priority="4531" operator="greaterThanOrEqual">
      <formula>60</formula>
    </cfRule>
  </conditionalFormatting>
  <conditionalFormatting sqref="M1880">
    <cfRule type="cellIs" dxfId="4093" priority="4532" operator="greaterThanOrEqual">
      <formula>30</formula>
    </cfRule>
  </conditionalFormatting>
  <conditionalFormatting sqref="R1880">
    <cfRule type="cellIs" dxfId="4092" priority="4533" operator="greaterThanOrEqual">
      <formula>600</formula>
    </cfRule>
  </conditionalFormatting>
  <conditionalFormatting sqref="R1880">
    <cfRule type="cellIs" dxfId="4091" priority="4534" operator="greaterThanOrEqual">
      <formula>260</formula>
    </cfRule>
  </conditionalFormatting>
  <conditionalFormatting sqref="S1880">
    <cfRule type="containsText" dxfId="4090" priority="4535" operator="containsText" text="&lt;">
      <formula>NOT(ISERROR(SEARCH(("&lt;"),(S1880))))</formula>
    </cfRule>
  </conditionalFormatting>
  <conditionalFormatting sqref="S1880">
    <cfRule type="containsText" dxfId="4089" priority="4536" operator="containsText" text="ND">
      <formula>NOT(ISERROR(SEARCH(("ND"),(S1880))))</formula>
    </cfRule>
  </conditionalFormatting>
  <conditionalFormatting sqref="S1880 N1880">
    <cfRule type="cellIs" dxfId="4088" priority="4537" operator="greaterThanOrEqual">
      <formula>200</formula>
    </cfRule>
  </conditionalFormatting>
  <conditionalFormatting sqref="S1880">
    <cfRule type="cellIs" dxfId="4087" priority="4538" operator="greaterThanOrEqual">
      <formula>130</formula>
    </cfRule>
  </conditionalFormatting>
  <conditionalFormatting sqref="N1880">
    <cfRule type="cellIs" dxfId="4086" priority="4539" operator="greaterThanOrEqual">
      <formula>120</formula>
    </cfRule>
  </conditionalFormatting>
  <conditionalFormatting sqref="O1880:Q1880">
    <cfRule type="containsText" dxfId="4085" priority="4540" operator="containsText" text="ND">
      <formula>NOT(ISERROR(SEARCH(("ND"),(O1880))))</formula>
    </cfRule>
  </conditionalFormatting>
  <conditionalFormatting sqref="O1880">
    <cfRule type="cellIs" dxfId="4084" priority="4541" operator="greaterThanOrEqual">
      <formula>250</formula>
    </cfRule>
  </conditionalFormatting>
  <conditionalFormatting sqref="O1880">
    <cfRule type="cellIs" dxfId="4083" priority="4542" operator="greaterThanOrEqual">
      <formula>175</formula>
    </cfRule>
  </conditionalFormatting>
  <conditionalFormatting sqref="P1880">
    <cfRule type="cellIs" dxfId="4082" priority="4543" operator="greaterThanOrEqual">
      <formula>2.5</formula>
    </cfRule>
  </conditionalFormatting>
  <conditionalFormatting sqref="Q1880">
    <cfRule type="cellIs" dxfId="4081" priority="4544" operator="greaterThanOrEqual">
      <formula>500</formula>
    </cfRule>
  </conditionalFormatting>
  <conditionalFormatting sqref="Q1880">
    <cfRule type="cellIs" dxfId="4080" priority="4545" operator="greaterThanOrEqual">
      <formula>300</formula>
    </cfRule>
  </conditionalFormatting>
  <conditionalFormatting sqref="P1738 L1738">
    <cfRule type="cellIs" dxfId="4079" priority="4512" operator="greaterThanOrEqual">
      <formula>5</formula>
    </cfRule>
  </conditionalFormatting>
  <conditionalFormatting sqref="L1738">
    <cfRule type="cellIs" dxfId="4078" priority="4513" operator="greaterThanOrEqual">
      <formula>2</formula>
    </cfRule>
  </conditionalFormatting>
  <conditionalFormatting sqref="M1738">
    <cfRule type="cellIs" dxfId="4077" priority="4514" operator="greaterThanOrEqual">
      <formula>60</formula>
    </cfRule>
  </conditionalFormatting>
  <conditionalFormatting sqref="M1738">
    <cfRule type="cellIs" dxfId="4076" priority="4515" operator="greaterThanOrEqual">
      <formula>30</formula>
    </cfRule>
  </conditionalFormatting>
  <conditionalFormatting sqref="R1738">
    <cfRule type="cellIs" dxfId="4075" priority="4516" operator="greaterThanOrEqual">
      <formula>600</formula>
    </cfRule>
  </conditionalFormatting>
  <conditionalFormatting sqref="R1738">
    <cfRule type="cellIs" dxfId="4074" priority="4517" operator="greaterThanOrEqual">
      <formula>260</formula>
    </cfRule>
  </conditionalFormatting>
  <conditionalFormatting sqref="S1738">
    <cfRule type="containsText" dxfId="4073" priority="4518" operator="containsText" text="&lt;">
      <formula>NOT(ISERROR(SEARCH(("&lt;"),(S1738))))</formula>
    </cfRule>
  </conditionalFormatting>
  <conditionalFormatting sqref="S1738">
    <cfRule type="containsText" dxfId="4072" priority="4519" operator="containsText" text="ND">
      <formula>NOT(ISERROR(SEARCH(("ND"),(S1738))))</formula>
    </cfRule>
  </conditionalFormatting>
  <conditionalFormatting sqref="N1738 S1738">
    <cfRule type="cellIs" dxfId="4071" priority="4520" operator="greaterThanOrEqual">
      <formula>200</formula>
    </cfRule>
  </conditionalFormatting>
  <conditionalFormatting sqref="S1738">
    <cfRule type="cellIs" dxfId="4070" priority="4521" operator="greaterThanOrEqual">
      <formula>130</formula>
    </cfRule>
  </conditionalFormatting>
  <conditionalFormatting sqref="N1738">
    <cfRule type="cellIs" dxfId="4069" priority="4522" operator="greaterThanOrEqual">
      <formula>120</formula>
    </cfRule>
  </conditionalFormatting>
  <conditionalFormatting sqref="O1738:Q1738">
    <cfRule type="containsText" dxfId="4068" priority="4523" operator="containsText" text="ND">
      <formula>NOT(ISERROR(SEARCH(("ND"),(O1738))))</formula>
    </cfRule>
  </conditionalFormatting>
  <conditionalFormatting sqref="O1738">
    <cfRule type="cellIs" dxfId="4067" priority="4524" operator="greaterThanOrEqual">
      <formula>250</formula>
    </cfRule>
  </conditionalFormatting>
  <conditionalFormatting sqref="O1738">
    <cfRule type="cellIs" dxfId="4066" priority="4525" operator="greaterThanOrEqual">
      <formula>175</formula>
    </cfRule>
  </conditionalFormatting>
  <conditionalFormatting sqref="P1738">
    <cfRule type="cellIs" dxfId="4065" priority="4526" operator="greaterThanOrEqual">
      <formula>2.5</formula>
    </cfRule>
  </conditionalFormatting>
  <conditionalFormatting sqref="Q1738">
    <cfRule type="cellIs" dxfId="4064" priority="4527" operator="greaterThanOrEqual">
      <formula>500</formula>
    </cfRule>
  </conditionalFormatting>
  <conditionalFormatting sqref="Q1738">
    <cfRule type="cellIs" dxfId="4063" priority="4528" operator="greaterThanOrEqual">
      <formula>300</formula>
    </cfRule>
  </conditionalFormatting>
  <conditionalFormatting sqref="P1881 L1881">
    <cfRule type="cellIs" dxfId="4062" priority="4495" operator="greaterThanOrEqual">
      <formula>5</formula>
    </cfRule>
  </conditionalFormatting>
  <conditionalFormatting sqref="L1881">
    <cfRule type="cellIs" dxfId="4061" priority="4496" operator="greaterThanOrEqual">
      <formula>2</formula>
    </cfRule>
  </conditionalFormatting>
  <conditionalFormatting sqref="M1881">
    <cfRule type="cellIs" dxfId="4060" priority="4497" operator="greaterThanOrEqual">
      <formula>60</formula>
    </cfRule>
  </conditionalFormatting>
  <conditionalFormatting sqref="M1881">
    <cfRule type="cellIs" dxfId="4059" priority="4498" operator="greaterThanOrEqual">
      <formula>30</formula>
    </cfRule>
  </conditionalFormatting>
  <conditionalFormatting sqref="R1881">
    <cfRule type="cellIs" dxfId="4058" priority="4499" operator="greaterThanOrEqual">
      <formula>600</formula>
    </cfRule>
  </conditionalFormatting>
  <conditionalFormatting sqref="R1881">
    <cfRule type="cellIs" dxfId="4057" priority="4500" operator="greaterThanOrEqual">
      <formula>260</formula>
    </cfRule>
  </conditionalFormatting>
  <conditionalFormatting sqref="S1881">
    <cfRule type="containsText" dxfId="4056" priority="4501" operator="containsText" text="&lt;">
      <formula>NOT(ISERROR(SEARCH(("&lt;"),(S1881))))</formula>
    </cfRule>
  </conditionalFormatting>
  <conditionalFormatting sqref="S1881">
    <cfRule type="containsText" dxfId="4055" priority="4502" operator="containsText" text="ND">
      <formula>NOT(ISERROR(SEARCH(("ND"),(S1881))))</formula>
    </cfRule>
  </conditionalFormatting>
  <conditionalFormatting sqref="N1881 S1881">
    <cfRule type="cellIs" dxfId="4054" priority="4503" operator="greaterThanOrEqual">
      <formula>200</formula>
    </cfRule>
  </conditionalFormatting>
  <conditionalFormatting sqref="S1881">
    <cfRule type="cellIs" dxfId="4053" priority="4504" operator="greaterThanOrEqual">
      <formula>130</formula>
    </cfRule>
  </conditionalFormatting>
  <conditionalFormatting sqref="N1881">
    <cfRule type="cellIs" dxfId="4052" priority="4505" operator="greaterThanOrEqual">
      <formula>120</formula>
    </cfRule>
  </conditionalFormatting>
  <conditionalFormatting sqref="O1881:Q1881">
    <cfRule type="containsText" dxfId="4051" priority="4506" operator="containsText" text="ND">
      <formula>NOT(ISERROR(SEARCH(("ND"),(O1881))))</formula>
    </cfRule>
  </conditionalFormatting>
  <conditionalFormatting sqref="O1881">
    <cfRule type="cellIs" dxfId="4050" priority="4507" operator="greaterThanOrEqual">
      <formula>250</formula>
    </cfRule>
  </conditionalFormatting>
  <conditionalFormatting sqref="O1881">
    <cfRule type="cellIs" dxfId="4049" priority="4508" operator="greaterThanOrEqual">
      <formula>175</formula>
    </cfRule>
  </conditionalFormatting>
  <conditionalFormatting sqref="P1881">
    <cfRule type="cellIs" dxfId="4048" priority="4509" operator="greaterThanOrEqual">
      <formula>2.5</formula>
    </cfRule>
  </conditionalFormatting>
  <conditionalFormatting sqref="Q1881">
    <cfRule type="cellIs" dxfId="4047" priority="4510" operator="greaterThanOrEqual">
      <formula>500</formula>
    </cfRule>
  </conditionalFormatting>
  <conditionalFormatting sqref="Q1881">
    <cfRule type="cellIs" dxfId="4046" priority="4511" operator="greaterThanOrEqual">
      <formula>300</formula>
    </cfRule>
  </conditionalFormatting>
  <conditionalFormatting sqref="L1882:L1883 P1882:P1883">
    <cfRule type="cellIs" dxfId="4045" priority="4478" operator="greaterThanOrEqual">
      <formula>5</formula>
    </cfRule>
  </conditionalFormatting>
  <conditionalFormatting sqref="L1882:L1883">
    <cfRule type="cellIs" dxfId="4044" priority="4479" operator="greaterThanOrEqual">
      <formula>2</formula>
    </cfRule>
  </conditionalFormatting>
  <conditionalFormatting sqref="M1882:M1883">
    <cfRule type="cellIs" dxfId="4043" priority="4480" operator="greaterThanOrEqual">
      <formula>60</formula>
    </cfRule>
  </conditionalFormatting>
  <conditionalFormatting sqref="M1882:M1883">
    <cfRule type="cellIs" dxfId="4042" priority="4481" operator="greaterThanOrEqual">
      <formula>30</formula>
    </cfRule>
  </conditionalFormatting>
  <conditionalFormatting sqref="R1882:R1883">
    <cfRule type="cellIs" dxfId="4041" priority="4482" operator="greaterThanOrEqual">
      <formula>600</formula>
    </cfRule>
  </conditionalFormatting>
  <conditionalFormatting sqref="R1882:R1883">
    <cfRule type="cellIs" dxfId="4040" priority="4483" operator="greaterThanOrEqual">
      <formula>260</formula>
    </cfRule>
  </conditionalFormatting>
  <conditionalFormatting sqref="S1882:S1883">
    <cfRule type="containsText" dxfId="4039" priority="4484" operator="containsText" text="&lt;">
      <formula>NOT(ISERROR(SEARCH(("&lt;"),(S1882))))</formula>
    </cfRule>
  </conditionalFormatting>
  <conditionalFormatting sqref="S1882:S1883">
    <cfRule type="containsText" dxfId="4038" priority="4485" operator="containsText" text="ND">
      <formula>NOT(ISERROR(SEARCH(("ND"),(S1882))))</formula>
    </cfRule>
  </conditionalFormatting>
  <conditionalFormatting sqref="S1882:S1883 N1882:N1883">
    <cfRule type="cellIs" dxfId="4037" priority="4486" operator="greaterThanOrEqual">
      <formula>200</formula>
    </cfRule>
  </conditionalFormatting>
  <conditionalFormatting sqref="S1882:S1883">
    <cfRule type="cellIs" dxfId="4036" priority="4487" operator="greaterThanOrEqual">
      <formula>130</formula>
    </cfRule>
  </conditionalFormatting>
  <conditionalFormatting sqref="N1882:N1883">
    <cfRule type="cellIs" dxfId="4035" priority="4488" operator="greaterThanOrEqual">
      <formula>120</formula>
    </cfRule>
  </conditionalFormatting>
  <conditionalFormatting sqref="O1882:Q1883">
    <cfRule type="containsText" dxfId="4034" priority="4489" operator="containsText" text="ND">
      <formula>NOT(ISERROR(SEARCH(("ND"),(O1882))))</formula>
    </cfRule>
  </conditionalFormatting>
  <conditionalFormatting sqref="O1882:O1883">
    <cfRule type="cellIs" dxfId="4033" priority="4490" operator="greaterThanOrEqual">
      <formula>250</formula>
    </cfRule>
  </conditionalFormatting>
  <conditionalFormatting sqref="O1882:O1883">
    <cfRule type="cellIs" dxfId="4032" priority="4491" operator="greaterThanOrEqual">
      <formula>175</formula>
    </cfRule>
  </conditionalFormatting>
  <conditionalFormatting sqref="P1882:P1883">
    <cfRule type="cellIs" dxfId="4031" priority="4492" operator="greaterThanOrEqual">
      <formula>2.5</formula>
    </cfRule>
  </conditionalFormatting>
  <conditionalFormatting sqref="Q1882:Q1883">
    <cfRule type="cellIs" dxfId="4030" priority="4493" operator="greaterThanOrEqual">
      <formula>500</formula>
    </cfRule>
  </conditionalFormatting>
  <conditionalFormatting sqref="Q1882:Q1883">
    <cfRule type="cellIs" dxfId="4029" priority="4494" operator="greaterThanOrEqual">
      <formula>300</formula>
    </cfRule>
  </conditionalFormatting>
  <conditionalFormatting sqref="L1884:L1885 P1884:P1885">
    <cfRule type="cellIs" dxfId="4028" priority="4461" operator="greaterThanOrEqual">
      <formula>5</formula>
    </cfRule>
  </conditionalFormatting>
  <conditionalFormatting sqref="L1884:L1885">
    <cfRule type="cellIs" dxfId="4027" priority="4462" operator="greaterThanOrEqual">
      <formula>2</formula>
    </cfRule>
  </conditionalFormatting>
  <conditionalFormatting sqref="M1884:M1885">
    <cfRule type="cellIs" dxfId="4026" priority="4463" operator="greaterThanOrEqual">
      <formula>60</formula>
    </cfRule>
  </conditionalFormatting>
  <conditionalFormatting sqref="M1884:M1885">
    <cfRule type="cellIs" dxfId="4025" priority="4464" operator="greaterThanOrEqual">
      <formula>30</formula>
    </cfRule>
  </conditionalFormatting>
  <conditionalFormatting sqref="R1884:R1885">
    <cfRule type="cellIs" dxfId="4024" priority="4465" operator="greaterThanOrEqual">
      <formula>600</formula>
    </cfRule>
  </conditionalFormatting>
  <conditionalFormatting sqref="R1884:R1885">
    <cfRule type="cellIs" dxfId="4023" priority="4466" operator="greaterThanOrEqual">
      <formula>260</formula>
    </cfRule>
  </conditionalFormatting>
  <conditionalFormatting sqref="S1884:S1885">
    <cfRule type="containsText" dxfId="4022" priority="4467" operator="containsText" text="&lt;">
      <formula>NOT(ISERROR(SEARCH(("&lt;"),(S1884))))</formula>
    </cfRule>
  </conditionalFormatting>
  <conditionalFormatting sqref="S1884:S1885">
    <cfRule type="containsText" dxfId="4021" priority="4468" operator="containsText" text="ND">
      <formula>NOT(ISERROR(SEARCH(("ND"),(S1884))))</formula>
    </cfRule>
  </conditionalFormatting>
  <conditionalFormatting sqref="S1884:S1885 N1884:N1885">
    <cfRule type="cellIs" dxfId="4020" priority="4469" operator="greaterThanOrEqual">
      <formula>200</formula>
    </cfRule>
  </conditionalFormatting>
  <conditionalFormatting sqref="S1884:S1885">
    <cfRule type="cellIs" dxfId="4019" priority="4470" operator="greaterThanOrEqual">
      <formula>130</formula>
    </cfRule>
  </conditionalFormatting>
  <conditionalFormatting sqref="N1884:N1885">
    <cfRule type="cellIs" dxfId="4018" priority="4471" operator="greaterThanOrEqual">
      <formula>120</formula>
    </cfRule>
  </conditionalFormatting>
  <conditionalFormatting sqref="O1884:Q1885">
    <cfRule type="containsText" dxfId="4017" priority="4472" operator="containsText" text="ND">
      <formula>NOT(ISERROR(SEARCH(("ND"),(O1884))))</formula>
    </cfRule>
  </conditionalFormatting>
  <conditionalFormatting sqref="O1884:O1885">
    <cfRule type="cellIs" dxfId="4016" priority="4473" operator="greaterThanOrEqual">
      <formula>250</formula>
    </cfRule>
  </conditionalFormatting>
  <conditionalFormatting sqref="O1884:O1885">
    <cfRule type="cellIs" dxfId="4015" priority="4474" operator="greaterThanOrEqual">
      <formula>175</formula>
    </cfRule>
  </conditionalFormatting>
  <conditionalFormatting sqref="P1884:P1885">
    <cfRule type="cellIs" dxfId="4014" priority="4475" operator="greaterThanOrEqual">
      <formula>2.5</formula>
    </cfRule>
  </conditionalFormatting>
  <conditionalFormatting sqref="Q1884:Q1885">
    <cfRule type="cellIs" dxfId="4013" priority="4476" operator="greaterThanOrEqual">
      <formula>500</formula>
    </cfRule>
  </conditionalFormatting>
  <conditionalFormatting sqref="Q1884:Q1885">
    <cfRule type="cellIs" dxfId="4012" priority="4477" operator="greaterThanOrEqual">
      <formula>300</formula>
    </cfRule>
  </conditionalFormatting>
  <conditionalFormatting sqref="P1886:P1887 L1886:L1887">
    <cfRule type="cellIs" dxfId="4011" priority="4444" operator="greaterThanOrEqual">
      <formula>5</formula>
    </cfRule>
  </conditionalFormatting>
  <conditionalFormatting sqref="L1886:L1887">
    <cfRule type="cellIs" dxfId="4010" priority="4445" operator="greaterThanOrEqual">
      <formula>2</formula>
    </cfRule>
  </conditionalFormatting>
  <conditionalFormatting sqref="M1886:M1887">
    <cfRule type="cellIs" dxfId="4009" priority="4446" operator="greaterThanOrEqual">
      <formula>60</formula>
    </cfRule>
  </conditionalFormatting>
  <conditionalFormatting sqref="M1886:M1887">
    <cfRule type="cellIs" dxfId="4008" priority="4447" operator="greaterThanOrEqual">
      <formula>30</formula>
    </cfRule>
  </conditionalFormatting>
  <conditionalFormatting sqref="R1886:R1887">
    <cfRule type="cellIs" dxfId="4007" priority="4448" operator="greaterThanOrEqual">
      <formula>600</formula>
    </cfRule>
  </conditionalFormatting>
  <conditionalFormatting sqref="R1886:R1887">
    <cfRule type="cellIs" dxfId="4006" priority="4449" operator="greaterThanOrEqual">
      <formula>260</formula>
    </cfRule>
  </conditionalFormatting>
  <conditionalFormatting sqref="S1886:S1887">
    <cfRule type="containsText" dxfId="4005" priority="4450" operator="containsText" text="&lt;">
      <formula>NOT(ISERROR(SEARCH(("&lt;"),(S1886))))</formula>
    </cfRule>
  </conditionalFormatting>
  <conditionalFormatting sqref="S1886:S1887">
    <cfRule type="containsText" dxfId="4004" priority="4451" operator="containsText" text="ND">
      <formula>NOT(ISERROR(SEARCH(("ND"),(S1886))))</formula>
    </cfRule>
  </conditionalFormatting>
  <conditionalFormatting sqref="N1886:N1887 S1886:S1887">
    <cfRule type="cellIs" dxfId="4003" priority="4452" operator="greaterThanOrEqual">
      <formula>200</formula>
    </cfRule>
  </conditionalFormatting>
  <conditionalFormatting sqref="S1886:S1887">
    <cfRule type="cellIs" dxfId="4002" priority="4453" operator="greaterThanOrEqual">
      <formula>130</formula>
    </cfRule>
  </conditionalFormatting>
  <conditionalFormatting sqref="N1886:N1887">
    <cfRule type="cellIs" dxfId="4001" priority="4454" operator="greaterThanOrEqual">
      <formula>120</formula>
    </cfRule>
  </conditionalFormatting>
  <conditionalFormatting sqref="O1886:Q1887">
    <cfRule type="containsText" dxfId="4000" priority="4455" operator="containsText" text="ND">
      <formula>NOT(ISERROR(SEARCH(("ND"),(O1886))))</formula>
    </cfRule>
  </conditionalFormatting>
  <conditionalFormatting sqref="O1886:O1887">
    <cfRule type="cellIs" dxfId="3999" priority="4456" operator="greaterThanOrEqual">
      <formula>250</formula>
    </cfRule>
  </conditionalFormatting>
  <conditionalFormatting sqref="O1886:O1887">
    <cfRule type="cellIs" dxfId="3998" priority="4457" operator="greaterThanOrEqual">
      <formula>175</formula>
    </cfRule>
  </conditionalFormatting>
  <conditionalFormatting sqref="P1886:P1887">
    <cfRule type="cellIs" dxfId="3997" priority="4458" operator="greaterThanOrEqual">
      <formula>2.5</formula>
    </cfRule>
  </conditionalFormatting>
  <conditionalFormatting sqref="Q1886:Q1887">
    <cfRule type="cellIs" dxfId="3996" priority="4459" operator="greaterThanOrEqual">
      <formula>500</formula>
    </cfRule>
  </conditionalFormatting>
  <conditionalFormatting sqref="Q1886:Q1887">
    <cfRule type="cellIs" dxfId="3995" priority="4460" operator="greaterThanOrEqual">
      <formula>300</formula>
    </cfRule>
  </conditionalFormatting>
  <conditionalFormatting sqref="L1888 P1888">
    <cfRule type="cellIs" dxfId="3994" priority="4427" operator="greaterThanOrEqual">
      <formula>5</formula>
    </cfRule>
  </conditionalFormatting>
  <conditionalFormatting sqref="L1888">
    <cfRule type="cellIs" dxfId="3993" priority="4428" operator="greaterThanOrEqual">
      <formula>2</formula>
    </cfRule>
  </conditionalFormatting>
  <conditionalFormatting sqref="M1888">
    <cfRule type="cellIs" dxfId="3992" priority="4429" operator="greaterThanOrEqual">
      <formula>60</formula>
    </cfRule>
  </conditionalFormatting>
  <conditionalFormatting sqref="M1888">
    <cfRule type="cellIs" dxfId="3991" priority="4430" operator="greaterThanOrEqual">
      <formula>30</formula>
    </cfRule>
  </conditionalFormatting>
  <conditionalFormatting sqref="R1888">
    <cfRule type="cellIs" dxfId="3990" priority="4431" operator="greaterThanOrEqual">
      <formula>600</formula>
    </cfRule>
  </conditionalFormatting>
  <conditionalFormatting sqref="R1888">
    <cfRule type="cellIs" dxfId="3989" priority="4432" operator="greaterThanOrEqual">
      <formula>260</formula>
    </cfRule>
  </conditionalFormatting>
  <conditionalFormatting sqref="S1888">
    <cfRule type="containsText" dxfId="3988" priority="4433" operator="containsText" text="&lt;">
      <formula>NOT(ISERROR(SEARCH(("&lt;"),(S1888))))</formula>
    </cfRule>
  </conditionalFormatting>
  <conditionalFormatting sqref="S1888">
    <cfRule type="containsText" dxfId="3987" priority="4434" operator="containsText" text="ND">
      <formula>NOT(ISERROR(SEARCH(("ND"),(S1888))))</formula>
    </cfRule>
  </conditionalFormatting>
  <conditionalFormatting sqref="S1888 N1888">
    <cfRule type="cellIs" dxfId="3986" priority="4435" operator="greaterThanOrEqual">
      <formula>200</formula>
    </cfRule>
  </conditionalFormatting>
  <conditionalFormatting sqref="S1888">
    <cfRule type="cellIs" dxfId="3985" priority="4436" operator="greaterThanOrEqual">
      <formula>130</formula>
    </cfRule>
  </conditionalFormatting>
  <conditionalFormatting sqref="N1888">
    <cfRule type="cellIs" dxfId="3984" priority="4437" operator="greaterThanOrEqual">
      <formula>120</formula>
    </cfRule>
  </conditionalFormatting>
  <conditionalFormatting sqref="O1888:Q1888">
    <cfRule type="containsText" dxfId="3983" priority="4438" operator="containsText" text="ND">
      <formula>NOT(ISERROR(SEARCH(("ND"),(O1888))))</formula>
    </cfRule>
  </conditionalFormatting>
  <conditionalFormatting sqref="O1888">
    <cfRule type="cellIs" dxfId="3982" priority="4439" operator="greaterThanOrEqual">
      <formula>250</formula>
    </cfRule>
  </conditionalFormatting>
  <conditionalFormatting sqref="O1888">
    <cfRule type="cellIs" dxfId="3981" priority="4440" operator="greaterThanOrEqual">
      <formula>175</formula>
    </cfRule>
  </conditionalFormatting>
  <conditionalFormatting sqref="P1888">
    <cfRule type="cellIs" dxfId="3980" priority="4441" operator="greaterThanOrEqual">
      <formula>2.5</formula>
    </cfRule>
  </conditionalFormatting>
  <conditionalFormatting sqref="Q1888">
    <cfRule type="cellIs" dxfId="3979" priority="4442" operator="greaterThanOrEqual">
      <formula>500</formula>
    </cfRule>
  </conditionalFormatting>
  <conditionalFormatting sqref="Q1888">
    <cfRule type="cellIs" dxfId="3978" priority="4443" operator="greaterThanOrEqual">
      <formula>300</formula>
    </cfRule>
  </conditionalFormatting>
  <conditionalFormatting sqref="L1739 P1739">
    <cfRule type="cellIs" dxfId="3977" priority="4410" operator="greaterThanOrEqual">
      <formula>5</formula>
    </cfRule>
  </conditionalFormatting>
  <conditionalFormatting sqref="L1739">
    <cfRule type="cellIs" dxfId="3976" priority="4411" operator="greaterThanOrEqual">
      <formula>2</formula>
    </cfRule>
  </conditionalFormatting>
  <conditionalFormatting sqref="M1739">
    <cfRule type="cellIs" dxfId="3975" priority="4412" operator="greaterThanOrEqual">
      <formula>60</formula>
    </cfRule>
  </conditionalFormatting>
  <conditionalFormatting sqref="M1739">
    <cfRule type="cellIs" dxfId="3974" priority="4413" operator="greaterThanOrEqual">
      <formula>30</formula>
    </cfRule>
  </conditionalFormatting>
  <conditionalFormatting sqref="R1739">
    <cfRule type="cellIs" dxfId="3973" priority="4414" operator="greaterThanOrEqual">
      <formula>600</formula>
    </cfRule>
  </conditionalFormatting>
  <conditionalFormatting sqref="R1739">
    <cfRule type="cellIs" dxfId="3972" priority="4415" operator="greaterThanOrEqual">
      <formula>260</formula>
    </cfRule>
  </conditionalFormatting>
  <conditionalFormatting sqref="S1739">
    <cfRule type="containsText" dxfId="3971" priority="4416" operator="containsText" text="&lt;">
      <formula>NOT(ISERROR(SEARCH(("&lt;"),(S1739))))</formula>
    </cfRule>
  </conditionalFormatting>
  <conditionalFormatting sqref="S1739">
    <cfRule type="containsText" dxfId="3970" priority="4417" operator="containsText" text="ND">
      <formula>NOT(ISERROR(SEARCH(("ND"),(S1739))))</formula>
    </cfRule>
  </conditionalFormatting>
  <conditionalFormatting sqref="S1739 N1739">
    <cfRule type="cellIs" dxfId="3969" priority="4418" operator="greaterThanOrEqual">
      <formula>200</formula>
    </cfRule>
  </conditionalFormatting>
  <conditionalFormatting sqref="S1739">
    <cfRule type="cellIs" dxfId="3968" priority="4419" operator="greaterThanOrEqual">
      <formula>130</formula>
    </cfRule>
  </conditionalFormatting>
  <conditionalFormatting sqref="N1739">
    <cfRule type="cellIs" dxfId="3967" priority="4420" operator="greaterThanOrEqual">
      <formula>120</formula>
    </cfRule>
  </conditionalFormatting>
  <conditionalFormatting sqref="O1739:Q1739">
    <cfRule type="containsText" dxfId="3966" priority="4421" operator="containsText" text="ND">
      <formula>NOT(ISERROR(SEARCH(("ND"),(O1739))))</formula>
    </cfRule>
  </conditionalFormatting>
  <conditionalFormatting sqref="O1739">
    <cfRule type="cellIs" dxfId="3965" priority="4422" operator="greaterThanOrEqual">
      <formula>250</formula>
    </cfRule>
  </conditionalFormatting>
  <conditionalFormatting sqref="O1739">
    <cfRule type="cellIs" dxfId="3964" priority="4423" operator="greaterThanOrEqual">
      <formula>175</formula>
    </cfRule>
  </conditionalFormatting>
  <conditionalFormatting sqref="P1739">
    <cfRule type="cellIs" dxfId="3963" priority="4424" operator="greaterThanOrEqual">
      <formula>2.5</formula>
    </cfRule>
  </conditionalFormatting>
  <conditionalFormatting sqref="Q1739">
    <cfRule type="cellIs" dxfId="3962" priority="4425" operator="greaterThanOrEqual">
      <formula>500</formula>
    </cfRule>
  </conditionalFormatting>
  <conditionalFormatting sqref="Q1739">
    <cfRule type="cellIs" dxfId="3961" priority="4426" operator="greaterThanOrEqual">
      <formula>300</formula>
    </cfRule>
  </conditionalFormatting>
  <conditionalFormatting sqref="L1889:L1890 P1889:P1890">
    <cfRule type="cellIs" dxfId="3960" priority="4393" operator="greaterThanOrEqual">
      <formula>5</formula>
    </cfRule>
  </conditionalFormatting>
  <conditionalFormatting sqref="L1889:L1890">
    <cfRule type="cellIs" dxfId="3959" priority="4394" operator="greaterThanOrEqual">
      <formula>2</formula>
    </cfRule>
  </conditionalFormatting>
  <conditionalFormatting sqref="M1889:M1890">
    <cfRule type="cellIs" dxfId="3958" priority="4395" operator="greaterThanOrEqual">
      <formula>60</formula>
    </cfRule>
  </conditionalFormatting>
  <conditionalFormatting sqref="M1889:M1890">
    <cfRule type="cellIs" dxfId="3957" priority="4396" operator="greaterThanOrEqual">
      <formula>30</formula>
    </cfRule>
  </conditionalFormatting>
  <conditionalFormatting sqref="R1889:R1890">
    <cfRule type="cellIs" dxfId="3956" priority="4397" operator="greaterThanOrEqual">
      <formula>600</formula>
    </cfRule>
  </conditionalFormatting>
  <conditionalFormatting sqref="R1889:R1890">
    <cfRule type="cellIs" dxfId="3955" priority="4398" operator="greaterThanOrEqual">
      <formula>260</formula>
    </cfRule>
  </conditionalFormatting>
  <conditionalFormatting sqref="S1889:S1890">
    <cfRule type="containsText" dxfId="3954" priority="4399" operator="containsText" text="&lt;">
      <formula>NOT(ISERROR(SEARCH(("&lt;"),(S1889))))</formula>
    </cfRule>
  </conditionalFormatting>
  <conditionalFormatting sqref="S1889:S1890">
    <cfRule type="containsText" dxfId="3953" priority="4400" operator="containsText" text="ND">
      <formula>NOT(ISERROR(SEARCH(("ND"),(S1889))))</formula>
    </cfRule>
  </conditionalFormatting>
  <conditionalFormatting sqref="S1889:S1890 N1889:N1890">
    <cfRule type="cellIs" dxfId="3952" priority="4401" operator="greaterThanOrEqual">
      <formula>200</formula>
    </cfRule>
  </conditionalFormatting>
  <conditionalFormatting sqref="S1889:S1890">
    <cfRule type="cellIs" dxfId="3951" priority="4402" operator="greaterThanOrEqual">
      <formula>130</formula>
    </cfRule>
  </conditionalFormatting>
  <conditionalFormatting sqref="N1889:N1890">
    <cfRule type="cellIs" dxfId="3950" priority="4403" operator="greaterThanOrEqual">
      <formula>120</formula>
    </cfRule>
  </conditionalFormatting>
  <conditionalFormatting sqref="O1889:Q1890">
    <cfRule type="containsText" dxfId="3949" priority="4404" operator="containsText" text="ND">
      <formula>NOT(ISERROR(SEARCH(("ND"),(O1889))))</formula>
    </cfRule>
  </conditionalFormatting>
  <conditionalFormatting sqref="O1889:O1890">
    <cfRule type="cellIs" dxfId="3948" priority="4405" operator="greaterThanOrEqual">
      <formula>250</formula>
    </cfRule>
  </conditionalFormatting>
  <conditionalFormatting sqref="O1889:O1890">
    <cfRule type="cellIs" dxfId="3947" priority="4406" operator="greaterThanOrEqual">
      <formula>175</formula>
    </cfRule>
  </conditionalFormatting>
  <conditionalFormatting sqref="P1889:P1890">
    <cfRule type="cellIs" dxfId="3946" priority="4407" operator="greaterThanOrEqual">
      <formula>2.5</formula>
    </cfRule>
  </conditionalFormatting>
  <conditionalFormatting sqref="Q1889:Q1890">
    <cfRule type="cellIs" dxfId="3945" priority="4408" operator="greaterThanOrEqual">
      <formula>500</formula>
    </cfRule>
  </conditionalFormatting>
  <conditionalFormatting sqref="Q1889:Q1890">
    <cfRule type="cellIs" dxfId="3944" priority="4409" operator="greaterThanOrEqual">
      <formula>300</formula>
    </cfRule>
  </conditionalFormatting>
  <conditionalFormatting sqref="L1891 P1891">
    <cfRule type="cellIs" dxfId="3943" priority="4376" operator="greaterThanOrEqual">
      <formula>5</formula>
    </cfRule>
  </conditionalFormatting>
  <conditionalFormatting sqref="L1891">
    <cfRule type="cellIs" dxfId="3942" priority="4377" operator="greaterThanOrEqual">
      <formula>2</formula>
    </cfRule>
  </conditionalFormatting>
  <conditionalFormatting sqref="M1891">
    <cfRule type="cellIs" dxfId="3941" priority="4378" operator="greaterThanOrEqual">
      <formula>60</formula>
    </cfRule>
  </conditionalFormatting>
  <conditionalFormatting sqref="M1891">
    <cfRule type="cellIs" dxfId="3940" priority="4379" operator="greaterThanOrEqual">
      <formula>30</formula>
    </cfRule>
  </conditionalFormatting>
  <conditionalFormatting sqref="R1891">
    <cfRule type="cellIs" dxfId="3939" priority="4380" operator="greaterThanOrEqual">
      <formula>600</formula>
    </cfRule>
  </conditionalFormatting>
  <conditionalFormatting sqref="R1891">
    <cfRule type="cellIs" dxfId="3938" priority="4381" operator="greaterThanOrEqual">
      <formula>260</formula>
    </cfRule>
  </conditionalFormatting>
  <conditionalFormatting sqref="S1891">
    <cfRule type="containsText" dxfId="3937" priority="4382" operator="containsText" text="&lt;">
      <formula>NOT(ISERROR(SEARCH(("&lt;"),(S1891))))</formula>
    </cfRule>
  </conditionalFormatting>
  <conditionalFormatting sqref="S1891">
    <cfRule type="containsText" dxfId="3936" priority="4383" operator="containsText" text="ND">
      <formula>NOT(ISERROR(SEARCH(("ND"),(S1891))))</formula>
    </cfRule>
  </conditionalFormatting>
  <conditionalFormatting sqref="S1891 N1891">
    <cfRule type="cellIs" dxfId="3935" priority="4384" operator="greaterThanOrEqual">
      <formula>200</formula>
    </cfRule>
  </conditionalFormatting>
  <conditionalFormatting sqref="S1891">
    <cfRule type="cellIs" dxfId="3934" priority="4385" operator="greaterThanOrEqual">
      <formula>130</formula>
    </cfRule>
  </conditionalFormatting>
  <conditionalFormatting sqref="N1891">
    <cfRule type="cellIs" dxfId="3933" priority="4386" operator="greaterThanOrEqual">
      <formula>120</formula>
    </cfRule>
  </conditionalFormatting>
  <conditionalFormatting sqref="O1891:Q1891">
    <cfRule type="containsText" dxfId="3932" priority="4387" operator="containsText" text="ND">
      <formula>NOT(ISERROR(SEARCH(("ND"),(O1891))))</formula>
    </cfRule>
  </conditionalFormatting>
  <conditionalFormatting sqref="O1891">
    <cfRule type="cellIs" dxfId="3931" priority="4388" operator="greaterThanOrEqual">
      <formula>250</formula>
    </cfRule>
  </conditionalFormatting>
  <conditionalFormatting sqref="O1891">
    <cfRule type="cellIs" dxfId="3930" priority="4389" operator="greaterThanOrEqual">
      <formula>175</formula>
    </cfRule>
  </conditionalFormatting>
  <conditionalFormatting sqref="P1891">
    <cfRule type="cellIs" dxfId="3929" priority="4390" operator="greaterThanOrEqual">
      <formula>2.5</formula>
    </cfRule>
  </conditionalFormatting>
  <conditionalFormatting sqref="Q1891">
    <cfRule type="cellIs" dxfId="3928" priority="4391" operator="greaterThanOrEqual">
      <formula>500</formula>
    </cfRule>
  </conditionalFormatting>
  <conditionalFormatting sqref="Q1891">
    <cfRule type="cellIs" dxfId="3927" priority="4392" operator="greaterThanOrEqual">
      <formula>300</formula>
    </cfRule>
  </conditionalFormatting>
  <conditionalFormatting sqref="L1893 P1893">
    <cfRule type="cellIs" dxfId="3926" priority="4359" operator="greaterThanOrEqual">
      <formula>5</formula>
    </cfRule>
  </conditionalFormatting>
  <conditionalFormatting sqref="L1893">
    <cfRule type="cellIs" dxfId="3925" priority="4360" operator="greaterThanOrEqual">
      <formula>2</formula>
    </cfRule>
  </conditionalFormatting>
  <conditionalFormatting sqref="M1893">
    <cfRule type="cellIs" dxfId="3924" priority="4361" operator="greaterThanOrEqual">
      <formula>60</formula>
    </cfRule>
  </conditionalFormatting>
  <conditionalFormatting sqref="M1893">
    <cfRule type="cellIs" dxfId="3923" priority="4362" operator="greaterThanOrEqual">
      <formula>30</formula>
    </cfRule>
  </conditionalFormatting>
  <conditionalFormatting sqref="R1893">
    <cfRule type="cellIs" dxfId="3922" priority="4363" operator="greaterThanOrEqual">
      <formula>600</formula>
    </cfRule>
  </conditionalFormatting>
  <conditionalFormatting sqref="R1893">
    <cfRule type="cellIs" dxfId="3921" priority="4364" operator="greaterThanOrEqual">
      <formula>260</formula>
    </cfRule>
  </conditionalFormatting>
  <conditionalFormatting sqref="S1893">
    <cfRule type="containsText" dxfId="3920" priority="4365" operator="containsText" text="&lt;">
      <formula>NOT(ISERROR(SEARCH(("&lt;"),(S1893))))</formula>
    </cfRule>
  </conditionalFormatting>
  <conditionalFormatting sqref="S1893">
    <cfRule type="containsText" dxfId="3919" priority="4366" operator="containsText" text="ND">
      <formula>NOT(ISERROR(SEARCH(("ND"),(S1893))))</formula>
    </cfRule>
  </conditionalFormatting>
  <conditionalFormatting sqref="S1893 N1893">
    <cfRule type="cellIs" dxfId="3918" priority="4367" operator="greaterThanOrEqual">
      <formula>200</formula>
    </cfRule>
  </conditionalFormatting>
  <conditionalFormatting sqref="S1893">
    <cfRule type="cellIs" dxfId="3917" priority="4368" operator="greaterThanOrEqual">
      <formula>130</formula>
    </cfRule>
  </conditionalFormatting>
  <conditionalFormatting sqref="N1893">
    <cfRule type="cellIs" dxfId="3916" priority="4369" operator="greaterThanOrEqual">
      <formula>120</formula>
    </cfRule>
  </conditionalFormatting>
  <conditionalFormatting sqref="O1893:Q1893">
    <cfRule type="containsText" dxfId="3915" priority="4370" operator="containsText" text="ND">
      <formula>NOT(ISERROR(SEARCH(("ND"),(O1893))))</formula>
    </cfRule>
  </conditionalFormatting>
  <conditionalFormatting sqref="O1893">
    <cfRule type="cellIs" dxfId="3914" priority="4371" operator="greaterThanOrEqual">
      <formula>250</formula>
    </cfRule>
  </conditionalFormatting>
  <conditionalFormatting sqref="O1893">
    <cfRule type="cellIs" dxfId="3913" priority="4372" operator="greaterThanOrEqual">
      <formula>175</formula>
    </cfRule>
  </conditionalFormatting>
  <conditionalFormatting sqref="P1893">
    <cfRule type="cellIs" dxfId="3912" priority="4373" operator="greaterThanOrEqual">
      <formula>2.5</formula>
    </cfRule>
  </conditionalFormatting>
  <conditionalFormatting sqref="Q1893">
    <cfRule type="cellIs" dxfId="3911" priority="4374" operator="greaterThanOrEqual">
      <formula>500</formula>
    </cfRule>
  </conditionalFormatting>
  <conditionalFormatting sqref="Q1893">
    <cfRule type="cellIs" dxfId="3910" priority="4375" operator="greaterThanOrEqual">
      <formula>300</formula>
    </cfRule>
  </conditionalFormatting>
  <conditionalFormatting sqref="L1897 P1897">
    <cfRule type="cellIs" dxfId="3909" priority="4342" operator="greaterThanOrEqual">
      <formula>5</formula>
    </cfRule>
  </conditionalFormatting>
  <conditionalFormatting sqref="L1897">
    <cfRule type="cellIs" dxfId="3908" priority="4343" operator="greaterThanOrEqual">
      <formula>2</formula>
    </cfRule>
  </conditionalFormatting>
  <conditionalFormatting sqref="M1897">
    <cfRule type="cellIs" dxfId="3907" priority="4344" operator="greaterThanOrEqual">
      <formula>60</formula>
    </cfRule>
  </conditionalFormatting>
  <conditionalFormatting sqref="M1897">
    <cfRule type="cellIs" dxfId="3906" priority="4345" operator="greaterThanOrEqual">
      <formula>30</formula>
    </cfRule>
  </conditionalFormatting>
  <conditionalFormatting sqref="R1897">
    <cfRule type="cellIs" dxfId="3905" priority="4346" operator="greaterThanOrEqual">
      <formula>600</formula>
    </cfRule>
  </conditionalFormatting>
  <conditionalFormatting sqref="R1897">
    <cfRule type="cellIs" dxfId="3904" priority="4347" operator="greaterThanOrEqual">
      <formula>260</formula>
    </cfRule>
  </conditionalFormatting>
  <conditionalFormatting sqref="S1897">
    <cfRule type="containsText" dxfId="3903" priority="4348" operator="containsText" text="&lt;">
      <formula>NOT(ISERROR(SEARCH(("&lt;"),(S1897))))</formula>
    </cfRule>
  </conditionalFormatting>
  <conditionalFormatting sqref="S1897">
    <cfRule type="containsText" dxfId="3902" priority="4349" operator="containsText" text="ND">
      <formula>NOT(ISERROR(SEARCH(("ND"),(S1897))))</formula>
    </cfRule>
  </conditionalFormatting>
  <conditionalFormatting sqref="S1897 N1897">
    <cfRule type="cellIs" dxfId="3901" priority="4350" operator="greaterThanOrEqual">
      <formula>200</formula>
    </cfRule>
  </conditionalFormatting>
  <conditionalFormatting sqref="S1897">
    <cfRule type="cellIs" dxfId="3900" priority="4351" operator="greaterThanOrEqual">
      <formula>130</formula>
    </cfRule>
  </conditionalFormatting>
  <conditionalFormatting sqref="N1897">
    <cfRule type="cellIs" dxfId="3899" priority="4352" operator="greaterThanOrEqual">
      <formula>120</formula>
    </cfRule>
  </conditionalFormatting>
  <conditionalFormatting sqref="O1897:Q1897">
    <cfRule type="containsText" dxfId="3898" priority="4353" operator="containsText" text="ND">
      <formula>NOT(ISERROR(SEARCH(("ND"),(O1897))))</formula>
    </cfRule>
  </conditionalFormatting>
  <conditionalFormatting sqref="O1897">
    <cfRule type="cellIs" dxfId="3897" priority="4354" operator="greaterThanOrEqual">
      <formula>250</formula>
    </cfRule>
  </conditionalFormatting>
  <conditionalFormatting sqref="O1897">
    <cfRule type="cellIs" dxfId="3896" priority="4355" operator="greaterThanOrEqual">
      <formula>175</formula>
    </cfRule>
  </conditionalFormatting>
  <conditionalFormatting sqref="P1897">
    <cfRule type="cellIs" dxfId="3895" priority="4356" operator="greaterThanOrEqual">
      <formula>2.5</formula>
    </cfRule>
  </conditionalFormatting>
  <conditionalFormatting sqref="Q1897">
    <cfRule type="cellIs" dxfId="3894" priority="4357" operator="greaterThanOrEqual">
      <formula>500</formula>
    </cfRule>
  </conditionalFormatting>
  <conditionalFormatting sqref="Q1897">
    <cfRule type="cellIs" dxfId="3893" priority="4358" operator="greaterThanOrEqual">
      <formula>300</formula>
    </cfRule>
  </conditionalFormatting>
  <conditionalFormatting sqref="P1656:P1657 L1656:L1657">
    <cfRule type="cellIs" dxfId="3892" priority="4325" operator="greaterThanOrEqual">
      <formula>5</formula>
    </cfRule>
  </conditionalFormatting>
  <conditionalFormatting sqref="L1656:L1657">
    <cfRule type="cellIs" dxfId="3891" priority="4326" operator="greaterThanOrEqual">
      <formula>2</formula>
    </cfRule>
  </conditionalFormatting>
  <conditionalFormatting sqref="M1656:M1657">
    <cfRule type="cellIs" dxfId="3890" priority="4327" operator="greaterThanOrEqual">
      <formula>60</formula>
    </cfRule>
  </conditionalFormatting>
  <conditionalFormatting sqref="M1656:M1657">
    <cfRule type="cellIs" dxfId="3889" priority="4328" operator="greaterThanOrEqual">
      <formula>30</formula>
    </cfRule>
  </conditionalFormatting>
  <conditionalFormatting sqref="R1656:R1657">
    <cfRule type="cellIs" dxfId="3888" priority="4329" operator="greaterThanOrEqual">
      <formula>600</formula>
    </cfRule>
  </conditionalFormatting>
  <conditionalFormatting sqref="R1656:R1657">
    <cfRule type="cellIs" dxfId="3887" priority="4330" operator="greaterThanOrEqual">
      <formula>260</formula>
    </cfRule>
  </conditionalFormatting>
  <conditionalFormatting sqref="S1656:S1657">
    <cfRule type="containsText" dxfId="3886" priority="4331" operator="containsText" text="&lt;">
      <formula>NOT(ISERROR(SEARCH(("&lt;"),(S1656))))</formula>
    </cfRule>
  </conditionalFormatting>
  <conditionalFormatting sqref="S1656:S1657">
    <cfRule type="containsText" dxfId="3885" priority="4332" operator="containsText" text="ND">
      <formula>NOT(ISERROR(SEARCH(("ND"),(S1656))))</formula>
    </cfRule>
  </conditionalFormatting>
  <conditionalFormatting sqref="N1656:N1657 S1656:S1657">
    <cfRule type="cellIs" dxfId="3884" priority="4333" operator="greaterThanOrEqual">
      <formula>200</formula>
    </cfRule>
  </conditionalFormatting>
  <conditionalFormatting sqref="S1656:S1657">
    <cfRule type="cellIs" dxfId="3883" priority="4334" operator="greaterThanOrEqual">
      <formula>130</formula>
    </cfRule>
  </conditionalFormatting>
  <conditionalFormatting sqref="N1656:N1657">
    <cfRule type="cellIs" dxfId="3882" priority="4335" operator="greaterThanOrEqual">
      <formula>120</formula>
    </cfRule>
  </conditionalFormatting>
  <conditionalFormatting sqref="O1656:Q1657">
    <cfRule type="containsText" dxfId="3881" priority="4336" operator="containsText" text="ND">
      <formula>NOT(ISERROR(SEARCH(("ND"),(O1656))))</formula>
    </cfRule>
  </conditionalFormatting>
  <conditionalFormatting sqref="O1656:O1657">
    <cfRule type="cellIs" dxfId="3880" priority="4337" operator="greaterThanOrEqual">
      <formula>250</formula>
    </cfRule>
  </conditionalFormatting>
  <conditionalFormatting sqref="O1656:O1657">
    <cfRule type="cellIs" dxfId="3879" priority="4338" operator="greaterThanOrEqual">
      <formula>175</formula>
    </cfRule>
  </conditionalFormatting>
  <conditionalFormatting sqref="P1656:P1657">
    <cfRule type="cellIs" dxfId="3878" priority="4339" operator="greaterThanOrEqual">
      <formula>2.5</formula>
    </cfRule>
  </conditionalFormatting>
  <conditionalFormatting sqref="Q1656:Q1657">
    <cfRule type="cellIs" dxfId="3877" priority="4340" operator="greaterThanOrEqual">
      <formula>500</formula>
    </cfRule>
  </conditionalFormatting>
  <conditionalFormatting sqref="Q1656:Q1657">
    <cfRule type="cellIs" dxfId="3876" priority="4341" operator="greaterThanOrEqual">
      <formula>300</formula>
    </cfRule>
  </conditionalFormatting>
  <conditionalFormatting sqref="P1904:P1905 L1904:L1905">
    <cfRule type="cellIs" dxfId="3875" priority="4305" operator="greaterThanOrEqual">
      <formula>5</formula>
    </cfRule>
  </conditionalFormatting>
  <conditionalFormatting sqref="L1904:L1905">
    <cfRule type="cellIs" dxfId="3874" priority="4306" operator="greaterThanOrEqual">
      <formula>2</formula>
    </cfRule>
  </conditionalFormatting>
  <conditionalFormatting sqref="M1904:M1905">
    <cfRule type="cellIs" dxfId="3873" priority="4307" operator="greaterThanOrEqual">
      <formula>60</formula>
    </cfRule>
  </conditionalFormatting>
  <conditionalFormatting sqref="M1904:M1905">
    <cfRule type="cellIs" dxfId="3872" priority="4308" operator="greaterThanOrEqual">
      <formula>30</formula>
    </cfRule>
  </conditionalFormatting>
  <conditionalFormatting sqref="R1904:R1905">
    <cfRule type="cellIs" dxfId="3871" priority="4309" operator="greaterThanOrEqual">
      <formula>600</formula>
    </cfRule>
  </conditionalFormatting>
  <conditionalFormatting sqref="R1904:R1905">
    <cfRule type="cellIs" dxfId="3870" priority="4310" operator="greaterThanOrEqual">
      <formula>260</formula>
    </cfRule>
  </conditionalFormatting>
  <conditionalFormatting sqref="S1904:S1905">
    <cfRule type="containsText" dxfId="3869" priority="4311" operator="containsText" text="&lt;">
      <formula>NOT(ISERROR(SEARCH(("&lt;"),(S1904))))</formula>
    </cfRule>
  </conditionalFormatting>
  <conditionalFormatting sqref="S1904:S1905">
    <cfRule type="containsText" dxfId="3868" priority="4312" operator="containsText" text="ND">
      <formula>NOT(ISERROR(SEARCH(("ND"),(S1904))))</formula>
    </cfRule>
  </conditionalFormatting>
  <conditionalFormatting sqref="N1904:N1905 S1904:S1905">
    <cfRule type="cellIs" dxfId="3867" priority="4313" operator="greaterThanOrEqual">
      <formula>200</formula>
    </cfRule>
  </conditionalFormatting>
  <conditionalFormatting sqref="S1904:S1905">
    <cfRule type="cellIs" dxfId="3866" priority="4314" operator="greaterThanOrEqual">
      <formula>130</formula>
    </cfRule>
  </conditionalFormatting>
  <conditionalFormatting sqref="N1904:N1905">
    <cfRule type="cellIs" dxfId="3865" priority="4315" operator="greaterThanOrEqual">
      <formula>120</formula>
    </cfRule>
  </conditionalFormatting>
  <conditionalFormatting sqref="O1904:Q1905">
    <cfRule type="containsText" dxfId="3864" priority="4316" operator="containsText" text="ND">
      <formula>NOT(ISERROR(SEARCH(("ND"),(O1904))))</formula>
    </cfRule>
  </conditionalFormatting>
  <conditionalFormatting sqref="O1904:O1905">
    <cfRule type="cellIs" dxfId="3863" priority="4317" operator="greaterThanOrEqual">
      <formula>250</formula>
    </cfRule>
  </conditionalFormatting>
  <conditionalFormatting sqref="O1904:O1905">
    <cfRule type="cellIs" dxfId="3862" priority="4318" operator="greaterThanOrEqual">
      <formula>175</formula>
    </cfRule>
  </conditionalFormatting>
  <conditionalFormatting sqref="P1904:P1905">
    <cfRule type="cellIs" dxfId="3861" priority="4319" operator="greaterThanOrEqual">
      <formula>2.5</formula>
    </cfRule>
  </conditionalFormatting>
  <conditionalFormatting sqref="Q1904:Q1905">
    <cfRule type="cellIs" dxfId="3860" priority="4320" operator="greaterThanOrEqual">
      <formula>500</formula>
    </cfRule>
  </conditionalFormatting>
  <conditionalFormatting sqref="Q1904:Q1905">
    <cfRule type="cellIs" dxfId="3859" priority="4321" operator="greaterThanOrEqual">
      <formula>300</formula>
    </cfRule>
  </conditionalFormatting>
  <conditionalFormatting sqref="P1741 L1741">
    <cfRule type="cellIs" dxfId="3858" priority="4288" operator="greaterThanOrEqual">
      <formula>5</formula>
    </cfRule>
  </conditionalFormatting>
  <conditionalFormatting sqref="L1741">
    <cfRule type="cellIs" dxfId="3857" priority="4289" operator="greaterThanOrEqual">
      <formula>2</formula>
    </cfRule>
  </conditionalFormatting>
  <conditionalFormatting sqref="M1741">
    <cfRule type="cellIs" dxfId="3856" priority="4290" operator="greaterThanOrEqual">
      <formula>60</formula>
    </cfRule>
  </conditionalFormatting>
  <conditionalFormatting sqref="M1741">
    <cfRule type="cellIs" dxfId="3855" priority="4291" operator="greaterThanOrEqual">
      <formula>30</formula>
    </cfRule>
  </conditionalFormatting>
  <conditionalFormatting sqref="R1741">
    <cfRule type="cellIs" dxfId="3854" priority="4292" operator="greaterThanOrEqual">
      <formula>600</formula>
    </cfRule>
  </conditionalFormatting>
  <conditionalFormatting sqref="R1741">
    <cfRule type="cellIs" dxfId="3853" priority="4293" operator="greaterThanOrEqual">
      <formula>260</formula>
    </cfRule>
  </conditionalFormatting>
  <conditionalFormatting sqref="S1741">
    <cfRule type="containsText" dxfId="3852" priority="4294" operator="containsText" text="&lt;">
      <formula>NOT(ISERROR(SEARCH(("&lt;"),(S1741))))</formula>
    </cfRule>
  </conditionalFormatting>
  <conditionalFormatting sqref="S1741">
    <cfRule type="containsText" dxfId="3851" priority="4295" operator="containsText" text="ND">
      <formula>NOT(ISERROR(SEARCH(("ND"),(S1741))))</formula>
    </cfRule>
  </conditionalFormatting>
  <conditionalFormatting sqref="N1741 S1741">
    <cfRule type="cellIs" dxfId="3850" priority="4296" operator="greaterThanOrEqual">
      <formula>200</formula>
    </cfRule>
  </conditionalFormatting>
  <conditionalFormatting sqref="S1741">
    <cfRule type="cellIs" dxfId="3849" priority="4297" operator="greaterThanOrEqual">
      <formula>130</formula>
    </cfRule>
  </conditionalFormatting>
  <conditionalFormatting sqref="N1741">
    <cfRule type="cellIs" dxfId="3848" priority="4298" operator="greaterThanOrEqual">
      <formula>120</formula>
    </cfRule>
  </conditionalFormatting>
  <conditionalFormatting sqref="O1741:Q1741">
    <cfRule type="containsText" dxfId="3847" priority="4299" operator="containsText" text="ND">
      <formula>NOT(ISERROR(SEARCH(("ND"),(O1741))))</formula>
    </cfRule>
  </conditionalFormatting>
  <conditionalFormatting sqref="O1741">
    <cfRule type="cellIs" dxfId="3846" priority="4300" operator="greaterThanOrEqual">
      <formula>250</formula>
    </cfRule>
  </conditionalFormatting>
  <conditionalFormatting sqref="O1741">
    <cfRule type="cellIs" dxfId="3845" priority="4301" operator="greaterThanOrEqual">
      <formula>175</formula>
    </cfRule>
  </conditionalFormatting>
  <conditionalFormatting sqref="P1741">
    <cfRule type="cellIs" dxfId="3844" priority="4302" operator="greaterThanOrEqual">
      <formula>2.5</formula>
    </cfRule>
  </conditionalFormatting>
  <conditionalFormatting sqref="Q1741">
    <cfRule type="cellIs" dxfId="3843" priority="4303" operator="greaterThanOrEqual">
      <formula>500</formula>
    </cfRule>
  </conditionalFormatting>
  <conditionalFormatting sqref="Q1741">
    <cfRule type="cellIs" dxfId="3842" priority="4304" operator="greaterThanOrEqual">
      <formula>300</formula>
    </cfRule>
  </conditionalFormatting>
  <conditionalFormatting sqref="L1906 P1906">
    <cfRule type="cellIs" dxfId="3841" priority="4271" operator="greaterThanOrEqual">
      <formula>5</formula>
    </cfRule>
  </conditionalFormatting>
  <conditionalFormatting sqref="L1906">
    <cfRule type="cellIs" dxfId="3840" priority="4272" operator="greaterThanOrEqual">
      <formula>2</formula>
    </cfRule>
  </conditionalFormatting>
  <conditionalFormatting sqref="M1906">
    <cfRule type="cellIs" dxfId="3839" priority="4273" operator="greaterThanOrEqual">
      <formula>60</formula>
    </cfRule>
  </conditionalFormatting>
  <conditionalFormatting sqref="M1906">
    <cfRule type="cellIs" dxfId="3838" priority="4274" operator="greaterThanOrEqual">
      <formula>30</formula>
    </cfRule>
  </conditionalFormatting>
  <conditionalFormatting sqref="R1906">
    <cfRule type="cellIs" dxfId="3837" priority="4275" operator="greaterThanOrEqual">
      <formula>600</formula>
    </cfRule>
  </conditionalFormatting>
  <conditionalFormatting sqref="R1906">
    <cfRule type="cellIs" dxfId="3836" priority="4276" operator="greaterThanOrEqual">
      <formula>260</formula>
    </cfRule>
  </conditionalFormatting>
  <conditionalFormatting sqref="S1906">
    <cfRule type="containsText" dxfId="3835" priority="4277" operator="containsText" text="&lt;">
      <formula>NOT(ISERROR(SEARCH(("&lt;"),(S1906))))</formula>
    </cfRule>
  </conditionalFormatting>
  <conditionalFormatting sqref="S1906">
    <cfRule type="containsText" dxfId="3834" priority="4278" operator="containsText" text="ND">
      <formula>NOT(ISERROR(SEARCH(("ND"),(S1906))))</formula>
    </cfRule>
  </conditionalFormatting>
  <conditionalFormatting sqref="S1906 N1906">
    <cfRule type="cellIs" dxfId="3833" priority="4279" operator="greaterThanOrEqual">
      <formula>200</formula>
    </cfRule>
  </conditionalFormatting>
  <conditionalFormatting sqref="S1906">
    <cfRule type="cellIs" dxfId="3832" priority="4280" operator="greaterThanOrEqual">
      <formula>130</formula>
    </cfRule>
  </conditionalFormatting>
  <conditionalFormatting sqref="N1906">
    <cfRule type="cellIs" dxfId="3831" priority="4281" operator="greaterThanOrEqual">
      <formula>120</formula>
    </cfRule>
  </conditionalFormatting>
  <conditionalFormatting sqref="O1906:Q1906">
    <cfRule type="containsText" dxfId="3830" priority="4282" operator="containsText" text="ND">
      <formula>NOT(ISERROR(SEARCH(("ND"),(O1906))))</formula>
    </cfRule>
  </conditionalFormatting>
  <conditionalFormatting sqref="O1906">
    <cfRule type="cellIs" dxfId="3829" priority="4283" operator="greaterThanOrEqual">
      <formula>250</formula>
    </cfRule>
  </conditionalFormatting>
  <conditionalFormatting sqref="O1906">
    <cfRule type="cellIs" dxfId="3828" priority="4284" operator="greaterThanOrEqual">
      <formula>175</formula>
    </cfRule>
  </conditionalFormatting>
  <conditionalFormatting sqref="P1906">
    <cfRule type="cellIs" dxfId="3827" priority="4285" operator="greaterThanOrEqual">
      <formula>2.5</formula>
    </cfRule>
  </conditionalFormatting>
  <conditionalFormatting sqref="Q1906">
    <cfRule type="cellIs" dxfId="3826" priority="4286" operator="greaterThanOrEqual">
      <formula>500</formula>
    </cfRule>
  </conditionalFormatting>
  <conditionalFormatting sqref="Q1906">
    <cfRule type="cellIs" dxfId="3825" priority="4287" operator="greaterThanOrEqual">
      <formula>300</formula>
    </cfRule>
  </conditionalFormatting>
  <conditionalFormatting sqref="L2368 P2368">
    <cfRule type="cellIs" dxfId="3824" priority="4254" operator="greaterThanOrEqual">
      <formula>5</formula>
    </cfRule>
  </conditionalFormatting>
  <conditionalFormatting sqref="L2368">
    <cfRule type="cellIs" dxfId="3823" priority="4255" operator="greaterThanOrEqual">
      <formula>2</formula>
    </cfRule>
  </conditionalFormatting>
  <conditionalFormatting sqref="M2368">
    <cfRule type="cellIs" dxfId="3822" priority="4256" operator="greaterThanOrEqual">
      <formula>60</formula>
    </cfRule>
  </conditionalFormatting>
  <conditionalFormatting sqref="M2368">
    <cfRule type="cellIs" dxfId="3821" priority="4257" operator="greaterThanOrEqual">
      <formula>30</formula>
    </cfRule>
  </conditionalFormatting>
  <conditionalFormatting sqref="R2368">
    <cfRule type="cellIs" dxfId="3820" priority="4258" operator="greaterThanOrEqual">
      <formula>600</formula>
    </cfRule>
  </conditionalFormatting>
  <conditionalFormatting sqref="R2368">
    <cfRule type="cellIs" dxfId="3819" priority="4259" operator="greaterThanOrEqual">
      <formula>260</formula>
    </cfRule>
  </conditionalFormatting>
  <conditionalFormatting sqref="S2368">
    <cfRule type="containsText" dxfId="3818" priority="4260" operator="containsText" text="&lt;">
      <formula>NOT(ISERROR(SEARCH(("&lt;"),(S2368))))</formula>
    </cfRule>
  </conditionalFormatting>
  <conditionalFormatting sqref="S2368">
    <cfRule type="containsText" dxfId="3817" priority="4261" operator="containsText" text="ND">
      <formula>NOT(ISERROR(SEARCH(("ND"),(S2368))))</formula>
    </cfRule>
  </conditionalFormatting>
  <conditionalFormatting sqref="S2368 N2368">
    <cfRule type="cellIs" dxfId="3816" priority="4262" operator="greaterThanOrEqual">
      <formula>200</formula>
    </cfRule>
  </conditionalFormatting>
  <conditionalFormatting sqref="S2368">
    <cfRule type="cellIs" dxfId="3815" priority="4263" operator="greaterThanOrEqual">
      <formula>130</formula>
    </cfRule>
  </conditionalFormatting>
  <conditionalFormatting sqref="N2368">
    <cfRule type="cellIs" dxfId="3814" priority="4264" operator="greaterThanOrEqual">
      <formula>120</formula>
    </cfRule>
  </conditionalFormatting>
  <conditionalFormatting sqref="O2368:Q2368">
    <cfRule type="containsText" dxfId="3813" priority="4265" operator="containsText" text="ND">
      <formula>NOT(ISERROR(SEARCH(("ND"),(O2368))))</formula>
    </cfRule>
  </conditionalFormatting>
  <conditionalFormatting sqref="O2368">
    <cfRule type="cellIs" dxfId="3812" priority="4266" operator="greaterThanOrEqual">
      <formula>250</formula>
    </cfRule>
  </conditionalFormatting>
  <conditionalFormatting sqref="O2368">
    <cfRule type="cellIs" dxfId="3811" priority="4267" operator="greaterThanOrEqual">
      <formula>175</formula>
    </cfRule>
  </conditionalFormatting>
  <conditionalFormatting sqref="P2368">
    <cfRule type="cellIs" dxfId="3810" priority="4268" operator="greaterThanOrEqual">
      <formula>2.5</formula>
    </cfRule>
  </conditionalFormatting>
  <conditionalFormatting sqref="Q2368">
    <cfRule type="cellIs" dxfId="3809" priority="4269" operator="greaterThanOrEqual">
      <formula>500</formula>
    </cfRule>
  </conditionalFormatting>
  <conditionalFormatting sqref="Q2368">
    <cfRule type="cellIs" dxfId="3808" priority="4270" operator="greaterThanOrEqual">
      <formula>300</formula>
    </cfRule>
  </conditionalFormatting>
  <conditionalFormatting sqref="L2369 P2369">
    <cfRule type="cellIs" dxfId="3807" priority="4237" operator="greaterThanOrEqual">
      <formula>5</formula>
    </cfRule>
  </conditionalFormatting>
  <conditionalFormatting sqref="L2369">
    <cfRule type="cellIs" dxfId="3806" priority="4238" operator="greaterThanOrEqual">
      <formula>2</formula>
    </cfRule>
  </conditionalFormatting>
  <conditionalFormatting sqref="M2369">
    <cfRule type="cellIs" dxfId="3805" priority="4239" operator="greaterThanOrEqual">
      <formula>60</formula>
    </cfRule>
  </conditionalFormatting>
  <conditionalFormatting sqref="M2369">
    <cfRule type="cellIs" dxfId="3804" priority="4240" operator="greaterThanOrEqual">
      <formula>30</formula>
    </cfRule>
  </conditionalFormatting>
  <conditionalFormatting sqref="R2369">
    <cfRule type="cellIs" dxfId="3803" priority="4241" operator="greaterThanOrEqual">
      <formula>600</formula>
    </cfRule>
  </conditionalFormatting>
  <conditionalFormatting sqref="R2369">
    <cfRule type="cellIs" dxfId="3802" priority="4242" operator="greaterThanOrEqual">
      <formula>260</formula>
    </cfRule>
  </conditionalFormatting>
  <conditionalFormatting sqref="S2369">
    <cfRule type="containsText" dxfId="3801" priority="4243" operator="containsText" text="&lt;">
      <formula>NOT(ISERROR(SEARCH(("&lt;"),(S2369))))</formula>
    </cfRule>
  </conditionalFormatting>
  <conditionalFormatting sqref="S2369">
    <cfRule type="containsText" dxfId="3800" priority="4244" operator="containsText" text="ND">
      <formula>NOT(ISERROR(SEARCH(("ND"),(S2369))))</formula>
    </cfRule>
  </conditionalFormatting>
  <conditionalFormatting sqref="S2369 N2369">
    <cfRule type="cellIs" dxfId="3799" priority="4245" operator="greaterThanOrEqual">
      <formula>200</formula>
    </cfRule>
  </conditionalFormatting>
  <conditionalFormatting sqref="S2369">
    <cfRule type="cellIs" dxfId="3798" priority="4246" operator="greaterThanOrEqual">
      <formula>130</formula>
    </cfRule>
  </conditionalFormatting>
  <conditionalFormatting sqref="N2369">
    <cfRule type="cellIs" dxfId="3797" priority="4247" operator="greaterThanOrEqual">
      <formula>120</formula>
    </cfRule>
  </conditionalFormatting>
  <conditionalFormatting sqref="O2369:Q2369">
    <cfRule type="containsText" dxfId="3796" priority="4248" operator="containsText" text="ND">
      <formula>NOT(ISERROR(SEARCH(("ND"),(O2369))))</formula>
    </cfRule>
  </conditionalFormatting>
  <conditionalFormatting sqref="O2369">
    <cfRule type="cellIs" dxfId="3795" priority="4249" operator="greaterThanOrEqual">
      <formula>250</formula>
    </cfRule>
  </conditionalFormatting>
  <conditionalFormatting sqref="O2369">
    <cfRule type="cellIs" dxfId="3794" priority="4250" operator="greaterThanOrEqual">
      <formula>175</formula>
    </cfRule>
  </conditionalFormatting>
  <conditionalFormatting sqref="P2369">
    <cfRule type="cellIs" dxfId="3793" priority="4251" operator="greaterThanOrEqual">
      <formula>2.5</formula>
    </cfRule>
  </conditionalFormatting>
  <conditionalFormatting sqref="Q2369">
    <cfRule type="cellIs" dxfId="3792" priority="4252" operator="greaterThanOrEqual">
      <formula>500</formula>
    </cfRule>
  </conditionalFormatting>
  <conditionalFormatting sqref="Q2369">
    <cfRule type="cellIs" dxfId="3791" priority="4253" operator="greaterThanOrEqual">
      <formula>300</formula>
    </cfRule>
  </conditionalFormatting>
  <conditionalFormatting sqref="P1908 L1908">
    <cfRule type="cellIs" dxfId="3790" priority="4220" operator="greaterThanOrEqual">
      <formula>5</formula>
    </cfRule>
  </conditionalFormatting>
  <conditionalFormatting sqref="L1908">
    <cfRule type="cellIs" dxfId="3789" priority="4221" operator="greaterThanOrEqual">
      <formula>2</formula>
    </cfRule>
  </conditionalFormatting>
  <conditionalFormatting sqref="M1908">
    <cfRule type="cellIs" dxfId="3788" priority="4222" operator="greaterThanOrEqual">
      <formula>60</formula>
    </cfRule>
  </conditionalFormatting>
  <conditionalFormatting sqref="M1908">
    <cfRule type="cellIs" dxfId="3787" priority="4223" operator="greaterThanOrEqual">
      <formula>30</formula>
    </cfRule>
  </conditionalFormatting>
  <conditionalFormatting sqref="R1908">
    <cfRule type="cellIs" dxfId="3786" priority="4224" operator="greaterThanOrEqual">
      <formula>600</formula>
    </cfRule>
  </conditionalFormatting>
  <conditionalFormatting sqref="R1908">
    <cfRule type="cellIs" dxfId="3785" priority="4225" operator="greaterThanOrEqual">
      <formula>260</formula>
    </cfRule>
  </conditionalFormatting>
  <conditionalFormatting sqref="S1908">
    <cfRule type="containsText" dxfId="3784" priority="4226" operator="containsText" text="&lt;">
      <formula>NOT(ISERROR(SEARCH(("&lt;"),(S1908))))</formula>
    </cfRule>
  </conditionalFormatting>
  <conditionalFormatting sqref="S1908">
    <cfRule type="containsText" dxfId="3783" priority="4227" operator="containsText" text="ND">
      <formula>NOT(ISERROR(SEARCH(("ND"),(S1908))))</formula>
    </cfRule>
  </conditionalFormatting>
  <conditionalFormatting sqref="N1908 S1908">
    <cfRule type="cellIs" dxfId="3782" priority="4228" operator="greaterThanOrEqual">
      <formula>200</formula>
    </cfRule>
  </conditionalFormatting>
  <conditionalFormatting sqref="S1908">
    <cfRule type="cellIs" dxfId="3781" priority="4229" operator="greaterThanOrEqual">
      <formula>130</formula>
    </cfRule>
  </conditionalFormatting>
  <conditionalFormatting sqref="N1908">
    <cfRule type="cellIs" dxfId="3780" priority="4230" operator="greaterThanOrEqual">
      <formula>120</formula>
    </cfRule>
  </conditionalFormatting>
  <conditionalFormatting sqref="O1908:Q1908">
    <cfRule type="containsText" dxfId="3779" priority="4231" operator="containsText" text="ND">
      <formula>NOT(ISERROR(SEARCH(("ND"),(O1908))))</formula>
    </cfRule>
  </conditionalFormatting>
  <conditionalFormatting sqref="O1908">
    <cfRule type="cellIs" dxfId="3778" priority="4232" operator="greaterThanOrEqual">
      <formula>250</formula>
    </cfRule>
  </conditionalFormatting>
  <conditionalFormatting sqref="O1908">
    <cfRule type="cellIs" dxfId="3777" priority="4233" operator="greaterThanOrEqual">
      <formula>175</formula>
    </cfRule>
  </conditionalFormatting>
  <conditionalFormatting sqref="P1908">
    <cfRule type="cellIs" dxfId="3776" priority="4234" operator="greaterThanOrEqual">
      <formula>2.5</formula>
    </cfRule>
  </conditionalFormatting>
  <conditionalFormatting sqref="Q1908">
    <cfRule type="cellIs" dxfId="3775" priority="4235" operator="greaterThanOrEqual">
      <formula>500</formula>
    </cfRule>
  </conditionalFormatting>
  <conditionalFormatting sqref="Q1908">
    <cfRule type="cellIs" dxfId="3774" priority="4236" operator="greaterThanOrEqual">
      <formula>300</formula>
    </cfRule>
  </conditionalFormatting>
  <conditionalFormatting sqref="L1743 P1743">
    <cfRule type="cellIs" dxfId="3773" priority="4203" operator="greaterThanOrEqual">
      <formula>5</formula>
    </cfRule>
  </conditionalFormatting>
  <conditionalFormatting sqref="L1743">
    <cfRule type="cellIs" dxfId="3772" priority="4204" operator="greaterThanOrEqual">
      <formula>2</formula>
    </cfRule>
  </conditionalFormatting>
  <conditionalFormatting sqref="M1743">
    <cfRule type="cellIs" dxfId="3771" priority="4205" operator="greaterThanOrEqual">
      <formula>60</formula>
    </cfRule>
  </conditionalFormatting>
  <conditionalFormatting sqref="M1743">
    <cfRule type="cellIs" dxfId="3770" priority="4206" operator="greaterThanOrEqual">
      <formula>30</formula>
    </cfRule>
  </conditionalFormatting>
  <conditionalFormatting sqref="R1743">
    <cfRule type="cellIs" dxfId="3769" priority="4207" operator="greaterThanOrEqual">
      <formula>600</formula>
    </cfRule>
  </conditionalFormatting>
  <conditionalFormatting sqref="R1743">
    <cfRule type="cellIs" dxfId="3768" priority="4208" operator="greaterThanOrEqual">
      <formula>260</formula>
    </cfRule>
  </conditionalFormatting>
  <conditionalFormatting sqref="S1743">
    <cfRule type="containsText" dxfId="3767" priority="4209" operator="containsText" text="&lt;">
      <formula>NOT(ISERROR(SEARCH(("&lt;"),(S1743))))</formula>
    </cfRule>
  </conditionalFormatting>
  <conditionalFormatting sqref="S1743">
    <cfRule type="containsText" dxfId="3766" priority="4210" operator="containsText" text="ND">
      <formula>NOT(ISERROR(SEARCH(("ND"),(S1743))))</formula>
    </cfRule>
  </conditionalFormatting>
  <conditionalFormatting sqref="S1743 N1743">
    <cfRule type="cellIs" dxfId="3765" priority="4211" operator="greaterThanOrEqual">
      <formula>200</formula>
    </cfRule>
  </conditionalFormatting>
  <conditionalFormatting sqref="S1743">
    <cfRule type="cellIs" dxfId="3764" priority="4212" operator="greaterThanOrEqual">
      <formula>130</formula>
    </cfRule>
  </conditionalFormatting>
  <conditionalFormatting sqref="N1743">
    <cfRule type="cellIs" dxfId="3763" priority="4213" operator="greaterThanOrEqual">
      <formula>120</formula>
    </cfRule>
  </conditionalFormatting>
  <conditionalFormatting sqref="O1743:Q1743">
    <cfRule type="containsText" dxfId="3762" priority="4214" operator="containsText" text="ND">
      <formula>NOT(ISERROR(SEARCH(("ND"),(O1743))))</formula>
    </cfRule>
  </conditionalFormatting>
  <conditionalFormatting sqref="O1743">
    <cfRule type="cellIs" dxfId="3761" priority="4215" operator="greaterThanOrEqual">
      <formula>250</formula>
    </cfRule>
  </conditionalFormatting>
  <conditionalFormatting sqref="O1743">
    <cfRule type="cellIs" dxfId="3760" priority="4216" operator="greaterThanOrEqual">
      <formula>175</formula>
    </cfRule>
  </conditionalFormatting>
  <conditionalFormatting sqref="P1743">
    <cfRule type="cellIs" dxfId="3759" priority="4217" operator="greaterThanOrEqual">
      <formula>2.5</formula>
    </cfRule>
  </conditionalFormatting>
  <conditionalFormatting sqref="Q1743">
    <cfRule type="cellIs" dxfId="3758" priority="4218" operator="greaterThanOrEqual">
      <formula>500</formula>
    </cfRule>
  </conditionalFormatting>
  <conditionalFormatting sqref="Q1743">
    <cfRule type="cellIs" dxfId="3757" priority="4219" operator="greaterThanOrEqual">
      <formula>300</formula>
    </cfRule>
  </conditionalFormatting>
  <conditionalFormatting sqref="L2391:L2392">
    <cfRule type="cellIs" dxfId="3756" priority="4182" operator="greaterThanOrEqual">
      <formula>5</formula>
    </cfRule>
  </conditionalFormatting>
  <conditionalFormatting sqref="L2391:L2392">
    <cfRule type="cellIs" dxfId="3755" priority="4183" operator="greaterThanOrEqual">
      <formula>2</formula>
    </cfRule>
  </conditionalFormatting>
  <conditionalFormatting sqref="M2391:M2392">
    <cfRule type="cellIs" dxfId="3754" priority="4184" operator="greaterThanOrEqual">
      <formula>60</formula>
    </cfRule>
  </conditionalFormatting>
  <conditionalFormatting sqref="M2391:M2392">
    <cfRule type="cellIs" dxfId="3753" priority="4185" operator="greaterThanOrEqual">
      <formula>30</formula>
    </cfRule>
  </conditionalFormatting>
  <conditionalFormatting sqref="R2391:R2392">
    <cfRule type="cellIs" dxfId="3752" priority="4186" operator="greaterThanOrEqual">
      <formula>600</formula>
    </cfRule>
  </conditionalFormatting>
  <conditionalFormatting sqref="R2391:R2392">
    <cfRule type="cellIs" dxfId="3751" priority="4187" operator="greaterThanOrEqual">
      <formula>260</formula>
    </cfRule>
  </conditionalFormatting>
  <conditionalFormatting sqref="S2391:S2392">
    <cfRule type="containsText" dxfId="3750" priority="4188" operator="containsText" text="&lt;">
      <formula>NOT(ISERROR(SEARCH(("&lt;"),(S2391))))</formula>
    </cfRule>
  </conditionalFormatting>
  <conditionalFormatting sqref="S2391:S2392">
    <cfRule type="containsText" dxfId="3749" priority="4189" operator="containsText" text="ND">
      <formula>NOT(ISERROR(SEARCH(("ND"),(S2391))))</formula>
    </cfRule>
  </conditionalFormatting>
  <conditionalFormatting sqref="S2391:S2392">
    <cfRule type="cellIs" dxfId="3748" priority="4190" operator="greaterThanOrEqual">
      <formula>200</formula>
    </cfRule>
  </conditionalFormatting>
  <conditionalFormatting sqref="S2391:S2392">
    <cfRule type="cellIs" dxfId="3747" priority="4191" operator="greaterThanOrEqual">
      <formula>130</formula>
    </cfRule>
  </conditionalFormatting>
  <conditionalFormatting sqref="N2391:N2392">
    <cfRule type="cellIs" dxfId="3746" priority="4192" operator="greaterThanOrEqual">
      <formula>200</formula>
    </cfRule>
  </conditionalFormatting>
  <conditionalFormatting sqref="N2391:N2392">
    <cfRule type="cellIs" dxfId="3745" priority="4193" operator="greaterThanOrEqual">
      <formula>120</formula>
    </cfRule>
  </conditionalFormatting>
  <conditionalFormatting sqref="O2391:O2392">
    <cfRule type="containsText" dxfId="3744" priority="4194" operator="containsText" text="ND">
      <formula>NOT(ISERROR(SEARCH(("ND"),(O2391))))</formula>
    </cfRule>
  </conditionalFormatting>
  <conditionalFormatting sqref="O2391:O2392">
    <cfRule type="cellIs" dxfId="3743" priority="4195" operator="greaterThanOrEqual">
      <formula>250</formula>
    </cfRule>
  </conditionalFormatting>
  <conditionalFormatting sqref="O2391:O2392">
    <cfRule type="cellIs" dxfId="3742" priority="4196" operator="greaterThanOrEqual">
      <formula>175</formula>
    </cfRule>
  </conditionalFormatting>
  <conditionalFormatting sqref="P2391:P2392">
    <cfRule type="containsText" dxfId="3741" priority="4197" operator="containsText" text="ND">
      <formula>NOT(ISERROR(SEARCH(("ND"),(P2391))))</formula>
    </cfRule>
  </conditionalFormatting>
  <conditionalFormatting sqref="P2391:P2392">
    <cfRule type="cellIs" dxfId="3740" priority="4198" operator="greaterThanOrEqual">
      <formula>5</formula>
    </cfRule>
  </conditionalFormatting>
  <conditionalFormatting sqref="P2391:P2392">
    <cfRule type="cellIs" dxfId="3739" priority="4199" operator="greaterThanOrEqual">
      <formula>2.5</formula>
    </cfRule>
  </conditionalFormatting>
  <conditionalFormatting sqref="Q2391:Q2392">
    <cfRule type="containsText" dxfId="3738" priority="4200" operator="containsText" text="ND">
      <formula>NOT(ISERROR(SEARCH(("ND"),(Q2391))))</formula>
    </cfRule>
  </conditionalFormatting>
  <conditionalFormatting sqref="Q2391:Q2392">
    <cfRule type="cellIs" dxfId="3737" priority="4201" operator="greaterThanOrEqual">
      <formula>500</formula>
    </cfRule>
  </conditionalFormatting>
  <conditionalFormatting sqref="Q2391:Q2392">
    <cfRule type="cellIs" dxfId="3736" priority="4202" operator="greaterThanOrEqual">
      <formula>300</formula>
    </cfRule>
  </conditionalFormatting>
  <conditionalFormatting sqref="L1918 P1918">
    <cfRule type="cellIs" dxfId="3735" priority="4165" operator="greaterThanOrEqual">
      <formula>5</formula>
    </cfRule>
  </conditionalFormatting>
  <conditionalFormatting sqref="L1918">
    <cfRule type="cellIs" dxfId="3734" priority="4166" operator="greaterThanOrEqual">
      <formula>2</formula>
    </cfRule>
  </conditionalFormatting>
  <conditionalFormatting sqref="M1918">
    <cfRule type="cellIs" dxfId="3733" priority="4167" operator="greaterThanOrEqual">
      <formula>60</formula>
    </cfRule>
  </conditionalFormatting>
  <conditionalFormatting sqref="M1918">
    <cfRule type="cellIs" dxfId="3732" priority="4168" operator="greaterThanOrEqual">
      <formula>30</formula>
    </cfRule>
  </conditionalFormatting>
  <conditionalFormatting sqref="R1918">
    <cfRule type="cellIs" dxfId="3731" priority="4169" operator="greaterThanOrEqual">
      <formula>600</formula>
    </cfRule>
  </conditionalFormatting>
  <conditionalFormatting sqref="R1918">
    <cfRule type="cellIs" dxfId="3730" priority="4170" operator="greaterThanOrEqual">
      <formula>260</formula>
    </cfRule>
  </conditionalFormatting>
  <conditionalFormatting sqref="S1918">
    <cfRule type="containsText" dxfId="3729" priority="4171" operator="containsText" text="&lt;">
      <formula>NOT(ISERROR(SEARCH(("&lt;"),(S1918))))</formula>
    </cfRule>
  </conditionalFormatting>
  <conditionalFormatting sqref="S1918">
    <cfRule type="containsText" dxfId="3728" priority="4172" operator="containsText" text="ND">
      <formula>NOT(ISERROR(SEARCH(("ND"),(S1918))))</formula>
    </cfRule>
  </conditionalFormatting>
  <conditionalFormatting sqref="S1918 N1918">
    <cfRule type="cellIs" dxfId="3727" priority="4173" operator="greaterThanOrEqual">
      <formula>200</formula>
    </cfRule>
  </conditionalFormatting>
  <conditionalFormatting sqref="S1918">
    <cfRule type="cellIs" dxfId="3726" priority="4174" operator="greaterThanOrEqual">
      <formula>130</formula>
    </cfRule>
  </conditionalFormatting>
  <conditionalFormatting sqref="N1918">
    <cfRule type="cellIs" dxfId="3725" priority="4175" operator="greaterThanOrEqual">
      <formula>120</formula>
    </cfRule>
  </conditionalFormatting>
  <conditionalFormatting sqref="O1918:Q1918">
    <cfRule type="containsText" dxfId="3724" priority="4176" operator="containsText" text="ND">
      <formula>NOT(ISERROR(SEARCH(("ND"),(O1918))))</formula>
    </cfRule>
  </conditionalFormatting>
  <conditionalFormatting sqref="O1918">
    <cfRule type="cellIs" dxfId="3723" priority="4177" operator="greaterThanOrEqual">
      <formula>250</formula>
    </cfRule>
  </conditionalFormatting>
  <conditionalFormatting sqref="O1918">
    <cfRule type="cellIs" dxfId="3722" priority="4178" operator="greaterThanOrEqual">
      <formula>175</formula>
    </cfRule>
  </conditionalFormatting>
  <conditionalFormatting sqref="P1918">
    <cfRule type="cellIs" dxfId="3721" priority="4179" operator="greaterThanOrEqual">
      <formula>2.5</formula>
    </cfRule>
  </conditionalFormatting>
  <conditionalFormatting sqref="Q1918">
    <cfRule type="cellIs" dxfId="3720" priority="4180" operator="greaterThanOrEqual">
      <formula>500</formula>
    </cfRule>
  </conditionalFormatting>
  <conditionalFormatting sqref="Q1918">
    <cfRule type="cellIs" dxfId="3719" priority="4181" operator="greaterThanOrEqual">
      <formula>300</formula>
    </cfRule>
  </conditionalFormatting>
  <conditionalFormatting sqref="L1919 P1919">
    <cfRule type="cellIs" dxfId="3718" priority="4148" operator="greaterThanOrEqual">
      <formula>5</formula>
    </cfRule>
  </conditionalFormatting>
  <conditionalFormatting sqref="L1919">
    <cfRule type="cellIs" dxfId="3717" priority="4149" operator="greaterThanOrEqual">
      <formula>2</formula>
    </cfRule>
  </conditionalFormatting>
  <conditionalFormatting sqref="M1919">
    <cfRule type="cellIs" dxfId="3716" priority="4150" operator="greaterThanOrEqual">
      <formula>60</formula>
    </cfRule>
  </conditionalFormatting>
  <conditionalFormatting sqref="M1919">
    <cfRule type="cellIs" dxfId="3715" priority="4151" operator="greaterThanOrEqual">
      <formula>30</formula>
    </cfRule>
  </conditionalFormatting>
  <conditionalFormatting sqref="R1919">
    <cfRule type="cellIs" dxfId="3714" priority="4152" operator="greaterThanOrEqual">
      <formula>600</formula>
    </cfRule>
  </conditionalFormatting>
  <conditionalFormatting sqref="R1919">
    <cfRule type="cellIs" dxfId="3713" priority="4153" operator="greaterThanOrEqual">
      <formula>260</formula>
    </cfRule>
  </conditionalFormatting>
  <conditionalFormatting sqref="S1919">
    <cfRule type="containsText" dxfId="3712" priority="4154" operator="containsText" text="&lt;">
      <formula>NOT(ISERROR(SEARCH(("&lt;"),(S1919))))</formula>
    </cfRule>
  </conditionalFormatting>
  <conditionalFormatting sqref="S1919">
    <cfRule type="containsText" dxfId="3711" priority="4155" operator="containsText" text="ND">
      <formula>NOT(ISERROR(SEARCH(("ND"),(S1919))))</formula>
    </cfRule>
  </conditionalFormatting>
  <conditionalFormatting sqref="S1919 N1919">
    <cfRule type="cellIs" dxfId="3710" priority="4156" operator="greaterThanOrEqual">
      <formula>200</formula>
    </cfRule>
  </conditionalFormatting>
  <conditionalFormatting sqref="S1919">
    <cfRule type="cellIs" dxfId="3709" priority="4157" operator="greaterThanOrEqual">
      <formula>130</formula>
    </cfRule>
  </conditionalFormatting>
  <conditionalFormatting sqref="N1919">
    <cfRule type="cellIs" dxfId="3708" priority="4158" operator="greaterThanOrEqual">
      <formula>120</formula>
    </cfRule>
  </conditionalFormatting>
  <conditionalFormatting sqref="O1919:Q1919">
    <cfRule type="containsText" dxfId="3707" priority="4159" operator="containsText" text="ND">
      <formula>NOT(ISERROR(SEARCH(("ND"),(O1919))))</formula>
    </cfRule>
  </conditionalFormatting>
  <conditionalFormatting sqref="O1919">
    <cfRule type="cellIs" dxfId="3706" priority="4160" operator="greaterThanOrEqual">
      <formula>250</formula>
    </cfRule>
  </conditionalFormatting>
  <conditionalFormatting sqref="O1919">
    <cfRule type="cellIs" dxfId="3705" priority="4161" operator="greaterThanOrEqual">
      <formula>175</formula>
    </cfRule>
  </conditionalFormatting>
  <conditionalFormatting sqref="P1919">
    <cfRule type="cellIs" dxfId="3704" priority="4162" operator="greaterThanOrEqual">
      <formula>2.5</formula>
    </cfRule>
  </conditionalFormatting>
  <conditionalFormatting sqref="Q1919">
    <cfRule type="cellIs" dxfId="3703" priority="4163" operator="greaterThanOrEqual">
      <formula>500</formula>
    </cfRule>
  </conditionalFormatting>
  <conditionalFormatting sqref="Q1919">
    <cfRule type="cellIs" dxfId="3702" priority="4164" operator="greaterThanOrEqual">
      <formula>300</formula>
    </cfRule>
  </conditionalFormatting>
  <conditionalFormatting sqref="L1748 P1748">
    <cfRule type="cellIs" dxfId="3701" priority="4131" operator="greaterThanOrEqual">
      <formula>5</formula>
    </cfRule>
  </conditionalFormatting>
  <conditionalFormatting sqref="L1748">
    <cfRule type="cellIs" dxfId="3700" priority="4132" operator="greaterThanOrEqual">
      <formula>2</formula>
    </cfRule>
  </conditionalFormatting>
  <conditionalFormatting sqref="M1748">
    <cfRule type="cellIs" dxfId="3699" priority="4133" operator="greaterThanOrEqual">
      <formula>60</formula>
    </cfRule>
  </conditionalFormatting>
  <conditionalFormatting sqref="M1748">
    <cfRule type="cellIs" dxfId="3698" priority="4134" operator="greaterThanOrEqual">
      <formula>30</formula>
    </cfRule>
  </conditionalFormatting>
  <conditionalFormatting sqref="R1748">
    <cfRule type="cellIs" dxfId="3697" priority="4135" operator="greaterThanOrEqual">
      <formula>600</formula>
    </cfRule>
  </conditionalFormatting>
  <conditionalFormatting sqref="R1748">
    <cfRule type="cellIs" dxfId="3696" priority="4136" operator="greaterThanOrEqual">
      <formula>260</formula>
    </cfRule>
  </conditionalFormatting>
  <conditionalFormatting sqref="S1748">
    <cfRule type="containsText" dxfId="3695" priority="4137" operator="containsText" text="&lt;">
      <formula>NOT(ISERROR(SEARCH(("&lt;"),(S1748))))</formula>
    </cfRule>
  </conditionalFormatting>
  <conditionalFormatting sqref="S1748">
    <cfRule type="containsText" dxfId="3694" priority="4138" operator="containsText" text="ND">
      <formula>NOT(ISERROR(SEARCH(("ND"),(S1748))))</formula>
    </cfRule>
  </conditionalFormatting>
  <conditionalFormatting sqref="S1748 N1748">
    <cfRule type="cellIs" dxfId="3693" priority="4139" operator="greaterThanOrEqual">
      <formula>200</formula>
    </cfRule>
  </conditionalFormatting>
  <conditionalFormatting sqref="S1748">
    <cfRule type="cellIs" dxfId="3692" priority="4140" operator="greaterThanOrEqual">
      <formula>130</formula>
    </cfRule>
  </conditionalFormatting>
  <conditionalFormatting sqref="N1748">
    <cfRule type="cellIs" dxfId="3691" priority="4141" operator="greaterThanOrEqual">
      <formula>120</formula>
    </cfRule>
  </conditionalFormatting>
  <conditionalFormatting sqref="O1748:Q1748">
    <cfRule type="containsText" dxfId="3690" priority="4142" operator="containsText" text="ND">
      <formula>NOT(ISERROR(SEARCH(("ND"),(O1748))))</formula>
    </cfRule>
  </conditionalFormatting>
  <conditionalFormatting sqref="O1748">
    <cfRule type="cellIs" dxfId="3689" priority="4143" operator="greaterThanOrEqual">
      <formula>250</formula>
    </cfRule>
  </conditionalFormatting>
  <conditionalFormatting sqref="O1748">
    <cfRule type="cellIs" dxfId="3688" priority="4144" operator="greaterThanOrEqual">
      <formula>175</formula>
    </cfRule>
  </conditionalFormatting>
  <conditionalFormatting sqref="P1748">
    <cfRule type="cellIs" dxfId="3687" priority="4145" operator="greaterThanOrEqual">
      <formula>2.5</formula>
    </cfRule>
  </conditionalFormatting>
  <conditionalFormatting sqref="Q1748">
    <cfRule type="cellIs" dxfId="3686" priority="4146" operator="greaterThanOrEqual">
      <formula>500</formula>
    </cfRule>
  </conditionalFormatting>
  <conditionalFormatting sqref="Q1748">
    <cfRule type="cellIs" dxfId="3685" priority="4147" operator="greaterThanOrEqual">
      <formula>300</formula>
    </cfRule>
  </conditionalFormatting>
  <conditionalFormatting sqref="L1751 P1751">
    <cfRule type="cellIs" dxfId="3684" priority="4114" operator="greaterThanOrEqual">
      <formula>5</formula>
    </cfRule>
  </conditionalFormatting>
  <conditionalFormatting sqref="L1751">
    <cfRule type="cellIs" dxfId="3683" priority="4115" operator="greaterThanOrEqual">
      <formula>2</formula>
    </cfRule>
  </conditionalFormatting>
  <conditionalFormatting sqref="M1751">
    <cfRule type="cellIs" dxfId="3682" priority="4116" operator="greaterThanOrEqual">
      <formula>60</formula>
    </cfRule>
  </conditionalFormatting>
  <conditionalFormatting sqref="M1751">
    <cfRule type="cellIs" dxfId="3681" priority="4117" operator="greaterThanOrEqual">
      <formula>30</formula>
    </cfRule>
  </conditionalFormatting>
  <conditionalFormatting sqref="R1751">
    <cfRule type="cellIs" dxfId="3680" priority="4118" operator="greaterThanOrEqual">
      <formula>600</formula>
    </cfRule>
  </conditionalFormatting>
  <conditionalFormatting sqref="R1751">
    <cfRule type="cellIs" dxfId="3679" priority="4119" operator="greaterThanOrEqual">
      <formula>260</formula>
    </cfRule>
  </conditionalFormatting>
  <conditionalFormatting sqref="S1751">
    <cfRule type="containsText" dxfId="3678" priority="4120" operator="containsText" text="&lt;">
      <formula>NOT(ISERROR(SEARCH(("&lt;"),(S1751))))</formula>
    </cfRule>
  </conditionalFormatting>
  <conditionalFormatting sqref="S1751">
    <cfRule type="containsText" dxfId="3677" priority="4121" operator="containsText" text="ND">
      <formula>NOT(ISERROR(SEARCH(("ND"),(S1751))))</formula>
    </cfRule>
  </conditionalFormatting>
  <conditionalFormatting sqref="S1751 N1751">
    <cfRule type="cellIs" dxfId="3676" priority="4122" operator="greaterThanOrEqual">
      <formula>200</formula>
    </cfRule>
  </conditionalFormatting>
  <conditionalFormatting sqref="S1751">
    <cfRule type="cellIs" dxfId="3675" priority="4123" operator="greaterThanOrEqual">
      <formula>130</formula>
    </cfRule>
  </conditionalFormatting>
  <conditionalFormatting sqref="N1751">
    <cfRule type="cellIs" dxfId="3674" priority="4124" operator="greaterThanOrEqual">
      <formula>120</formula>
    </cfRule>
  </conditionalFormatting>
  <conditionalFormatting sqref="O1751:Q1751">
    <cfRule type="containsText" dxfId="3673" priority="4125" operator="containsText" text="ND">
      <formula>NOT(ISERROR(SEARCH(("ND"),(O1751))))</formula>
    </cfRule>
  </conditionalFormatting>
  <conditionalFormatting sqref="O1751">
    <cfRule type="cellIs" dxfId="3672" priority="4126" operator="greaterThanOrEqual">
      <formula>250</formula>
    </cfRule>
  </conditionalFormatting>
  <conditionalFormatting sqref="O1751">
    <cfRule type="cellIs" dxfId="3671" priority="4127" operator="greaterThanOrEqual">
      <formula>175</formula>
    </cfRule>
  </conditionalFormatting>
  <conditionalFormatting sqref="P1751">
    <cfRule type="cellIs" dxfId="3670" priority="4128" operator="greaterThanOrEqual">
      <formula>2.5</formula>
    </cfRule>
  </conditionalFormatting>
  <conditionalFormatting sqref="Q1751">
    <cfRule type="cellIs" dxfId="3669" priority="4129" operator="greaterThanOrEqual">
      <formula>500</formula>
    </cfRule>
  </conditionalFormatting>
  <conditionalFormatting sqref="Q1751">
    <cfRule type="cellIs" dxfId="3668" priority="4130" operator="greaterThanOrEqual">
      <formula>300</formula>
    </cfRule>
  </conditionalFormatting>
  <conditionalFormatting sqref="P2394 L2394">
    <cfRule type="cellIs" dxfId="3667" priority="4097" operator="greaterThanOrEqual">
      <formula>5</formula>
    </cfRule>
  </conditionalFormatting>
  <conditionalFormatting sqref="L2394">
    <cfRule type="cellIs" dxfId="3666" priority="4098" operator="greaterThanOrEqual">
      <formula>2</formula>
    </cfRule>
  </conditionalFormatting>
  <conditionalFormatting sqref="M2394">
    <cfRule type="cellIs" dxfId="3665" priority="4099" operator="greaterThanOrEqual">
      <formula>60</formula>
    </cfRule>
  </conditionalFormatting>
  <conditionalFormatting sqref="M2394">
    <cfRule type="cellIs" dxfId="3664" priority="4100" operator="greaterThanOrEqual">
      <formula>30</formula>
    </cfRule>
  </conditionalFormatting>
  <conditionalFormatting sqref="R2394">
    <cfRule type="cellIs" dxfId="3663" priority="4101" operator="greaterThanOrEqual">
      <formula>600</formula>
    </cfRule>
  </conditionalFormatting>
  <conditionalFormatting sqref="R2394">
    <cfRule type="cellIs" dxfId="3662" priority="4102" operator="greaterThanOrEqual">
      <formula>260</formula>
    </cfRule>
  </conditionalFormatting>
  <conditionalFormatting sqref="S2394">
    <cfRule type="containsText" dxfId="3661" priority="4103" operator="containsText" text="&lt;">
      <formula>NOT(ISERROR(SEARCH(("&lt;"),(S2394))))</formula>
    </cfRule>
  </conditionalFormatting>
  <conditionalFormatting sqref="S2394">
    <cfRule type="containsText" dxfId="3660" priority="4104" operator="containsText" text="ND">
      <formula>NOT(ISERROR(SEARCH(("ND"),(S2394))))</formula>
    </cfRule>
  </conditionalFormatting>
  <conditionalFormatting sqref="N2394 S2394">
    <cfRule type="cellIs" dxfId="3659" priority="4105" operator="greaterThanOrEqual">
      <formula>200</formula>
    </cfRule>
  </conditionalFormatting>
  <conditionalFormatting sqref="S2394">
    <cfRule type="cellIs" dxfId="3658" priority="4106" operator="greaterThanOrEqual">
      <formula>130</formula>
    </cfRule>
  </conditionalFormatting>
  <conditionalFormatting sqref="N2394">
    <cfRule type="cellIs" dxfId="3657" priority="4107" operator="greaterThanOrEqual">
      <formula>120</formula>
    </cfRule>
  </conditionalFormatting>
  <conditionalFormatting sqref="O2394:Q2394">
    <cfRule type="containsText" dxfId="3656" priority="4108" operator="containsText" text="ND">
      <formula>NOT(ISERROR(SEARCH(("ND"),(O2394))))</formula>
    </cfRule>
  </conditionalFormatting>
  <conditionalFormatting sqref="O2394">
    <cfRule type="cellIs" dxfId="3655" priority="4109" operator="greaterThanOrEqual">
      <formula>250</formula>
    </cfRule>
  </conditionalFormatting>
  <conditionalFormatting sqref="O2394">
    <cfRule type="cellIs" dxfId="3654" priority="4110" operator="greaterThanOrEqual">
      <formula>175</formula>
    </cfRule>
  </conditionalFormatting>
  <conditionalFormatting sqref="P2394">
    <cfRule type="cellIs" dxfId="3653" priority="4111" operator="greaterThanOrEqual">
      <formula>2.5</formula>
    </cfRule>
  </conditionalFormatting>
  <conditionalFormatting sqref="Q2394">
    <cfRule type="cellIs" dxfId="3652" priority="4112" operator="greaterThanOrEqual">
      <formula>500</formula>
    </cfRule>
  </conditionalFormatting>
  <conditionalFormatting sqref="Q2394">
    <cfRule type="cellIs" dxfId="3651" priority="4113" operator="greaterThanOrEqual">
      <formula>300</formula>
    </cfRule>
  </conditionalFormatting>
  <conditionalFormatting sqref="L2378 P2378">
    <cfRule type="cellIs" dxfId="3650" priority="4080" operator="greaterThanOrEqual">
      <formula>5</formula>
    </cfRule>
  </conditionalFormatting>
  <conditionalFormatting sqref="L2378">
    <cfRule type="cellIs" dxfId="3649" priority="4081" operator="greaterThanOrEqual">
      <formula>2</formula>
    </cfRule>
  </conditionalFormatting>
  <conditionalFormatting sqref="M2378">
    <cfRule type="cellIs" dxfId="3648" priority="4082" operator="greaterThanOrEqual">
      <formula>60</formula>
    </cfRule>
  </conditionalFormatting>
  <conditionalFormatting sqref="M2378">
    <cfRule type="cellIs" dxfId="3647" priority="4083" operator="greaterThanOrEqual">
      <formula>30</formula>
    </cfRule>
  </conditionalFormatting>
  <conditionalFormatting sqref="R2378">
    <cfRule type="cellIs" dxfId="3646" priority="4084" operator="greaterThanOrEqual">
      <formula>600</formula>
    </cfRule>
  </conditionalFormatting>
  <conditionalFormatting sqref="R2378">
    <cfRule type="cellIs" dxfId="3645" priority="4085" operator="greaterThanOrEqual">
      <formula>260</formula>
    </cfRule>
  </conditionalFormatting>
  <conditionalFormatting sqref="S2378">
    <cfRule type="containsText" dxfId="3644" priority="4086" operator="containsText" text="&lt;">
      <formula>NOT(ISERROR(SEARCH(("&lt;"),(S2378))))</formula>
    </cfRule>
  </conditionalFormatting>
  <conditionalFormatting sqref="S2378">
    <cfRule type="containsText" dxfId="3643" priority="4087" operator="containsText" text="ND">
      <formula>NOT(ISERROR(SEARCH(("ND"),(S2378))))</formula>
    </cfRule>
  </conditionalFormatting>
  <conditionalFormatting sqref="S2378 N2378">
    <cfRule type="cellIs" dxfId="3642" priority="4088" operator="greaterThanOrEqual">
      <formula>200</formula>
    </cfRule>
  </conditionalFormatting>
  <conditionalFormatting sqref="S2378">
    <cfRule type="cellIs" dxfId="3641" priority="4089" operator="greaterThanOrEqual">
      <formula>130</formula>
    </cfRule>
  </conditionalFormatting>
  <conditionalFormatting sqref="N2378">
    <cfRule type="cellIs" dxfId="3640" priority="4090" operator="greaterThanOrEqual">
      <formula>120</formula>
    </cfRule>
  </conditionalFormatting>
  <conditionalFormatting sqref="O2378:Q2378">
    <cfRule type="containsText" dxfId="3639" priority="4091" operator="containsText" text="ND">
      <formula>NOT(ISERROR(SEARCH(("ND"),(O2378))))</formula>
    </cfRule>
  </conditionalFormatting>
  <conditionalFormatting sqref="O2378">
    <cfRule type="cellIs" dxfId="3638" priority="4092" operator="greaterThanOrEqual">
      <formula>250</formula>
    </cfRule>
  </conditionalFormatting>
  <conditionalFormatting sqref="O2378">
    <cfRule type="cellIs" dxfId="3637" priority="4093" operator="greaterThanOrEqual">
      <formula>175</formula>
    </cfRule>
  </conditionalFormatting>
  <conditionalFormatting sqref="P2378">
    <cfRule type="cellIs" dxfId="3636" priority="4094" operator="greaterThanOrEqual">
      <formula>2.5</formula>
    </cfRule>
  </conditionalFormatting>
  <conditionalFormatting sqref="Q2378">
    <cfRule type="cellIs" dxfId="3635" priority="4095" operator="greaterThanOrEqual">
      <formula>500</formula>
    </cfRule>
  </conditionalFormatting>
  <conditionalFormatting sqref="Q2378">
    <cfRule type="cellIs" dxfId="3634" priority="4096" operator="greaterThanOrEqual">
      <formula>300</formula>
    </cfRule>
  </conditionalFormatting>
  <conditionalFormatting sqref="L2379 P2379">
    <cfRule type="cellIs" dxfId="3633" priority="4063" operator="greaterThanOrEqual">
      <formula>5</formula>
    </cfRule>
  </conditionalFormatting>
  <conditionalFormatting sqref="L2379">
    <cfRule type="cellIs" dxfId="3632" priority="4064" operator="greaterThanOrEqual">
      <formula>2</formula>
    </cfRule>
  </conditionalFormatting>
  <conditionalFormatting sqref="M2379">
    <cfRule type="cellIs" dxfId="3631" priority="4065" operator="greaterThanOrEqual">
      <formula>60</formula>
    </cfRule>
  </conditionalFormatting>
  <conditionalFormatting sqref="M2379">
    <cfRule type="cellIs" dxfId="3630" priority="4066" operator="greaterThanOrEqual">
      <formula>30</formula>
    </cfRule>
  </conditionalFormatting>
  <conditionalFormatting sqref="R2379">
    <cfRule type="cellIs" dxfId="3629" priority="4067" operator="greaterThanOrEqual">
      <formula>600</formula>
    </cfRule>
  </conditionalFormatting>
  <conditionalFormatting sqref="R2379">
    <cfRule type="cellIs" dxfId="3628" priority="4068" operator="greaterThanOrEqual">
      <formula>260</formula>
    </cfRule>
  </conditionalFormatting>
  <conditionalFormatting sqref="S2379">
    <cfRule type="containsText" dxfId="3627" priority="4069" operator="containsText" text="&lt;">
      <formula>NOT(ISERROR(SEARCH(("&lt;"),(S2379))))</formula>
    </cfRule>
  </conditionalFormatting>
  <conditionalFormatting sqref="S2379">
    <cfRule type="containsText" dxfId="3626" priority="4070" operator="containsText" text="ND">
      <formula>NOT(ISERROR(SEARCH(("ND"),(S2379))))</formula>
    </cfRule>
  </conditionalFormatting>
  <conditionalFormatting sqref="S2379 N2379">
    <cfRule type="cellIs" dxfId="3625" priority="4071" operator="greaterThanOrEqual">
      <formula>200</formula>
    </cfRule>
  </conditionalFormatting>
  <conditionalFormatting sqref="S2379">
    <cfRule type="cellIs" dxfId="3624" priority="4072" operator="greaterThanOrEqual">
      <formula>130</formula>
    </cfRule>
  </conditionalFormatting>
  <conditionalFormatting sqref="N2379">
    <cfRule type="cellIs" dxfId="3623" priority="4073" operator="greaterThanOrEqual">
      <formula>120</formula>
    </cfRule>
  </conditionalFormatting>
  <conditionalFormatting sqref="O2379:Q2379">
    <cfRule type="containsText" dxfId="3622" priority="4074" operator="containsText" text="ND">
      <formula>NOT(ISERROR(SEARCH(("ND"),(O2379))))</formula>
    </cfRule>
  </conditionalFormatting>
  <conditionalFormatting sqref="O2379">
    <cfRule type="cellIs" dxfId="3621" priority="4075" operator="greaterThanOrEqual">
      <formula>250</formula>
    </cfRule>
  </conditionalFormatting>
  <conditionalFormatting sqref="O2379">
    <cfRule type="cellIs" dxfId="3620" priority="4076" operator="greaterThanOrEqual">
      <formula>175</formula>
    </cfRule>
  </conditionalFormatting>
  <conditionalFormatting sqref="P2379">
    <cfRule type="cellIs" dxfId="3619" priority="4077" operator="greaterThanOrEqual">
      <formula>2.5</formula>
    </cfRule>
  </conditionalFormatting>
  <conditionalFormatting sqref="Q2379">
    <cfRule type="cellIs" dxfId="3618" priority="4078" operator="greaterThanOrEqual">
      <formula>500</formula>
    </cfRule>
  </conditionalFormatting>
  <conditionalFormatting sqref="Q2379">
    <cfRule type="cellIs" dxfId="3617" priority="4079" operator="greaterThanOrEqual">
      <formula>300</formula>
    </cfRule>
  </conditionalFormatting>
  <conditionalFormatting sqref="P2267:P2268 L2267:L2268">
    <cfRule type="cellIs" dxfId="3616" priority="4046" operator="greaterThanOrEqual">
      <formula>5</formula>
    </cfRule>
  </conditionalFormatting>
  <conditionalFormatting sqref="L2267:L2268">
    <cfRule type="cellIs" dxfId="3615" priority="4047" operator="greaterThanOrEqual">
      <formula>2</formula>
    </cfRule>
  </conditionalFormatting>
  <conditionalFormatting sqref="M2267:M2268">
    <cfRule type="cellIs" dxfId="3614" priority="4048" operator="greaterThanOrEqual">
      <formula>60</formula>
    </cfRule>
  </conditionalFormatting>
  <conditionalFormatting sqref="M2267:M2268">
    <cfRule type="cellIs" dxfId="3613" priority="4049" operator="greaterThanOrEqual">
      <formula>30</formula>
    </cfRule>
  </conditionalFormatting>
  <conditionalFormatting sqref="R2267:R2268">
    <cfRule type="cellIs" dxfId="3612" priority="4050" operator="greaterThanOrEqual">
      <formula>600</formula>
    </cfRule>
  </conditionalFormatting>
  <conditionalFormatting sqref="R2267:R2268">
    <cfRule type="cellIs" dxfId="3611" priority="4051" operator="greaterThanOrEqual">
      <formula>260</formula>
    </cfRule>
  </conditionalFormatting>
  <conditionalFormatting sqref="S2267:S2268">
    <cfRule type="containsText" dxfId="3610" priority="4052" operator="containsText" text="&lt;">
      <formula>NOT(ISERROR(SEARCH(("&lt;"),(S2267))))</formula>
    </cfRule>
  </conditionalFormatting>
  <conditionalFormatting sqref="S2267:S2268">
    <cfRule type="containsText" dxfId="3609" priority="4053" operator="containsText" text="ND">
      <formula>NOT(ISERROR(SEARCH(("ND"),(S2267))))</formula>
    </cfRule>
  </conditionalFormatting>
  <conditionalFormatting sqref="S2267:S2268 N2267:N2268">
    <cfRule type="cellIs" dxfId="3608" priority="4054" operator="greaterThanOrEqual">
      <formula>200</formula>
    </cfRule>
  </conditionalFormatting>
  <conditionalFormatting sqref="S2267:S2268">
    <cfRule type="cellIs" dxfId="3607" priority="4055" operator="greaterThanOrEqual">
      <formula>130</formula>
    </cfRule>
  </conditionalFormatting>
  <conditionalFormatting sqref="N2267:N2268">
    <cfRule type="cellIs" dxfId="3606" priority="4056" operator="greaterThanOrEqual">
      <formula>120</formula>
    </cfRule>
  </conditionalFormatting>
  <conditionalFormatting sqref="O2267:Q2268">
    <cfRule type="containsText" dxfId="3605" priority="4057" operator="containsText" text="ND">
      <formula>NOT(ISERROR(SEARCH(("ND"),(O2267))))</formula>
    </cfRule>
  </conditionalFormatting>
  <conditionalFormatting sqref="O2267:O2268">
    <cfRule type="cellIs" dxfId="3604" priority="4058" operator="greaterThanOrEqual">
      <formula>250</formula>
    </cfRule>
  </conditionalFormatting>
  <conditionalFormatting sqref="O2267:O2268">
    <cfRule type="cellIs" dxfId="3603" priority="4059" operator="greaterThanOrEqual">
      <formula>175</formula>
    </cfRule>
  </conditionalFormatting>
  <conditionalFormatting sqref="P2267:P2268">
    <cfRule type="cellIs" dxfId="3602" priority="4060" operator="greaterThanOrEqual">
      <formula>2.5</formula>
    </cfRule>
  </conditionalFormatting>
  <conditionalFormatting sqref="Q2267:Q2268">
    <cfRule type="cellIs" dxfId="3601" priority="4061" operator="greaterThanOrEqual">
      <formula>500</formula>
    </cfRule>
  </conditionalFormatting>
  <conditionalFormatting sqref="Q2267:Q2268">
    <cfRule type="cellIs" dxfId="3600" priority="4062" operator="greaterThanOrEqual">
      <formula>300</formula>
    </cfRule>
  </conditionalFormatting>
  <conditionalFormatting sqref="L1670 P1670">
    <cfRule type="cellIs" dxfId="3599" priority="4029" operator="greaterThanOrEqual">
      <formula>5</formula>
    </cfRule>
  </conditionalFormatting>
  <conditionalFormatting sqref="L1670">
    <cfRule type="cellIs" dxfId="3598" priority="4030" operator="greaterThanOrEqual">
      <formula>2</formula>
    </cfRule>
  </conditionalFormatting>
  <conditionalFormatting sqref="M1670">
    <cfRule type="cellIs" dxfId="3597" priority="4031" operator="greaterThanOrEqual">
      <formula>60</formula>
    </cfRule>
  </conditionalFormatting>
  <conditionalFormatting sqref="M1670">
    <cfRule type="cellIs" dxfId="3596" priority="4032" operator="greaterThanOrEqual">
      <formula>30</formula>
    </cfRule>
  </conditionalFormatting>
  <conditionalFormatting sqref="R1670">
    <cfRule type="cellIs" dxfId="3595" priority="4033" operator="greaterThanOrEqual">
      <formula>600</formula>
    </cfRule>
  </conditionalFormatting>
  <conditionalFormatting sqref="R1670">
    <cfRule type="cellIs" dxfId="3594" priority="4034" operator="greaterThanOrEqual">
      <formula>260</formula>
    </cfRule>
  </conditionalFormatting>
  <conditionalFormatting sqref="S1670">
    <cfRule type="containsText" dxfId="3593" priority="4035" operator="containsText" text="&lt;">
      <formula>NOT(ISERROR(SEARCH(("&lt;"),(S1670))))</formula>
    </cfRule>
  </conditionalFormatting>
  <conditionalFormatting sqref="S1670">
    <cfRule type="containsText" dxfId="3592" priority="4036" operator="containsText" text="ND">
      <formula>NOT(ISERROR(SEARCH(("ND"),(S1670))))</formula>
    </cfRule>
  </conditionalFormatting>
  <conditionalFormatting sqref="N1670 S1670">
    <cfRule type="cellIs" dxfId="3591" priority="4037" operator="greaterThanOrEqual">
      <formula>200</formula>
    </cfRule>
  </conditionalFormatting>
  <conditionalFormatting sqref="S1670">
    <cfRule type="cellIs" dxfId="3590" priority="4038" operator="greaterThanOrEqual">
      <formula>130</formula>
    </cfRule>
  </conditionalFormatting>
  <conditionalFormatting sqref="N1670">
    <cfRule type="cellIs" dxfId="3589" priority="4039" operator="greaterThanOrEqual">
      <formula>120</formula>
    </cfRule>
  </conditionalFormatting>
  <conditionalFormatting sqref="O1670:Q1670">
    <cfRule type="containsText" dxfId="3588" priority="4040" operator="containsText" text="ND">
      <formula>NOT(ISERROR(SEARCH(("ND"),(O1670))))</formula>
    </cfRule>
  </conditionalFormatting>
  <conditionalFormatting sqref="O1670">
    <cfRule type="cellIs" dxfId="3587" priority="4041" operator="greaterThanOrEqual">
      <formula>250</formula>
    </cfRule>
  </conditionalFormatting>
  <conditionalFormatting sqref="O1670">
    <cfRule type="cellIs" dxfId="3586" priority="4042" operator="greaterThanOrEqual">
      <formula>175</formula>
    </cfRule>
  </conditionalFormatting>
  <conditionalFormatting sqref="P1670">
    <cfRule type="cellIs" dxfId="3585" priority="4043" operator="greaterThanOrEqual">
      <formula>2.5</formula>
    </cfRule>
  </conditionalFormatting>
  <conditionalFormatting sqref="Q1670">
    <cfRule type="cellIs" dxfId="3584" priority="4044" operator="greaterThanOrEqual">
      <formula>500</formula>
    </cfRule>
  </conditionalFormatting>
  <conditionalFormatting sqref="Q1670">
    <cfRule type="cellIs" dxfId="3583" priority="4045" operator="greaterThanOrEqual">
      <formula>300</formula>
    </cfRule>
  </conditionalFormatting>
  <conditionalFormatting sqref="P1928 L1928">
    <cfRule type="cellIs" dxfId="3582" priority="4012" operator="greaterThanOrEqual">
      <formula>5</formula>
    </cfRule>
  </conditionalFormatting>
  <conditionalFormatting sqref="L1928">
    <cfRule type="cellIs" dxfId="3581" priority="4013" operator="greaterThanOrEqual">
      <formula>2</formula>
    </cfRule>
  </conditionalFormatting>
  <conditionalFormatting sqref="M1928">
    <cfRule type="cellIs" dxfId="3580" priority="4014" operator="greaterThanOrEqual">
      <formula>60</formula>
    </cfRule>
  </conditionalFormatting>
  <conditionalFormatting sqref="M1928">
    <cfRule type="cellIs" dxfId="3579" priority="4015" operator="greaterThanOrEqual">
      <formula>30</formula>
    </cfRule>
  </conditionalFormatting>
  <conditionalFormatting sqref="R1928">
    <cfRule type="cellIs" dxfId="3578" priority="4016" operator="greaterThanOrEqual">
      <formula>600</formula>
    </cfRule>
  </conditionalFormatting>
  <conditionalFormatting sqref="R1928">
    <cfRule type="cellIs" dxfId="3577" priority="4017" operator="greaterThanOrEqual">
      <formula>260</formula>
    </cfRule>
  </conditionalFormatting>
  <conditionalFormatting sqref="S1928">
    <cfRule type="containsText" dxfId="3576" priority="4018" operator="containsText" text="&lt;">
      <formula>NOT(ISERROR(SEARCH(("&lt;"),(S1928))))</formula>
    </cfRule>
  </conditionalFormatting>
  <conditionalFormatting sqref="S1928">
    <cfRule type="containsText" dxfId="3575" priority="4019" operator="containsText" text="ND">
      <formula>NOT(ISERROR(SEARCH(("ND"),(S1928))))</formula>
    </cfRule>
  </conditionalFormatting>
  <conditionalFormatting sqref="S1928 N1928">
    <cfRule type="cellIs" dxfId="3574" priority="4020" operator="greaterThanOrEqual">
      <formula>200</formula>
    </cfRule>
  </conditionalFormatting>
  <conditionalFormatting sqref="S1928">
    <cfRule type="cellIs" dxfId="3573" priority="4021" operator="greaterThanOrEqual">
      <formula>130</formula>
    </cfRule>
  </conditionalFormatting>
  <conditionalFormatting sqref="N1928">
    <cfRule type="cellIs" dxfId="3572" priority="4022" operator="greaterThanOrEqual">
      <formula>120</formula>
    </cfRule>
  </conditionalFormatting>
  <conditionalFormatting sqref="O1928:Q1928">
    <cfRule type="containsText" dxfId="3571" priority="4023" operator="containsText" text="ND">
      <formula>NOT(ISERROR(SEARCH(("ND"),(O1928))))</formula>
    </cfRule>
  </conditionalFormatting>
  <conditionalFormatting sqref="O1928">
    <cfRule type="cellIs" dxfId="3570" priority="4024" operator="greaterThanOrEqual">
      <formula>250</formula>
    </cfRule>
  </conditionalFormatting>
  <conditionalFormatting sqref="O1928">
    <cfRule type="cellIs" dxfId="3569" priority="4025" operator="greaterThanOrEqual">
      <formula>175</formula>
    </cfRule>
  </conditionalFormatting>
  <conditionalFormatting sqref="P1928">
    <cfRule type="cellIs" dxfId="3568" priority="4026" operator="greaterThanOrEqual">
      <formula>2.5</formula>
    </cfRule>
  </conditionalFormatting>
  <conditionalFormatting sqref="Q1928">
    <cfRule type="cellIs" dxfId="3567" priority="4027" operator="greaterThanOrEqual">
      <formula>500</formula>
    </cfRule>
  </conditionalFormatting>
  <conditionalFormatting sqref="Q1928">
    <cfRule type="cellIs" dxfId="3566" priority="4028" operator="greaterThanOrEqual">
      <formula>300</formula>
    </cfRule>
  </conditionalFormatting>
  <conditionalFormatting sqref="P1763 L1763">
    <cfRule type="cellIs" dxfId="3565" priority="3995" operator="greaterThanOrEqual">
      <formula>5</formula>
    </cfRule>
  </conditionalFormatting>
  <conditionalFormatting sqref="L1763">
    <cfRule type="cellIs" dxfId="3564" priority="3996" operator="greaterThanOrEqual">
      <formula>2</formula>
    </cfRule>
  </conditionalFormatting>
  <conditionalFormatting sqref="M1763">
    <cfRule type="cellIs" dxfId="3563" priority="3997" operator="greaterThanOrEqual">
      <formula>60</formula>
    </cfRule>
  </conditionalFormatting>
  <conditionalFormatting sqref="M1763">
    <cfRule type="cellIs" dxfId="3562" priority="3998" operator="greaterThanOrEqual">
      <formula>30</formula>
    </cfRule>
  </conditionalFormatting>
  <conditionalFormatting sqref="R1763">
    <cfRule type="cellIs" dxfId="3561" priority="3999" operator="greaterThanOrEqual">
      <formula>600</formula>
    </cfRule>
  </conditionalFormatting>
  <conditionalFormatting sqref="R1763">
    <cfRule type="cellIs" dxfId="3560" priority="4000" operator="greaterThanOrEqual">
      <formula>260</formula>
    </cfRule>
  </conditionalFormatting>
  <conditionalFormatting sqref="S1763">
    <cfRule type="containsText" dxfId="3559" priority="4001" operator="containsText" text="&lt;">
      <formula>NOT(ISERROR(SEARCH(("&lt;"),(S1763))))</formula>
    </cfRule>
  </conditionalFormatting>
  <conditionalFormatting sqref="S1763">
    <cfRule type="containsText" dxfId="3558" priority="4002" operator="containsText" text="ND">
      <formula>NOT(ISERROR(SEARCH(("ND"),(S1763))))</formula>
    </cfRule>
  </conditionalFormatting>
  <conditionalFormatting sqref="S1763 N1763">
    <cfRule type="cellIs" dxfId="3557" priority="4003" operator="greaterThanOrEqual">
      <formula>200</formula>
    </cfRule>
  </conditionalFormatting>
  <conditionalFormatting sqref="S1763">
    <cfRule type="cellIs" dxfId="3556" priority="4004" operator="greaterThanOrEqual">
      <formula>130</formula>
    </cfRule>
  </conditionalFormatting>
  <conditionalFormatting sqref="N1763">
    <cfRule type="cellIs" dxfId="3555" priority="4005" operator="greaterThanOrEqual">
      <formula>120</formula>
    </cfRule>
  </conditionalFormatting>
  <conditionalFormatting sqref="O1763:Q1763">
    <cfRule type="containsText" dxfId="3554" priority="4006" operator="containsText" text="ND">
      <formula>NOT(ISERROR(SEARCH(("ND"),(O1763))))</formula>
    </cfRule>
  </conditionalFormatting>
  <conditionalFormatting sqref="O1763">
    <cfRule type="cellIs" dxfId="3553" priority="4007" operator="greaterThanOrEqual">
      <formula>250</formula>
    </cfRule>
  </conditionalFormatting>
  <conditionalFormatting sqref="O1763">
    <cfRule type="cellIs" dxfId="3552" priority="4008" operator="greaterThanOrEqual">
      <formula>175</formula>
    </cfRule>
  </conditionalFormatting>
  <conditionalFormatting sqref="P1763">
    <cfRule type="cellIs" dxfId="3551" priority="4009" operator="greaterThanOrEqual">
      <formula>2.5</formula>
    </cfRule>
  </conditionalFormatting>
  <conditionalFormatting sqref="Q1763">
    <cfRule type="cellIs" dxfId="3550" priority="4010" operator="greaterThanOrEqual">
      <formula>500</formula>
    </cfRule>
  </conditionalFormatting>
  <conditionalFormatting sqref="Q1763">
    <cfRule type="cellIs" dxfId="3549" priority="4011" operator="greaterThanOrEqual">
      <formula>300</formula>
    </cfRule>
  </conditionalFormatting>
  <conditionalFormatting sqref="L1687 P1687">
    <cfRule type="cellIs" dxfId="3548" priority="3978" operator="greaterThanOrEqual">
      <formula>5</formula>
    </cfRule>
  </conditionalFormatting>
  <conditionalFormatting sqref="L1687">
    <cfRule type="cellIs" dxfId="3547" priority="3979" operator="greaterThanOrEqual">
      <formula>2</formula>
    </cfRule>
  </conditionalFormatting>
  <conditionalFormatting sqref="M1687">
    <cfRule type="cellIs" dxfId="3546" priority="3980" operator="greaterThanOrEqual">
      <formula>60</formula>
    </cfRule>
  </conditionalFormatting>
  <conditionalFormatting sqref="M1687">
    <cfRule type="cellIs" dxfId="3545" priority="3981" operator="greaterThanOrEqual">
      <formula>30</formula>
    </cfRule>
  </conditionalFormatting>
  <conditionalFormatting sqref="R1687">
    <cfRule type="cellIs" dxfId="3544" priority="3982" operator="greaterThanOrEqual">
      <formula>600</formula>
    </cfRule>
  </conditionalFormatting>
  <conditionalFormatting sqref="R1687">
    <cfRule type="cellIs" dxfId="3543" priority="3983" operator="greaterThanOrEqual">
      <formula>260</formula>
    </cfRule>
  </conditionalFormatting>
  <conditionalFormatting sqref="S1687">
    <cfRule type="containsText" dxfId="3542" priority="3984" operator="containsText" text="&lt;">
      <formula>NOT(ISERROR(SEARCH(("&lt;"),(S1687))))</formula>
    </cfRule>
  </conditionalFormatting>
  <conditionalFormatting sqref="S1687">
    <cfRule type="containsText" dxfId="3541" priority="3985" operator="containsText" text="ND">
      <formula>NOT(ISERROR(SEARCH(("ND"),(S1687))))</formula>
    </cfRule>
  </conditionalFormatting>
  <conditionalFormatting sqref="S1687 N1687">
    <cfRule type="cellIs" dxfId="3540" priority="3986" operator="greaterThanOrEqual">
      <formula>200</formula>
    </cfRule>
  </conditionalFormatting>
  <conditionalFormatting sqref="S1687">
    <cfRule type="cellIs" dxfId="3539" priority="3987" operator="greaterThanOrEqual">
      <formula>130</formula>
    </cfRule>
  </conditionalFormatting>
  <conditionalFormatting sqref="N1687">
    <cfRule type="cellIs" dxfId="3538" priority="3988" operator="greaterThanOrEqual">
      <formula>120</formula>
    </cfRule>
  </conditionalFormatting>
  <conditionalFormatting sqref="O1687:Q1687">
    <cfRule type="containsText" dxfId="3537" priority="3989" operator="containsText" text="ND">
      <formula>NOT(ISERROR(SEARCH(("ND"),(O1687))))</formula>
    </cfRule>
  </conditionalFormatting>
  <conditionalFormatting sqref="O1687">
    <cfRule type="cellIs" dxfId="3536" priority="3990" operator="greaterThanOrEqual">
      <formula>250</formula>
    </cfRule>
  </conditionalFormatting>
  <conditionalFormatting sqref="O1687">
    <cfRule type="cellIs" dxfId="3535" priority="3991" operator="greaterThanOrEqual">
      <formula>175</formula>
    </cfRule>
  </conditionalFormatting>
  <conditionalFormatting sqref="P1687">
    <cfRule type="cellIs" dxfId="3534" priority="3992" operator="greaterThanOrEqual">
      <formula>2.5</formula>
    </cfRule>
  </conditionalFormatting>
  <conditionalFormatting sqref="Q1687">
    <cfRule type="cellIs" dxfId="3533" priority="3993" operator="greaterThanOrEqual">
      <formula>500</formula>
    </cfRule>
  </conditionalFormatting>
  <conditionalFormatting sqref="Q1687">
    <cfRule type="cellIs" dxfId="3532" priority="3994" operator="greaterThanOrEqual">
      <formula>300</formula>
    </cfRule>
  </conditionalFormatting>
  <conditionalFormatting sqref="L1766 P1766">
    <cfRule type="cellIs" dxfId="3531" priority="3961" operator="greaterThanOrEqual">
      <formula>5</formula>
    </cfRule>
  </conditionalFormatting>
  <conditionalFormatting sqref="L1766">
    <cfRule type="cellIs" dxfId="3530" priority="3962" operator="greaterThanOrEqual">
      <formula>2</formula>
    </cfRule>
  </conditionalFormatting>
  <conditionalFormatting sqref="M1766">
    <cfRule type="cellIs" dxfId="3529" priority="3963" operator="greaterThanOrEqual">
      <formula>60</formula>
    </cfRule>
  </conditionalFormatting>
  <conditionalFormatting sqref="M1766">
    <cfRule type="cellIs" dxfId="3528" priority="3964" operator="greaterThanOrEqual">
      <formula>30</formula>
    </cfRule>
  </conditionalFormatting>
  <conditionalFormatting sqref="R1766">
    <cfRule type="cellIs" dxfId="3527" priority="3965" operator="greaterThanOrEqual">
      <formula>600</formula>
    </cfRule>
  </conditionalFormatting>
  <conditionalFormatting sqref="R1766">
    <cfRule type="cellIs" dxfId="3526" priority="3966" operator="greaterThanOrEqual">
      <formula>260</formula>
    </cfRule>
  </conditionalFormatting>
  <conditionalFormatting sqref="S1766">
    <cfRule type="containsText" dxfId="3525" priority="3967" operator="containsText" text="&lt;">
      <formula>NOT(ISERROR(SEARCH(("&lt;"),(S1766))))</formula>
    </cfRule>
  </conditionalFormatting>
  <conditionalFormatting sqref="S1766">
    <cfRule type="containsText" dxfId="3524" priority="3968" operator="containsText" text="ND">
      <formula>NOT(ISERROR(SEARCH(("ND"),(S1766))))</formula>
    </cfRule>
  </conditionalFormatting>
  <conditionalFormatting sqref="S1766 N1766">
    <cfRule type="cellIs" dxfId="3523" priority="3969" operator="greaterThanOrEqual">
      <formula>200</formula>
    </cfRule>
  </conditionalFormatting>
  <conditionalFormatting sqref="S1766">
    <cfRule type="cellIs" dxfId="3522" priority="3970" operator="greaterThanOrEqual">
      <formula>130</formula>
    </cfRule>
  </conditionalFormatting>
  <conditionalFormatting sqref="N1766">
    <cfRule type="cellIs" dxfId="3521" priority="3971" operator="greaterThanOrEqual">
      <formula>120</formula>
    </cfRule>
  </conditionalFormatting>
  <conditionalFormatting sqref="O1766:Q1766">
    <cfRule type="containsText" dxfId="3520" priority="3972" operator="containsText" text="ND">
      <formula>NOT(ISERROR(SEARCH(("ND"),(O1766))))</formula>
    </cfRule>
  </conditionalFormatting>
  <conditionalFormatting sqref="O1766">
    <cfRule type="cellIs" dxfId="3519" priority="3973" operator="greaterThanOrEqual">
      <formula>250</formula>
    </cfRule>
  </conditionalFormatting>
  <conditionalFormatting sqref="O1766">
    <cfRule type="cellIs" dxfId="3518" priority="3974" operator="greaterThanOrEqual">
      <formula>175</formula>
    </cfRule>
  </conditionalFormatting>
  <conditionalFormatting sqref="P1766">
    <cfRule type="cellIs" dxfId="3517" priority="3975" operator="greaterThanOrEqual">
      <formula>2.5</formula>
    </cfRule>
  </conditionalFormatting>
  <conditionalFormatting sqref="Q1766">
    <cfRule type="cellIs" dxfId="3516" priority="3976" operator="greaterThanOrEqual">
      <formula>500</formula>
    </cfRule>
  </conditionalFormatting>
  <conditionalFormatting sqref="Q1766">
    <cfRule type="cellIs" dxfId="3515" priority="3977" operator="greaterThanOrEqual">
      <formula>300</formula>
    </cfRule>
  </conditionalFormatting>
  <conditionalFormatting sqref="L2403:L2404 P2403:P2404">
    <cfRule type="cellIs" dxfId="3514" priority="3944" operator="greaterThanOrEqual">
      <formula>5</formula>
    </cfRule>
  </conditionalFormatting>
  <conditionalFormatting sqref="L2403:L2404">
    <cfRule type="cellIs" dxfId="3513" priority="3945" operator="greaterThanOrEqual">
      <formula>2</formula>
    </cfRule>
  </conditionalFormatting>
  <conditionalFormatting sqref="M2403:M2404">
    <cfRule type="cellIs" dxfId="3512" priority="3946" operator="greaterThanOrEqual">
      <formula>60</formula>
    </cfRule>
  </conditionalFormatting>
  <conditionalFormatting sqref="M2403:M2404">
    <cfRule type="cellIs" dxfId="3511" priority="3947" operator="greaterThanOrEqual">
      <formula>30</formula>
    </cfRule>
  </conditionalFormatting>
  <conditionalFormatting sqref="R2403:R2404">
    <cfRule type="cellIs" dxfId="3510" priority="3948" operator="greaterThanOrEqual">
      <formula>600</formula>
    </cfRule>
  </conditionalFormatting>
  <conditionalFormatting sqref="R2403:R2404">
    <cfRule type="cellIs" dxfId="3509" priority="3949" operator="greaterThanOrEqual">
      <formula>260</formula>
    </cfRule>
  </conditionalFormatting>
  <conditionalFormatting sqref="S2403:S2404">
    <cfRule type="containsText" dxfId="3508" priority="3950" operator="containsText" text="&lt;">
      <formula>NOT(ISERROR(SEARCH(("&lt;"),(S2403))))</formula>
    </cfRule>
  </conditionalFormatting>
  <conditionalFormatting sqref="S2403:S2404">
    <cfRule type="containsText" dxfId="3507" priority="3951" operator="containsText" text="ND">
      <formula>NOT(ISERROR(SEARCH(("ND"),(S2403))))</formula>
    </cfRule>
  </conditionalFormatting>
  <conditionalFormatting sqref="S2403:S2404 N2403:N2404">
    <cfRule type="cellIs" dxfId="3506" priority="3952" operator="greaterThanOrEqual">
      <formula>200</formula>
    </cfRule>
  </conditionalFormatting>
  <conditionalFormatting sqref="S2403:S2404">
    <cfRule type="cellIs" dxfId="3505" priority="3953" operator="greaterThanOrEqual">
      <formula>130</formula>
    </cfRule>
  </conditionalFormatting>
  <conditionalFormatting sqref="N2403:N2404">
    <cfRule type="cellIs" dxfId="3504" priority="3954" operator="greaterThanOrEqual">
      <formula>120</formula>
    </cfRule>
  </conditionalFormatting>
  <conditionalFormatting sqref="O2403:Q2404">
    <cfRule type="containsText" dxfId="3503" priority="3955" operator="containsText" text="ND">
      <formula>NOT(ISERROR(SEARCH(("ND"),(O2403))))</formula>
    </cfRule>
  </conditionalFormatting>
  <conditionalFormatting sqref="O2403:O2404">
    <cfRule type="cellIs" dxfId="3502" priority="3956" operator="greaterThanOrEqual">
      <formula>250</formula>
    </cfRule>
  </conditionalFormatting>
  <conditionalFormatting sqref="O2403:O2404">
    <cfRule type="cellIs" dxfId="3501" priority="3957" operator="greaterThanOrEqual">
      <formula>175</formula>
    </cfRule>
  </conditionalFormatting>
  <conditionalFormatting sqref="P2403:P2404">
    <cfRule type="cellIs" dxfId="3500" priority="3958" operator="greaterThanOrEqual">
      <formula>2.5</formula>
    </cfRule>
  </conditionalFormatting>
  <conditionalFormatting sqref="Q2403:Q2404">
    <cfRule type="cellIs" dxfId="3499" priority="3959" operator="greaterThanOrEqual">
      <formula>500</formula>
    </cfRule>
  </conditionalFormatting>
  <conditionalFormatting sqref="Q2403:Q2404">
    <cfRule type="cellIs" dxfId="3498" priority="3960" operator="greaterThanOrEqual">
      <formula>300</formula>
    </cfRule>
  </conditionalFormatting>
  <conditionalFormatting sqref="L1767 P1767">
    <cfRule type="cellIs" dxfId="3497" priority="3927" operator="greaterThanOrEqual">
      <formula>5</formula>
    </cfRule>
  </conditionalFormatting>
  <conditionalFormatting sqref="L1767">
    <cfRule type="cellIs" dxfId="3496" priority="3928" operator="greaterThanOrEqual">
      <formula>2</formula>
    </cfRule>
  </conditionalFormatting>
  <conditionalFormatting sqref="M1767">
    <cfRule type="cellIs" dxfId="3495" priority="3929" operator="greaterThanOrEqual">
      <formula>60</formula>
    </cfRule>
  </conditionalFormatting>
  <conditionalFormatting sqref="M1767">
    <cfRule type="cellIs" dxfId="3494" priority="3930" operator="greaterThanOrEqual">
      <formula>30</formula>
    </cfRule>
  </conditionalFormatting>
  <conditionalFormatting sqref="R1767">
    <cfRule type="cellIs" dxfId="3493" priority="3931" operator="greaterThanOrEqual">
      <formula>600</formula>
    </cfRule>
  </conditionalFormatting>
  <conditionalFormatting sqref="R1767">
    <cfRule type="cellIs" dxfId="3492" priority="3932" operator="greaterThanOrEqual">
      <formula>260</formula>
    </cfRule>
  </conditionalFormatting>
  <conditionalFormatting sqref="S1767">
    <cfRule type="containsText" dxfId="3491" priority="3933" operator="containsText" text="&lt;">
      <formula>NOT(ISERROR(SEARCH(("&lt;"),(S1767))))</formula>
    </cfRule>
  </conditionalFormatting>
  <conditionalFormatting sqref="S1767">
    <cfRule type="containsText" dxfId="3490" priority="3934" operator="containsText" text="ND">
      <formula>NOT(ISERROR(SEARCH(("ND"),(S1767))))</formula>
    </cfRule>
  </conditionalFormatting>
  <conditionalFormatting sqref="S1767 N1767">
    <cfRule type="cellIs" dxfId="3489" priority="3935" operator="greaterThanOrEqual">
      <formula>200</formula>
    </cfRule>
  </conditionalFormatting>
  <conditionalFormatting sqref="S1767">
    <cfRule type="cellIs" dxfId="3488" priority="3936" operator="greaterThanOrEqual">
      <formula>130</formula>
    </cfRule>
  </conditionalFormatting>
  <conditionalFormatting sqref="N1767">
    <cfRule type="cellIs" dxfId="3487" priority="3937" operator="greaterThanOrEqual">
      <formula>120</formula>
    </cfRule>
  </conditionalFormatting>
  <conditionalFormatting sqref="O1767:Q1767">
    <cfRule type="containsText" dxfId="3486" priority="3938" operator="containsText" text="ND">
      <formula>NOT(ISERROR(SEARCH(("ND"),(O1767))))</formula>
    </cfRule>
  </conditionalFormatting>
  <conditionalFormatting sqref="O1767">
    <cfRule type="cellIs" dxfId="3485" priority="3939" operator="greaterThanOrEqual">
      <formula>250</formula>
    </cfRule>
  </conditionalFormatting>
  <conditionalFormatting sqref="O1767">
    <cfRule type="cellIs" dxfId="3484" priority="3940" operator="greaterThanOrEqual">
      <formula>175</formula>
    </cfRule>
  </conditionalFormatting>
  <conditionalFormatting sqref="P1767">
    <cfRule type="cellIs" dxfId="3483" priority="3941" operator="greaterThanOrEqual">
      <formula>2.5</formula>
    </cfRule>
  </conditionalFormatting>
  <conditionalFormatting sqref="Q1767">
    <cfRule type="cellIs" dxfId="3482" priority="3942" operator="greaterThanOrEqual">
      <formula>500</formula>
    </cfRule>
  </conditionalFormatting>
  <conditionalFormatting sqref="Q1767">
    <cfRule type="cellIs" dxfId="3481" priority="3943" operator="greaterThanOrEqual">
      <formula>300</formula>
    </cfRule>
  </conditionalFormatting>
  <conditionalFormatting sqref="L2102:L2103 P2102:P2103">
    <cfRule type="cellIs" dxfId="3480" priority="3910" operator="greaterThanOrEqual">
      <formula>5</formula>
    </cfRule>
  </conditionalFormatting>
  <conditionalFormatting sqref="L2102:L2103">
    <cfRule type="cellIs" dxfId="3479" priority="3911" operator="greaterThanOrEqual">
      <formula>2</formula>
    </cfRule>
  </conditionalFormatting>
  <conditionalFormatting sqref="M2102:M2103">
    <cfRule type="cellIs" dxfId="3478" priority="3912" operator="greaterThanOrEqual">
      <formula>60</formula>
    </cfRule>
  </conditionalFormatting>
  <conditionalFormatting sqref="M2102:M2103">
    <cfRule type="cellIs" dxfId="3477" priority="3913" operator="greaterThanOrEqual">
      <formula>30</formula>
    </cfRule>
  </conditionalFormatting>
  <conditionalFormatting sqref="R2102:R2103">
    <cfRule type="cellIs" dxfId="3476" priority="3914" operator="greaterThanOrEqual">
      <formula>600</formula>
    </cfRule>
  </conditionalFormatting>
  <conditionalFormatting sqref="R2102:R2103">
    <cfRule type="cellIs" dxfId="3475" priority="3915" operator="greaterThanOrEqual">
      <formula>260</formula>
    </cfRule>
  </conditionalFormatting>
  <conditionalFormatting sqref="S2102:S2103">
    <cfRule type="containsText" dxfId="3474" priority="3916" operator="containsText" text="&lt;">
      <formula>NOT(ISERROR(SEARCH(("&lt;"),(S2102))))</formula>
    </cfRule>
  </conditionalFormatting>
  <conditionalFormatting sqref="S2102:S2103">
    <cfRule type="containsText" dxfId="3473" priority="3917" operator="containsText" text="ND">
      <formula>NOT(ISERROR(SEARCH(("ND"),(S2102))))</formula>
    </cfRule>
  </conditionalFormatting>
  <conditionalFormatting sqref="S2102:S2103 N2102:N2103">
    <cfRule type="cellIs" dxfId="3472" priority="3918" operator="greaterThanOrEqual">
      <formula>200</formula>
    </cfRule>
  </conditionalFormatting>
  <conditionalFormatting sqref="S2102:S2103">
    <cfRule type="cellIs" dxfId="3471" priority="3919" operator="greaterThanOrEqual">
      <formula>130</formula>
    </cfRule>
  </conditionalFormatting>
  <conditionalFormatting sqref="N2102:N2103">
    <cfRule type="cellIs" dxfId="3470" priority="3920" operator="greaterThanOrEqual">
      <formula>120</formula>
    </cfRule>
  </conditionalFormatting>
  <conditionalFormatting sqref="O2102:Q2103">
    <cfRule type="containsText" dxfId="3469" priority="3921" operator="containsText" text="ND">
      <formula>NOT(ISERROR(SEARCH(("ND"),(O2102))))</formula>
    </cfRule>
  </conditionalFormatting>
  <conditionalFormatting sqref="O2102:O2103">
    <cfRule type="cellIs" dxfId="3468" priority="3922" operator="greaterThanOrEqual">
      <formula>250</formula>
    </cfRule>
  </conditionalFormatting>
  <conditionalFormatting sqref="O2102:O2103">
    <cfRule type="cellIs" dxfId="3467" priority="3923" operator="greaterThanOrEqual">
      <formula>175</formula>
    </cfRule>
  </conditionalFormatting>
  <conditionalFormatting sqref="P2102:P2103">
    <cfRule type="cellIs" dxfId="3466" priority="3924" operator="greaterThanOrEqual">
      <formula>2.5</formula>
    </cfRule>
  </conditionalFormatting>
  <conditionalFormatting sqref="Q2102:Q2103">
    <cfRule type="cellIs" dxfId="3465" priority="3925" operator="greaterThanOrEqual">
      <formula>500</formula>
    </cfRule>
  </conditionalFormatting>
  <conditionalFormatting sqref="Q2102:Q2103">
    <cfRule type="cellIs" dxfId="3464" priority="3926" operator="greaterThanOrEqual">
      <formula>300</formula>
    </cfRule>
  </conditionalFormatting>
  <conditionalFormatting sqref="L1671 P1671">
    <cfRule type="cellIs" dxfId="3463" priority="3893" operator="greaterThanOrEqual">
      <formula>5</formula>
    </cfRule>
  </conditionalFormatting>
  <conditionalFormatting sqref="L1671">
    <cfRule type="cellIs" dxfId="3462" priority="3894" operator="greaterThanOrEqual">
      <formula>2</formula>
    </cfRule>
  </conditionalFormatting>
  <conditionalFormatting sqref="M1671">
    <cfRule type="cellIs" dxfId="3461" priority="3895" operator="greaterThanOrEqual">
      <formula>60</formula>
    </cfRule>
  </conditionalFormatting>
  <conditionalFormatting sqref="M1671">
    <cfRule type="cellIs" dxfId="3460" priority="3896" operator="greaterThanOrEqual">
      <formula>30</formula>
    </cfRule>
  </conditionalFormatting>
  <conditionalFormatting sqref="R1671">
    <cfRule type="cellIs" dxfId="3459" priority="3897" operator="greaterThanOrEqual">
      <formula>600</formula>
    </cfRule>
  </conditionalFormatting>
  <conditionalFormatting sqref="R1671">
    <cfRule type="cellIs" dxfId="3458" priority="3898" operator="greaterThanOrEqual">
      <formula>260</formula>
    </cfRule>
  </conditionalFormatting>
  <conditionalFormatting sqref="S1671">
    <cfRule type="containsText" dxfId="3457" priority="3899" operator="containsText" text="&lt;">
      <formula>NOT(ISERROR(SEARCH(("&lt;"),(S1671))))</formula>
    </cfRule>
  </conditionalFormatting>
  <conditionalFormatting sqref="S1671">
    <cfRule type="containsText" dxfId="3456" priority="3900" operator="containsText" text="ND">
      <formula>NOT(ISERROR(SEARCH(("ND"),(S1671))))</formula>
    </cfRule>
  </conditionalFormatting>
  <conditionalFormatting sqref="S1671 N1671">
    <cfRule type="cellIs" dxfId="3455" priority="3901" operator="greaterThanOrEqual">
      <formula>200</formula>
    </cfRule>
  </conditionalFormatting>
  <conditionalFormatting sqref="S1671">
    <cfRule type="cellIs" dxfId="3454" priority="3902" operator="greaterThanOrEqual">
      <formula>130</formula>
    </cfRule>
  </conditionalFormatting>
  <conditionalFormatting sqref="N1671">
    <cfRule type="cellIs" dxfId="3453" priority="3903" operator="greaterThanOrEqual">
      <formula>120</formula>
    </cfRule>
  </conditionalFormatting>
  <conditionalFormatting sqref="O1671:Q1671">
    <cfRule type="containsText" dxfId="3452" priority="3904" operator="containsText" text="ND">
      <formula>NOT(ISERROR(SEARCH(("ND"),(O1671))))</formula>
    </cfRule>
  </conditionalFormatting>
  <conditionalFormatting sqref="O1671">
    <cfRule type="cellIs" dxfId="3451" priority="3905" operator="greaterThanOrEqual">
      <formula>250</formula>
    </cfRule>
  </conditionalFormatting>
  <conditionalFormatting sqref="O1671">
    <cfRule type="cellIs" dxfId="3450" priority="3906" operator="greaterThanOrEqual">
      <formula>175</formula>
    </cfRule>
  </conditionalFormatting>
  <conditionalFormatting sqref="P1671">
    <cfRule type="cellIs" dxfId="3449" priority="3907" operator="greaterThanOrEqual">
      <formula>2.5</formula>
    </cfRule>
  </conditionalFormatting>
  <conditionalFormatting sqref="Q1671">
    <cfRule type="cellIs" dxfId="3448" priority="3908" operator="greaterThanOrEqual">
      <formula>500</formula>
    </cfRule>
  </conditionalFormatting>
  <conditionalFormatting sqref="Q1671">
    <cfRule type="cellIs" dxfId="3447" priority="3909" operator="greaterThanOrEqual">
      <formula>300</formula>
    </cfRule>
  </conditionalFormatting>
  <conditionalFormatting sqref="L1936 P1936">
    <cfRule type="cellIs" dxfId="3446" priority="3876" operator="greaterThanOrEqual">
      <formula>5</formula>
    </cfRule>
  </conditionalFormatting>
  <conditionalFormatting sqref="L1936">
    <cfRule type="cellIs" dxfId="3445" priority="3877" operator="greaterThanOrEqual">
      <formula>2</formula>
    </cfRule>
  </conditionalFormatting>
  <conditionalFormatting sqref="M1936">
    <cfRule type="cellIs" dxfId="3444" priority="3878" operator="greaterThanOrEqual">
      <formula>60</formula>
    </cfRule>
  </conditionalFormatting>
  <conditionalFormatting sqref="M1936">
    <cfRule type="cellIs" dxfId="3443" priority="3879" operator="greaterThanOrEqual">
      <formula>30</formula>
    </cfRule>
  </conditionalFormatting>
  <conditionalFormatting sqref="R1936">
    <cfRule type="cellIs" dxfId="3442" priority="3880" operator="greaterThanOrEqual">
      <formula>600</formula>
    </cfRule>
  </conditionalFormatting>
  <conditionalFormatting sqref="R1936">
    <cfRule type="cellIs" dxfId="3441" priority="3881" operator="greaterThanOrEqual">
      <formula>260</formula>
    </cfRule>
  </conditionalFormatting>
  <conditionalFormatting sqref="S1936">
    <cfRule type="containsText" dxfId="3440" priority="3882" operator="containsText" text="&lt;">
      <formula>NOT(ISERROR(SEARCH(("&lt;"),(S1936))))</formula>
    </cfRule>
  </conditionalFormatting>
  <conditionalFormatting sqref="S1936">
    <cfRule type="containsText" dxfId="3439" priority="3883" operator="containsText" text="ND">
      <formula>NOT(ISERROR(SEARCH(("ND"),(S1936))))</formula>
    </cfRule>
  </conditionalFormatting>
  <conditionalFormatting sqref="S1936 N1936">
    <cfRule type="cellIs" dxfId="3438" priority="3884" operator="greaterThanOrEqual">
      <formula>200</formula>
    </cfRule>
  </conditionalFormatting>
  <conditionalFormatting sqref="S1936">
    <cfRule type="cellIs" dxfId="3437" priority="3885" operator="greaterThanOrEqual">
      <formula>130</formula>
    </cfRule>
  </conditionalFormatting>
  <conditionalFormatting sqref="N1936">
    <cfRule type="cellIs" dxfId="3436" priority="3886" operator="greaterThanOrEqual">
      <formula>120</formula>
    </cfRule>
  </conditionalFormatting>
  <conditionalFormatting sqref="O1936:Q1936">
    <cfRule type="containsText" dxfId="3435" priority="3887" operator="containsText" text="ND">
      <formula>NOT(ISERROR(SEARCH(("ND"),(O1936))))</formula>
    </cfRule>
  </conditionalFormatting>
  <conditionalFormatting sqref="O1936">
    <cfRule type="cellIs" dxfId="3434" priority="3888" operator="greaterThanOrEqual">
      <formula>250</formula>
    </cfRule>
  </conditionalFormatting>
  <conditionalFormatting sqref="O1936">
    <cfRule type="cellIs" dxfId="3433" priority="3889" operator="greaterThanOrEqual">
      <formula>175</formula>
    </cfRule>
  </conditionalFormatting>
  <conditionalFormatting sqref="P1936">
    <cfRule type="cellIs" dxfId="3432" priority="3890" operator="greaterThanOrEqual">
      <formula>2.5</formula>
    </cfRule>
  </conditionalFormatting>
  <conditionalFormatting sqref="Q1936">
    <cfRule type="cellIs" dxfId="3431" priority="3891" operator="greaterThanOrEqual">
      <formula>500</formula>
    </cfRule>
  </conditionalFormatting>
  <conditionalFormatting sqref="Q1936">
    <cfRule type="cellIs" dxfId="3430" priority="3892" operator="greaterThanOrEqual">
      <formula>300</formula>
    </cfRule>
  </conditionalFormatting>
  <conditionalFormatting sqref="L1772 P1772">
    <cfRule type="cellIs" dxfId="3429" priority="3859" operator="greaterThanOrEqual">
      <formula>5</formula>
    </cfRule>
  </conditionalFormatting>
  <conditionalFormatting sqref="L1772">
    <cfRule type="cellIs" dxfId="3428" priority="3860" operator="greaterThanOrEqual">
      <formula>2</formula>
    </cfRule>
  </conditionalFormatting>
  <conditionalFormatting sqref="M1772">
    <cfRule type="cellIs" dxfId="3427" priority="3861" operator="greaterThanOrEqual">
      <formula>60</formula>
    </cfRule>
  </conditionalFormatting>
  <conditionalFormatting sqref="M1772">
    <cfRule type="cellIs" dxfId="3426" priority="3862" operator="greaterThanOrEqual">
      <formula>30</formula>
    </cfRule>
  </conditionalFormatting>
  <conditionalFormatting sqref="R1772">
    <cfRule type="cellIs" dxfId="3425" priority="3863" operator="greaterThanOrEqual">
      <formula>600</formula>
    </cfRule>
  </conditionalFormatting>
  <conditionalFormatting sqref="R1772">
    <cfRule type="cellIs" dxfId="3424" priority="3864" operator="greaterThanOrEqual">
      <formula>260</formula>
    </cfRule>
  </conditionalFormatting>
  <conditionalFormatting sqref="S1772">
    <cfRule type="containsText" dxfId="3423" priority="3865" operator="containsText" text="&lt;">
      <formula>NOT(ISERROR(SEARCH(("&lt;"),(S1772))))</formula>
    </cfRule>
  </conditionalFormatting>
  <conditionalFormatting sqref="S1772">
    <cfRule type="containsText" dxfId="3422" priority="3866" operator="containsText" text="ND">
      <formula>NOT(ISERROR(SEARCH(("ND"),(S1772))))</formula>
    </cfRule>
  </conditionalFormatting>
  <conditionalFormatting sqref="S1772 N1772">
    <cfRule type="cellIs" dxfId="3421" priority="3867" operator="greaterThanOrEqual">
      <formula>200</formula>
    </cfRule>
  </conditionalFormatting>
  <conditionalFormatting sqref="S1772">
    <cfRule type="cellIs" dxfId="3420" priority="3868" operator="greaterThanOrEqual">
      <formula>130</formula>
    </cfRule>
  </conditionalFormatting>
  <conditionalFormatting sqref="N1772">
    <cfRule type="cellIs" dxfId="3419" priority="3869" operator="greaterThanOrEqual">
      <formula>120</formula>
    </cfRule>
  </conditionalFormatting>
  <conditionalFormatting sqref="O1772:Q1772">
    <cfRule type="containsText" dxfId="3418" priority="3870" operator="containsText" text="ND">
      <formula>NOT(ISERROR(SEARCH(("ND"),(O1772))))</formula>
    </cfRule>
  </conditionalFormatting>
  <conditionalFormatting sqref="O1772">
    <cfRule type="cellIs" dxfId="3417" priority="3871" operator="greaterThanOrEqual">
      <formula>250</formula>
    </cfRule>
  </conditionalFormatting>
  <conditionalFormatting sqref="O1772">
    <cfRule type="cellIs" dxfId="3416" priority="3872" operator="greaterThanOrEqual">
      <formula>175</formula>
    </cfRule>
  </conditionalFormatting>
  <conditionalFormatting sqref="P1772">
    <cfRule type="cellIs" dxfId="3415" priority="3873" operator="greaterThanOrEqual">
      <formula>2.5</formula>
    </cfRule>
  </conditionalFormatting>
  <conditionalFormatting sqref="Q1772">
    <cfRule type="cellIs" dxfId="3414" priority="3874" operator="greaterThanOrEqual">
      <formula>500</formula>
    </cfRule>
  </conditionalFormatting>
  <conditionalFormatting sqref="Q1772">
    <cfRule type="cellIs" dxfId="3413" priority="3875" operator="greaterThanOrEqual">
      <formula>300</formula>
    </cfRule>
  </conditionalFormatting>
  <conditionalFormatting sqref="P1941 L1941">
    <cfRule type="cellIs" dxfId="3412" priority="3842" operator="greaterThanOrEqual">
      <formula>5</formula>
    </cfRule>
  </conditionalFormatting>
  <conditionalFormatting sqref="L1941">
    <cfRule type="cellIs" dxfId="3411" priority="3843" operator="greaterThanOrEqual">
      <formula>2</formula>
    </cfRule>
  </conditionalFormatting>
  <conditionalFormatting sqref="M1941">
    <cfRule type="cellIs" dxfId="3410" priority="3844" operator="greaterThanOrEqual">
      <formula>60</formula>
    </cfRule>
  </conditionalFormatting>
  <conditionalFormatting sqref="M1941">
    <cfRule type="cellIs" dxfId="3409" priority="3845" operator="greaterThanOrEqual">
      <formula>30</formula>
    </cfRule>
  </conditionalFormatting>
  <conditionalFormatting sqref="R1941">
    <cfRule type="cellIs" dxfId="3408" priority="3846" operator="greaterThanOrEqual">
      <formula>600</formula>
    </cfRule>
  </conditionalFormatting>
  <conditionalFormatting sqref="R1941">
    <cfRule type="cellIs" dxfId="3407" priority="3847" operator="greaterThanOrEqual">
      <formula>260</formula>
    </cfRule>
  </conditionalFormatting>
  <conditionalFormatting sqref="S1941">
    <cfRule type="containsText" dxfId="3406" priority="3848" operator="containsText" text="&lt;">
      <formula>NOT(ISERROR(SEARCH(("&lt;"),(S1941))))</formula>
    </cfRule>
  </conditionalFormatting>
  <conditionalFormatting sqref="S1941">
    <cfRule type="containsText" dxfId="3405" priority="3849" operator="containsText" text="ND">
      <formula>NOT(ISERROR(SEARCH(("ND"),(S1941))))</formula>
    </cfRule>
  </conditionalFormatting>
  <conditionalFormatting sqref="N1941 S1941">
    <cfRule type="cellIs" dxfId="3404" priority="3850" operator="greaterThanOrEqual">
      <formula>200</formula>
    </cfRule>
  </conditionalFormatting>
  <conditionalFormatting sqref="S1941">
    <cfRule type="cellIs" dxfId="3403" priority="3851" operator="greaterThanOrEqual">
      <formula>130</formula>
    </cfRule>
  </conditionalFormatting>
  <conditionalFormatting sqref="N1941">
    <cfRule type="cellIs" dxfId="3402" priority="3852" operator="greaterThanOrEqual">
      <formula>120</formula>
    </cfRule>
  </conditionalFormatting>
  <conditionalFormatting sqref="O1941:Q1941">
    <cfRule type="containsText" dxfId="3401" priority="3853" operator="containsText" text="ND">
      <formula>NOT(ISERROR(SEARCH(("ND"),(O1941))))</formula>
    </cfRule>
  </conditionalFormatting>
  <conditionalFormatting sqref="O1941">
    <cfRule type="cellIs" dxfId="3400" priority="3854" operator="greaterThanOrEqual">
      <formula>250</formula>
    </cfRule>
  </conditionalFormatting>
  <conditionalFormatting sqref="O1941">
    <cfRule type="cellIs" dxfId="3399" priority="3855" operator="greaterThanOrEqual">
      <formula>175</formula>
    </cfRule>
  </conditionalFormatting>
  <conditionalFormatting sqref="P1941">
    <cfRule type="cellIs" dxfId="3398" priority="3856" operator="greaterThanOrEqual">
      <formula>2.5</formula>
    </cfRule>
  </conditionalFormatting>
  <conditionalFormatting sqref="Q1941">
    <cfRule type="cellIs" dxfId="3397" priority="3857" operator="greaterThanOrEqual">
      <formula>500</formula>
    </cfRule>
  </conditionalFormatting>
  <conditionalFormatting sqref="Q1941">
    <cfRule type="cellIs" dxfId="3396" priority="3858" operator="greaterThanOrEqual">
      <formula>300</formula>
    </cfRule>
  </conditionalFormatting>
  <conditionalFormatting sqref="P1945:P1946 L1945:L1946">
    <cfRule type="cellIs" dxfId="3395" priority="3825" operator="greaterThanOrEqual">
      <formula>5</formula>
    </cfRule>
  </conditionalFormatting>
  <conditionalFormatting sqref="L1945:L1946">
    <cfRule type="cellIs" dxfId="3394" priority="3826" operator="greaterThanOrEqual">
      <formula>2</formula>
    </cfRule>
  </conditionalFormatting>
  <conditionalFormatting sqref="M1945:M1946">
    <cfRule type="cellIs" dxfId="3393" priority="3827" operator="greaterThanOrEqual">
      <formula>60</formula>
    </cfRule>
  </conditionalFormatting>
  <conditionalFormatting sqref="M1945:M1946">
    <cfRule type="cellIs" dxfId="3392" priority="3828" operator="greaterThanOrEqual">
      <formula>30</formula>
    </cfRule>
  </conditionalFormatting>
  <conditionalFormatting sqref="R1945:R1946">
    <cfRule type="cellIs" dxfId="3391" priority="3829" operator="greaterThanOrEqual">
      <formula>600</formula>
    </cfRule>
  </conditionalFormatting>
  <conditionalFormatting sqref="R1945:R1946">
    <cfRule type="cellIs" dxfId="3390" priority="3830" operator="greaterThanOrEqual">
      <formula>260</formula>
    </cfRule>
  </conditionalFormatting>
  <conditionalFormatting sqref="S1945:S1946">
    <cfRule type="containsText" dxfId="3389" priority="3831" operator="containsText" text="&lt;">
      <formula>NOT(ISERROR(SEARCH(("&lt;"),(S1945))))</formula>
    </cfRule>
  </conditionalFormatting>
  <conditionalFormatting sqref="S1945:S1946">
    <cfRule type="containsText" dxfId="3388" priority="3832" operator="containsText" text="ND">
      <formula>NOT(ISERROR(SEARCH(("ND"),(S1945))))</formula>
    </cfRule>
  </conditionalFormatting>
  <conditionalFormatting sqref="N1945:N1946 S1945:S1946">
    <cfRule type="cellIs" dxfId="3387" priority="3833" operator="greaterThanOrEqual">
      <formula>200</formula>
    </cfRule>
  </conditionalFormatting>
  <conditionalFormatting sqref="S1945:S1946">
    <cfRule type="cellIs" dxfId="3386" priority="3834" operator="greaterThanOrEqual">
      <formula>130</formula>
    </cfRule>
  </conditionalFormatting>
  <conditionalFormatting sqref="N1945:N1946">
    <cfRule type="cellIs" dxfId="3385" priority="3835" operator="greaterThanOrEqual">
      <formula>120</formula>
    </cfRule>
  </conditionalFormatting>
  <conditionalFormatting sqref="O1945:Q1946">
    <cfRule type="containsText" dxfId="3384" priority="3836" operator="containsText" text="ND">
      <formula>NOT(ISERROR(SEARCH(("ND"),(O1945))))</formula>
    </cfRule>
  </conditionalFormatting>
  <conditionalFormatting sqref="O1945:O1946">
    <cfRule type="cellIs" dxfId="3383" priority="3837" operator="greaterThanOrEqual">
      <formula>250</formula>
    </cfRule>
  </conditionalFormatting>
  <conditionalFormatting sqref="O1945:O1946">
    <cfRule type="cellIs" dxfId="3382" priority="3838" operator="greaterThanOrEqual">
      <formula>175</formula>
    </cfRule>
  </conditionalFormatting>
  <conditionalFormatting sqref="P1945:P1946">
    <cfRule type="cellIs" dxfId="3381" priority="3839" operator="greaterThanOrEqual">
      <formula>2.5</formula>
    </cfRule>
  </conditionalFormatting>
  <conditionalFormatting sqref="Q1945:Q1946">
    <cfRule type="cellIs" dxfId="3380" priority="3840" operator="greaterThanOrEqual">
      <formula>500</formula>
    </cfRule>
  </conditionalFormatting>
  <conditionalFormatting sqref="Q1945:Q1946">
    <cfRule type="cellIs" dxfId="3379" priority="3841" operator="greaterThanOrEqual">
      <formula>300</formula>
    </cfRule>
  </conditionalFormatting>
  <conditionalFormatting sqref="P2407 L2407">
    <cfRule type="cellIs" dxfId="3378" priority="3808" operator="greaterThanOrEqual">
      <formula>5</formula>
    </cfRule>
  </conditionalFormatting>
  <conditionalFormatting sqref="L2407">
    <cfRule type="cellIs" dxfId="3377" priority="3809" operator="greaterThanOrEqual">
      <formula>2</formula>
    </cfRule>
  </conditionalFormatting>
  <conditionalFormatting sqref="M2407">
    <cfRule type="cellIs" dxfId="3376" priority="3810" operator="greaterThanOrEqual">
      <formula>60</formula>
    </cfRule>
  </conditionalFormatting>
  <conditionalFormatting sqref="M2407">
    <cfRule type="cellIs" dxfId="3375" priority="3811" operator="greaterThanOrEqual">
      <formula>30</formula>
    </cfRule>
  </conditionalFormatting>
  <conditionalFormatting sqref="R2407">
    <cfRule type="cellIs" dxfId="3374" priority="3812" operator="greaterThanOrEqual">
      <formula>600</formula>
    </cfRule>
  </conditionalFormatting>
  <conditionalFormatting sqref="R2407">
    <cfRule type="cellIs" dxfId="3373" priority="3813" operator="greaterThanOrEqual">
      <formula>260</formula>
    </cfRule>
  </conditionalFormatting>
  <conditionalFormatting sqref="S2407">
    <cfRule type="containsText" dxfId="3372" priority="3814" operator="containsText" text="&lt;">
      <formula>NOT(ISERROR(SEARCH(("&lt;"),(S2407))))</formula>
    </cfRule>
  </conditionalFormatting>
  <conditionalFormatting sqref="S2407">
    <cfRule type="containsText" dxfId="3371" priority="3815" operator="containsText" text="ND">
      <formula>NOT(ISERROR(SEARCH(("ND"),(S2407))))</formula>
    </cfRule>
  </conditionalFormatting>
  <conditionalFormatting sqref="N2407 S2407">
    <cfRule type="cellIs" dxfId="3370" priority="3816" operator="greaterThanOrEqual">
      <formula>200</formula>
    </cfRule>
  </conditionalFormatting>
  <conditionalFormatting sqref="S2407">
    <cfRule type="cellIs" dxfId="3369" priority="3817" operator="greaterThanOrEqual">
      <formula>130</formula>
    </cfRule>
  </conditionalFormatting>
  <conditionalFormatting sqref="N2407">
    <cfRule type="cellIs" dxfId="3368" priority="3818" operator="greaterThanOrEqual">
      <formula>120</formula>
    </cfRule>
  </conditionalFormatting>
  <conditionalFormatting sqref="O2407:Q2407">
    <cfRule type="containsText" dxfId="3367" priority="3819" operator="containsText" text="ND">
      <formula>NOT(ISERROR(SEARCH(("ND"),(O2407))))</formula>
    </cfRule>
  </conditionalFormatting>
  <conditionalFormatting sqref="O2407">
    <cfRule type="cellIs" dxfId="3366" priority="3820" operator="greaterThanOrEqual">
      <formula>250</formula>
    </cfRule>
  </conditionalFormatting>
  <conditionalFormatting sqref="O2407">
    <cfRule type="cellIs" dxfId="3365" priority="3821" operator="greaterThanOrEqual">
      <formula>175</formula>
    </cfRule>
  </conditionalFormatting>
  <conditionalFormatting sqref="P2407">
    <cfRule type="cellIs" dxfId="3364" priority="3822" operator="greaterThanOrEqual">
      <formula>2.5</formula>
    </cfRule>
  </conditionalFormatting>
  <conditionalFormatting sqref="Q2407">
    <cfRule type="cellIs" dxfId="3363" priority="3823" operator="greaterThanOrEqual">
      <formula>500</formula>
    </cfRule>
  </conditionalFormatting>
  <conditionalFormatting sqref="Q2407">
    <cfRule type="cellIs" dxfId="3362" priority="3824" operator="greaterThanOrEqual">
      <formula>300</formula>
    </cfRule>
  </conditionalFormatting>
  <conditionalFormatting sqref="L1954:L1955 P1954:P1955">
    <cfRule type="cellIs" dxfId="3361" priority="3791" operator="greaterThanOrEqual">
      <formula>5</formula>
    </cfRule>
  </conditionalFormatting>
  <conditionalFormatting sqref="L1954:L1955">
    <cfRule type="cellIs" dxfId="3360" priority="3792" operator="greaterThanOrEqual">
      <formula>2</formula>
    </cfRule>
  </conditionalFormatting>
  <conditionalFormatting sqref="M1954:M1955">
    <cfRule type="cellIs" dxfId="3359" priority="3793" operator="greaterThanOrEqual">
      <formula>60</formula>
    </cfRule>
  </conditionalFormatting>
  <conditionalFormatting sqref="M1954:M1955">
    <cfRule type="cellIs" dxfId="3358" priority="3794" operator="greaterThanOrEqual">
      <formula>30</formula>
    </cfRule>
  </conditionalFormatting>
  <conditionalFormatting sqref="R1954:R1955">
    <cfRule type="cellIs" dxfId="3357" priority="3795" operator="greaterThanOrEqual">
      <formula>600</formula>
    </cfRule>
  </conditionalFormatting>
  <conditionalFormatting sqref="R1954:R1955">
    <cfRule type="cellIs" dxfId="3356" priority="3796" operator="greaterThanOrEqual">
      <formula>260</formula>
    </cfRule>
  </conditionalFormatting>
  <conditionalFormatting sqref="S1954:S1955">
    <cfRule type="containsText" dxfId="3355" priority="3797" operator="containsText" text="&lt;">
      <formula>NOT(ISERROR(SEARCH(("&lt;"),(S1954))))</formula>
    </cfRule>
  </conditionalFormatting>
  <conditionalFormatting sqref="S1954:S1955">
    <cfRule type="containsText" dxfId="3354" priority="3798" operator="containsText" text="ND">
      <formula>NOT(ISERROR(SEARCH(("ND"),(S1954))))</formula>
    </cfRule>
  </conditionalFormatting>
  <conditionalFormatting sqref="S1954:S1955 N1954:N1955">
    <cfRule type="cellIs" dxfId="3353" priority="3799" operator="greaterThanOrEqual">
      <formula>200</formula>
    </cfRule>
  </conditionalFormatting>
  <conditionalFormatting sqref="S1954:S1955">
    <cfRule type="cellIs" dxfId="3352" priority="3800" operator="greaterThanOrEqual">
      <formula>130</formula>
    </cfRule>
  </conditionalFormatting>
  <conditionalFormatting sqref="N1954:N1955">
    <cfRule type="cellIs" dxfId="3351" priority="3801" operator="greaterThanOrEqual">
      <formula>120</formula>
    </cfRule>
  </conditionalFormatting>
  <conditionalFormatting sqref="O1954:Q1955">
    <cfRule type="containsText" dxfId="3350" priority="3802" operator="containsText" text="ND">
      <formula>NOT(ISERROR(SEARCH(("ND"),(O1954))))</formula>
    </cfRule>
  </conditionalFormatting>
  <conditionalFormatting sqref="O1954:O1955">
    <cfRule type="cellIs" dxfId="3349" priority="3803" operator="greaterThanOrEqual">
      <formula>250</formula>
    </cfRule>
  </conditionalFormatting>
  <conditionalFormatting sqref="O1954:O1955">
    <cfRule type="cellIs" dxfId="3348" priority="3804" operator="greaterThanOrEqual">
      <formula>175</formula>
    </cfRule>
  </conditionalFormatting>
  <conditionalFormatting sqref="P1954:P1955">
    <cfRule type="cellIs" dxfId="3347" priority="3805" operator="greaterThanOrEqual">
      <formula>2.5</formula>
    </cfRule>
  </conditionalFormatting>
  <conditionalFormatting sqref="Q1954:Q1955">
    <cfRule type="cellIs" dxfId="3346" priority="3806" operator="greaterThanOrEqual">
      <formula>500</formula>
    </cfRule>
  </conditionalFormatting>
  <conditionalFormatting sqref="Q1954:Q1955">
    <cfRule type="cellIs" dxfId="3345" priority="3807" operator="greaterThanOrEqual">
      <formula>300</formula>
    </cfRule>
  </conditionalFormatting>
  <conditionalFormatting sqref="L1956:L1957 P1956:P1957">
    <cfRule type="cellIs" dxfId="3344" priority="3774" operator="greaterThanOrEqual">
      <formula>5</formula>
    </cfRule>
  </conditionalFormatting>
  <conditionalFormatting sqref="L1956:L1957">
    <cfRule type="cellIs" dxfId="3343" priority="3775" operator="greaterThanOrEqual">
      <formula>2</formula>
    </cfRule>
  </conditionalFormatting>
  <conditionalFormatting sqref="M1956:M1957">
    <cfRule type="cellIs" dxfId="3342" priority="3776" operator="greaterThanOrEqual">
      <formula>60</formula>
    </cfRule>
  </conditionalFormatting>
  <conditionalFormatting sqref="M1956:M1957">
    <cfRule type="cellIs" dxfId="3341" priority="3777" operator="greaterThanOrEqual">
      <formula>30</formula>
    </cfRule>
  </conditionalFormatting>
  <conditionalFormatting sqref="R1956:R1957">
    <cfRule type="cellIs" dxfId="3340" priority="3778" operator="greaterThanOrEqual">
      <formula>600</formula>
    </cfRule>
  </conditionalFormatting>
  <conditionalFormatting sqref="R1956:R1957">
    <cfRule type="cellIs" dxfId="3339" priority="3779" operator="greaterThanOrEqual">
      <formula>260</formula>
    </cfRule>
  </conditionalFormatting>
  <conditionalFormatting sqref="S1956:S1957">
    <cfRule type="containsText" dxfId="3338" priority="3780" operator="containsText" text="&lt;">
      <formula>NOT(ISERROR(SEARCH(("&lt;"),(S1956))))</formula>
    </cfRule>
  </conditionalFormatting>
  <conditionalFormatting sqref="S1956:S1957">
    <cfRule type="containsText" dxfId="3337" priority="3781" operator="containsText" text="ND">
      <formula>NOT(ISERROR(SEARCH(("ND"),(S1956))))</formula>
    </cfRule>
  </conditionalFormatting>
  <conditionalFormatting sqref="S1956:S1957 N1956:N1957">
    <cfRule type="cellIs" dxfId="3336" priority="3782" operator="greaterThanOrEqual">
      <formula>200</formula>
    </cfRule>
  </conditionalFormatting>
  <conditionalFormatting sqref="S1956:S1957">
    <cfRule type="cellIs" dxfId="3335" priority="3783" operator="greaterThanOrEqual">
      <formula>130</formula>
    </cfRule>
  </conditionalFormatting>
  <conditionalFormatting sqref="N1956:N1957">
    <cfRule type="cellIs" dxfId="3334" priority="3784" operator="greaterThanOrEqual">
      <formula>120</formula>
    </cfRule>
  </conditionalFormatting>
  <conditionalFormatting sqref="O1956:Q1957">
    <cfRule type="containsText" dxfId="3333" priority="3785" operator="containsText" text="ND">
      <formula>NOT(ISERROR(SEARCH(("ND"),(O1956))))</formula>
    </cfRule>
  </conditionalFormatting>
  <conditionalFormatting sqref="O1956:O1957">
    <cfRule type="cellIs" dxfId="3332" priority="3786" operator="greaterThanOrEqual">
      <formula>250</formula>
    </cfRule>
  </conditionalFormatting>
  <conditionalFormatting sqref="O1956:O1957">
    <cfRule type="cellIs" dxfId="3331" priority="3787" operator="greaterThanOrEqual">
      <formula>175</formula>
    </cfRule>
  </conditionalFormatting>
  <conditionalFormatting sqref="P1956:P1957">
    <cfRule type="cellIs" dxfId="3330" priority="3788" operator="greaterThanOrEqual">
      <formula>2.5</formula>
    </cfRule>
  </conditionalFormatting>
  <conditionalFormatting sqref="Q1956:Q1957">
    <cfRule type="cellIs" dxfId="3329" priority="3789" operator="greaterThanOrEqual">
      <formula>500</formula>
    </cfRule>
  </conditionalFormatting>
  <conditionalFormatting sqref="Q1956:Q1957">
    <cfRule type="cellIs" dxfId="3328" priority="3790" operator="greaterThanOrEqual">
      <formula>300</formula>
    </cfRule>
  </conditionalFormatting>
  <conditionalFormatting sqref="L1673:L1674 P1673:P1674">
    <cfRule type="cellIs" dxfId="3327" priority="3757" operator="greaterThanOrEqual">
      <formula>5</formula>
    </cfRule>
  </conditionalFormatting>
  <conditionalFormatting sqref="L1673:L1674">
    <cfRule type="cellIs" dxfId="3326" priority="3758" operator="greaterThanOrEqual">
      <formula>2</formula>
    </cfRule>
  </conditionalFormatting>
  <conditionalFormatting sqref="M1673:M1674">
    <cfRule type="cellIs" dxfId="3325" priority="3759" operator="greaterThanOrEqual">
      <formula>60</formula>
    </cfRule>
  </conditionalFormatting>
  <conditionalFormatting sqref="M1673:M1674">
    <cfRule type="cellIs" dxfId="3324" priority="3760" operator="greaterThanOrEqual">
      <formula>30</formula>
    </cfRule>
  </conditionalFormatting>
  <conditionalFormatting sqref="R1673:R1674">
    <cfRule type="cellIs" dxfId="3323" priority="3761" operator="greaterThanOrEqual">
      <formula>600</formula>
    </cfRule>
  </conditionalFormatting>
  <conditionalFormatting sqref="R1673:R1674">
    <cfRule type="cellIs" dxfId="3322" priority="3762" operator="greaterThanOrEqual">
      <formula>260</formula>
    </cfRule>
  </conditionalFormatting>
  <conditionalFormatting sqref="S1673:S1674">
    <cfRule type="containsText" dxfId="3321" priority="3763" operator="containsText" text="&lt;">
      <formula>NOT(ISERROR(SEARCH(("&lt;"),(S1673))))</formula>
    </cfRule>
  </conditionalFormatting>
  <conditionalFormatting sqref="S1673:S1674">
    <cfRule type="containsText" dxfId="3320" priority="3764" operator="containsText" text="ND">
      <formula>NOT(ISERROR(SEARCH(("ND"),(S1673))))</formula>
    </cfRule>
  </conditionalFormatting>
  <conditionalFormatting sqref="S1673:S1674 N1673:N1674">
    <cfRule type="cellIs" dxfId="3319" priority="3765" operator="greaterThanOrEqual">
      <formula>200</formula>
    </cfRule>
  </conditionalFormatting>
  <conditionalFormatting sqref="S1673:S1674">
    <cfRule type="cellIs" dxfId="3318" priority="3766" operator="greaterThanOrEqual">
      <formula>130</formula>
    </cfRule>
  </conditionalFormatting>
  <conditionalFormatting sqref="N1673:N1674">
    <cfRule type="cellIs" dxfId="3317" priority="3767" operator="greaterThanOrEqual">
      <formula>120</formula>
    </cfRule>
  </conditionalFormatting>
  <conditionalFormatting sqref="O1673:Q1674">
    <cfRule type="containsText" dxfId="3316" priority="3768" operator="containsText" text="ND">
      <formula>NOT(ISERROR(SEARCH(("ND"),(O1673))))</formula>
    </cfRule>
  </conditionalFormatting>
  <conditionalFormatting sqref="O1673:O1674">
    <cfRule type="cellIs" dxfId="3315" priority="3769" operator="greaterThanOrEqual">
      <formula>250</formula>
    </cfRule>
  </conditionalFormatting>
  <conditionalFormatting sqref="O1673:O1674">
    <cfRule type="cellIs" dxfId="3314" priority="3770" operator="greaterThanOrEqual">
      <formula>175</formula>
    </cfRule>
  </conditionalFormatting>
  <conditionalFormatting sqref="P1673:P1674">
    <cfRule type="cellIs" dxfId="3313" priority="3771" operator="greaterThanOrEqual">
      <formula>2.5</formula>
    </cfRule>
  </conditionalFormatting>
  <conditionalFormatting sqref="Q1673:Q1674">
    <cfRule type="cellIs" dxfId="3312" priority="3772" operator="greaterThanOrEqual">
      <formula>500</formula>
    </cfRule>
  </conditionalFormatting>
  <conditionalFormatting sqref="Q1673:Q1674">
    <cfRule type="cellIs" dxfId="3311" priority="3773" operator="greaterThanOrEqual">
      <formula>300</formula>
    </cfRule>
  </conditionalFormatting>
  <conditionalFormatting sqref="L1958:L1959 P1958:P1959">
    <cfRule type="cellIs" dxfId="3310" priority="3740" operator="greaterThanOrEqual">
      <formula>5</formula>
    </cfRule>
  </conditionalFormatting>
  <conditionalFormatting sqref="L1958:L1959">
    <cfRule type="cellIs" dxfId="3309" priority="3741" operator="greaterThanOrEqual">
      <formula>2</formula>
    </cfRule>
  </conditionalFormatting>
  <conditionalFormatting sqref="M1958:M1959">
    <cfRule type="cellIs" dxfId="3308" priority="3742" operator="greaterThanOrEqual">
      <formula>60</formula>
    </cfRule>
  </conditionalFormatting>
  <conditionalFormatting sqref="M1958:M1959">
    <cfRule type="cellIs" dxfId="3307" priority="3743" operator="greaterThanOrEqual">
      <formula>30</formula>
    </cfRule>
  </conditionalFormatting>
  <conditionalFormatting sqref="R1958:R1959">
    <cfRule type="cellIs" dxfId="3306" priority="3744" operator="greaterThanOrEqual">
      <formula>600</formula>
    </cfRule>
  </conditionalFormatting>
  <conditionalFormatting sqref="R1958:R1959">
    <cfRule type="cellIs" dxfId="3305" priority="3745" operator="greaterThanOrEqual">
      <formula>260</formula>
    </cfRule>
  </conditionalFormatting>
  <conditionalFormatting sqref="S1958:S1959">
    <cfRule type="containsText" dxfId="3304" priority="3746" operator="containsText" text="&lt;">
      <formula>NOT(ISERROR(SEARCH(("&lt;"),(S1958))))</formula>
    </cfRule>
  </conditionalFormatting>
  <conditionalFormatting sqref="S1958:S1959">
    <cfRule type="containsText" dxfId="3303" priority="3747" operator="containsText" text="ND">
      <formula>NOT(ISERROR(SEARCH(("ND"),(S1958))))</formula>
    </cfRule>
  </conditionalFormatting>
  <conditionalFormatting sqref="S1958:S1959 N1958:N1959">
    <cfRule type="cellIs" dxfId="3302" priority="3748" operator="greaterThanOrEqual">
      <formula>200</formula>
    </cfRule>
  </conditionalFormatting>
  <conditionalFormatting sqref="S1958:S1959">
    <cfRule type="cellIs" dxfId="3301" priority="3749" operator="greaterThanOrEqual">
      <formula>130</formula>
    </cfRule>
  </conditionalFormatting>
  <conditionalFormatting sqref="N1958:N1959">
    <cfRule type="cellIs" dxfId="3300" priority="3750" operator="greaterThanOrEqual">
      <formula>120</formula>
    </cfRule>
  </conditionalFormatting>
  <conditionalFormatting sqref="O1958:Q1959">
    <cfRule type="containsText" dxfId="3299" priority="3751" operator="containsText" text="ND">
      <formula>NOT(ISERROR(SEARCH(("ND"),(O1958))))</formula>
    </cfRule>
  </conditionalFormatting>
  <conditionalFormatting sqref="O1958:O1959">
    <cfRule type="cellIs" dxfId="3298" priority="3752" operator="greaterThanOrEqual">
      <formula>250</formula>
    </cfRule>
  </conditionalFormatting>
  <conditionalFormatting sqref="O1958:O1959">
    <cfRule type="cellIs" dxfId="3297" priority="3753" operator="greaterThanOrEqual">
      <formula>175</formula>
    </cfRule>
  </conditionalFormatting>
  <conditionalFormatting sqref="P1958:P1959">
    <cfRule type="cellIs" dxfId="3296" priority="3754" operator="greaterThanOrEqual">
      <formula>2.5</formula>
    </cfRule>
  </conditionalFormatting>
  <conditionalFormatting sqref="Q1958:Q1959">
    <cfRule type="cellIs" dxfId="3295" priority="3755" operator="greaterThanOrEqual">
      <formula>500</formula>
    </cfRule>
  </conditionalFormatting>
  <conditionalFormatting sqref="Q1958:Q1959">
    <cfRule type="cellIs" dxfId="3294" priority="3756" operator="greaterThanOrEqual">
      <formula>300</formula>
    </cfRule>
  </conditionalFormatting>
  <conditionalFormatting sqref="L1775 P1775">
    <cfRule type="cellIs" dxfId="3293" priority="3723" operator="greaterThanOrEqual">
      <formula>5</formula>
    </cfRule>
  </conditionalFormatting>
  <conditionalFormatting sqref="L1775">
    <cfRule type="cellIs" dxfId="3292" priority="3724" operator="greaterThanOrEqual">
      <formula>2</formula>
    </cfRule>
  </conditionalFormatting>
  <conditionalFormatting sqref="M1775">
    <cfRule type="cellIs" dxfId="3291" priority="3725" operator="greaterThanOrEqual">
      <formula>60</formula>
    </cfRule>
  </conditionalFormatting>
  <conditionalFormatting sqref="M1775">
    <cfRule type="cellIs" dxfId="3290" priority="3726" operator="greaterThanOrEqual">
      <formula>30</formula>
    </cfRule>
  </conditionalFormatting>
  <conditionalFormatting sqref="R1775">
    <cfRule type="cellIs" dxfId="3289" priority="3727" operator="greaterThanOrEqual">
      <formula>600</formula>
    </cfRule>
  </conditionalFormatting>
  <conditionalFormatting sqref="R1775">
    <cfRule type="cellIs" dxfId="3288" priority="3728" operator="greaterThanOrEqual">
      <formula>260</formula>
    </cfRule>
  </conditionalFormatting>
  <conditionalFormatting sqref="S1775">
    <cfRule type="containsText" dxfId="3287" priority="3729" operator="containsText" text="&lt;">
      <formula>NOT(ISERROR(SEARCH(("&lt;"),(S1775))))</formula>
    </cfRule>
  </conditionalFormatting>
  <conditionalFormatting sqref="S1775">
    <cfRule type="containsText" dxfId="3286" priority="3730" operator="containsText" text="ND">
      <formula>NOT(ISERROR(SEARCH(("ND"),(S1775))))</formula>
    </cfRule>
  </conditionalFormatting>
  <conditionalFormatting sqref="S1775 N1775">
    <cfRule type="cellIs" dxfId="3285" priority="3731" operator="greaterThanOrEqual">
      <formula>200</formula>
    </cfRule>
  </conditionalFormatting>
  <conditionalFormatting sqref="S1775">
    <cfRule type="cellIs" dxfId="3284" priority="3732" operator="greaterThanOrEqual">
      <formula>130</formula>
    </cfRule>
  </conditionalFormatting>
  <conditionalFormatting sqref="N1775">
    <cfRule type="cellIs" dxfId="3283" priority="3733" operator="greaterThanOrEqual">
      <formula>120</formula>
    </cfRule>
  </conditionalFormatting>
  <conditionalFormatting sqref="O1775:Q1775">
    <cfRule type="containsText" dxfId="3282" priority="3734" operator="containsText" text="ND">
      <formula>NOT(ISERROR(SEARCH(("ND"),(O1775))))</formula>
    </cfRule>
  </conditionalFormatting>
  <conditionalFormatting sqref="O1775">
    <cfRule type="cellIs" dxfId="3281" priority="3735" operator="greaterThanOrEqual">
      <formula>250</formula>
    </cfRule>
  </conditionalFormatting>
  <conditionalFormatting sqref="O1775">
    <cfRule type="cellIs" dxfId="3280" priority="3736" operator="greaterThanOrEqual">
      <formula>175</formula>
    </cfRule>
  </conditionalFormatting>
  <conditionalFormatting sqref="P1775">
    <cfRule type="cellIs" dxfId="3279" priority="3737" operator="greaterThanOrEqual">
      <formula>2.5</formula>
    </cfRule>
  </conditionalFormatting>
  <conditionalFormatting sqref="Q1775">
    <cfRule type="cellIs" dxfId="3278" priority="3738" operator="greaterThanOrEqual">
      <formula>500</formula>
    </cfRule>
  </conditionalFormatting>
  <conditionalFormatting sqref="Q1775">
    <cfRule type="cellIs" dxfId="3277" priority="3739" operator="greaterThanOrEqual">
      <formula>300</formula>
    </cfRule>
  </conditionalFormatting>
  <conditionalFormatting sqref="L1944 P1944">
    <cfRule type="cellIs" dxfId="3276" priority="3706" operator="greaterThanOrEqual">
      <formula>5</formula>
    </cfRule>
  </conditionalFormatting>
  <conditionalFormatting sqref="L1944">
    <cfRule type="cellIs" dxfId="3275" priority="3707" operator="greaterThanOrEqual">
      <formula>2</formula>
    </cfRule>
  </conditionalFormatting>
  <conditionalFormatting sqref="M1944">
    <cfRule type="cellIs" dxfId="3274" priority="3708" operator="greaterThanOrEqual">
      <formula>60</formula>
    </cfRule>
  </conditionalFormatting>
  <conditionalFormatting sqref="M1944">
    <cfRule type="cellIs" dxfId="3273" priority="3709" operator="greaterThanOrEqual">
      <formula>30</formula>
    </cfRule>
  </conditionalFormatting>
  <conditionalFormatting sqref="R1944">
    <cfRule type="cellIs" dxfId="3272" priority="3710" operator="greaterThanOrEqual">
      <formula>600</formula>
    </cfRule>
  </conditionalFormatting>
  <conditionalFormatting sqref="R1944">
    <cfRule type="cellIs" dxfId="3271" priority="3711" operator="greaterThanOrEqual">
      <formula>260</formula>
    </cfRule>
  </conditionalFormatting>
  <conditionalFormatting sqref="S1944">
    <cfRule type="containsText" dxfId="3270" priority="3712" operator="containsText" text="&lt;">
      <formula>NOT(ISERROR(SEARCH(("&lt;"),(S1944))))</formula>
    </cfRule>
  </conditionalFormatting>
  <conditionalFormatting sqref="S1944">
    <cfRule type="containsText" dxfId="3269" priority="3713" operator="containsText" text="ND">
      <formula>NOT(ISERROR(SEARCH(("ND"),(S1944))))</formula>
    </cfRule>
  </conditionalFormatting>
  <conditionalFormatting sqref="S1944 N1944">
    <cfRule type="cellIs" dxfId="3268" priority="3714" operator="greaterThanOrEqual">
      <formula>200</formula>
    </cfRule>
  </conditionalFormatting>
  <conditionalFormatting sqref="S1944">
    <cfRule type="cellIs" dxfId="3267" priority="3715" operator="greaterThanOrEqual">
      <formula>130</formula>
    </cfRule>
  </conditionalFormatting>
  <conditionalFormatting sqref="N1944">
    <cfRule type="cellIs" dxfId="3266" priority="3716" operator="greaterThanOrEqual">
      <formula>120</formula>
    </cfRule>
  </conditionalFormatting>
  <conditionalFormatting sqref="O1944:Q1944">
    <cfRule type="containsText" dxfId="3265" priority="3717" operator="containsText" text="ND">
      <formula>NOT(ISERROR(SEARCH(("ND"),(O1944))))</formula>
    </cfRule>
  </conditionalFormatting>
  <conditionalFormatting sqref="O1944">
    <cfRule type="cellIs" dxfId="3264" priority="3718" operator="greaterThanOrEqual">
      <formula>250</formula>
    </cfRule>
  </conditionalFormatting>
  <conditionalFormatting sqref="O1944">
    <cfRule type="cellIs" dxfId="3263" priority="3719" operator="greaterThanOrEqual">
      <formula>175</formula>
    </cfRule>
  </conditionalFormatting>
  <conditionalFormatting sqref="P1944">
    <cfRule type="cellIs" dxfId="3262" priority="3720" operator="greaterThanOrEqual">
      <formula>2.5</formula>
    </cfRule>
  </conditionalFormatting>
  <conditionalFormatting sqref="Q1944">
    <cfRule type="cellIs" dxfId="3261" priority="3721" operator="greaterThanOrEqual">
      <formula>500</formula>
    </cfRule>
  </conditionalFormatting>
  <conditionalFormatting sqref="Q1944">
    <cfRule type="cellIs" dxfId="3260" priority="3722" operator="greaterThanOrEqual">
      <formula>300</formula>
    </cfRule>
  </conditionalFormatting>
  <conditionalFormatting sqref="L1777:L1778 P1776:P1778">
    <cfRule type="cellIs" dxfId="3259" priority="3689" operator="greaterThanOrEqual">
      <formula>5</formula>
    </cfRule>
  </conditionalFormatting>
  <conditionalFormatting sqref="L1777:L1778">
    <cfRule type="cellIs" dxfId="3258" priority="3690" operator="greaterThanOrEqual">
      <formula>2</formula>
    </cfRule>
  </conditionalFormatting>
  <conditionalFormatting sqref="M1777:M1778">
    <cfRule type="cellIs" dxfId="3257" priority="3691" operator="greaterThanOrEqual">
      <formula>60</formula>
    </cfRule>
  </conditionalFormatting>
  <conditionalFormatting sqref="M1777:M1778">
    <cfRule type="cellIs" dxfId="3256" priority="3692" operator="greaterThanOrEqual">
      <formula>30</formula>
    </cfRule>
  </conditionalFormatting>
  <conditionalFormatting sqref="R1777:R1778">
    <cfRule type="cellIs" dxfId="3255" priority="3693" operator="greaterThanOrEqual">
      <formula>600</formula>
    </cfRule>
  </conditionalFormatting>
  <conditionalFormatting sqref="R1777:R1778">
    <cfRule type="cellIs" dxfId="3254" priority="3694" operator="greaterThanOrEqual">
      <formula>260</formula>
    </cfRule>
  </conditionalFormatting>
  <conditionalFormatting sqref="S1776:S1778">
    <cfRule type="containsText" dxfId="3253" priority="3695" operator="containsText" text="&lt;">
      <formula>NOT(ISERROR(SEARCH(("&lt;"),(S1776))))</formula>
    </cfRule>
  </conditionalFormatting>
  <conditionalFormatting sqref="S1776:S1778">
    <cfRule type="containsText" dxfId="3252" priority="3696" operator="containsText" text="ND">
      <formula>NOT(ISERROR(SEARCH(("ND"),(S1776))))</formula>
    </cfRule>
  </conditionalFormatting>
  <conditionalFormatting sqref="S1776:S1778 N1776:N1778">
    <cfRule type="cellIs" dxfId="3251" priority="3697" operator="greaterThanOrEqual">
      <formula>200</formula>
    </cfRule>
  </conditionalFormatting>
  <conditionalFormatting sqref="S1776:S1778">
    <cfRule type="cellIs" dxfId="3250" priority="3698" operator="greaterThanOrEqual">
      <formula>130</formula>
    </cfRule>
  </conditionalFormatting>
  <conditionalFormatting sqref="N1776:N1778">
    <cfRule type="cellIs" dxfId="3249" priority="3699" operator="greaterThanOrEqual">
      <formula>120</formula>
    </cfRule>
  </conditionalFormatting>
  <conditionalFormatting sqref="O1776:Q1778">
    <cfRule type="containsText" dxfId="3248" priority="3700" operator="containsText" text="ND">
      <formula>NOT(ISERROR(SEARCH(("ND"),(O1776))))</formula>
    </cfRule>
  </conditionalFormatting>
  <conditionalFormatting sqref="O1776:O1778">
    <cfRule type="cellIs" dxfId="3247" priority="3701" operator="greaterThanOrEqual">
      <formula>250</formula>
    </cfRule>
  </conditionalFormatting>
  <conditionalFormatting sqref="O1776:O1778">
    <cfRule type="cellIs" dxfId="3246" priority="3702" operator="greaterThanOrEqual">
      <formula>175</formula>
    </cfRule>
  </conditionalFormatting>
  <conditionalFormatting sqref="P1776:P1778">
    <cfRule type="cellIs" dxfId="3245" priority="3703" operator="greaterThanOrEqual">
      <formula>2.5</formula>
    </cfRule>
  </conditionalFormatting>
  <conditionalFormatting sqref="Q1776:Q1778">
    <cfRule type="cellIs" dxfId="3244" priority="3704" operator="greaterThanOrEqual">
      <formula>500</formula>
    </cfRule>
  </conditionalFormatting>
  <conditionalFormatting sqref="Q1776:Q1778">
    <cfRule type="cellIs" dxfId="3243" priority="3705" operator="greaterThanOrEqual">
      <formula>300</formula>
    </cfRule>
  </conditionalFormatting>
  <conditionalFormatting sqref="L1776">
    <cfRule type="cellIs" dxfId="3242" priority="3685" operator="greaterThanOrEqual">
      <formula>5</formula>
    </cfRule>
  </conditionalFormatting>
  <conditionalFormatting sqref="L1776">
    <cfRule type="cellIs" dxfId="3241" priority="3686" operator="greaterThanOrEqual">
      <formula>2</formula>
    </cfRule>
  </conditionalFormatting>
  <conditionalFormatting sqref="M1776">
    <cfRule type="cellIs" dxfId="3240" priority="3687" operator="greaterThanOrEqual">
      <formula>60</formula>
    </cfRule>
  </conditionalFormatting>
  <conditionalFormatting sqref="M1776">
    <cfRule type="cellIs" dxfId="3239" priority="3688" operator="greaterThanOrEqual">
      <formula>30</formula>
    </cfRule>
  </conditionalFormatting>
  <conditionalFormatting sqref="L1969 P1969">
    <cfRule type="cellIs" dxfId="3238" priority="3668" operator="greaterThanOrEqual">
      <formula>5</formula>
    </cfRule>
  </conditionalFormatting>
  <conditionalFormatting sqref="L1969">
    <cfRule type="cellIs" dxfId="3237" priority="3669" operator="greaterThanOrEqual">
      <formula>2</formula>
    </cfRule>
  </conditionalFormatting>
  <conditionalFormatting sqref="M1969">
    <cfRule type="cellIs" dxfId="3236" priority="3670" operator="greaterThanOrEqual">
      <formula>60</formula>
    </cfRule>
  </conditionalFormatting>
  <conditionalFormatting sqref="M1969">
    <cfRule type="cellIs" dxfId="3235" priority="3671" operator="greaterThanOrEqual">
      <formula>30</formula>
    </cfRule>
  </conditionalFormatting>
  <conditionalFormatting sqref="R1969">
    <cfRule type="cellIs" dxfId="3234" priority="3672" operator="greaterThanOrEqual">
      <formula>600</formula>
    </cfRule>
  </conditionalFormatting>
  <conditionalFormatting sqref="R1969">
    <cfRule type="cellIs" dxfId="3233" priority="3673" operator="greaterThanOrEqual">
      <formula>260</formula>
    </cfRule>
  </conditionalFormatting>
  <conditionalFormatting sqref="S1969">
    <cfRule type="containsText" dxfId="3232" priority="3674" operator="containsText" text="&lt;">
      <formula>NOT(ISERROR(SEARCH(("&lt;"),(S1969))))</formula>
    </cfRule>
  </conditionalFormatting>
  <conditionalFormatting sqref="S1969">
    <cfRule type="containsText" dxfId="3231" priority="3675" operator="containsText" text="ND">
      <formula>NOT(ISERROR(SEARCH(("ND"),(S1969))))</formula>
    </cfRule>
  </conditionalFormatting>
  <conditionalFormatting sqref="S1969 N1969">
    <cfRule type="cellIs" dxfId="3230" priority="3676" operator="greaterThanOrEqual">
      <formula>200</formula>
    </cfRule>
  </conditionalFormatting>
  <conditionalFormatting sqref="S1969">
    <cfRule type="cellIs" dxfId="3229" priority="3677" operator="greaterThanOrEqual">
      <formula>130</formula>
    </cfRule>
  </conditionalFormatting>
  <conditionalFormatting sqref="N1969">
    <cfRule type="cellIs" dxfId="3228" priority="3678" operator="greaterThanOrEqual">
      <formula>120</formula>
    </cfRule>
  </conditionalFormatting>
  <conditionalFormatting sqref="O1969:Q1969">
    <cfRule type="containsText" dxfId="3227" priority="3679" operator="containsText" text="ND">
      <formula>NOT(ISERROR(SEARCH(("ND"),(O1969))))</formula>
    </cfRule>
  </conditionalFormatting>
  <conditionalFormatting sqref="O1969">
    <cfRule type="cellIs" dxfId="3226" priority="3680" operator="greaterThanOrEqual">
      <formula>250</formula>
    </cfRule>
  </conditionalFormatting>
  <conditionalFormatting sqref="O1969">
    <cfRule type="cellIs" dxfId="3225" priority="3681" operator="greaterThanOrEqual">
      <formula>175</formula>
    </cfRule>
  </conditionalFormatting>
  <conditionalFormatting sqref="P1969">
    <cfRule type="cellIs" dxfId="3224" priority="3682" operator="greaterThanOrEqual">
      <formula>2.5</formula>
    </cfRule>
  </conditionalFormatting>
  <conditionalFormatting sqref="Q1969">
    <cfRule type="cellIs" dxfId="3223" priority="3683" operator="greaterThanOrEqual">
      <formula>500</formula>
    </cfRule>
  </conditionalFormatting>
  <conditionalFormatting sqref="Q1969">
    <cfRule type="cellIs" dxfId="3222" priority="3684" operator="greaterThanOrEqual">
      <formula>300</formula>
    </cfRule>
  </conditionalFormatting>
  <conditionalFormatting sqref="L2410 P2410">
    <cfRule type="cellIs" dxfId="3221" priority="3651" operator="greaterThanOrEqual">
      <formula>5</formula>
    </cfRule>
  </conditionalFormatting>
  <conditionalFormatting sqref="L2410">
    <cfRule type="cellIs" dxfId="3220" priority="3652" operator="greaterThanOrEqual">
      <formula>2</formula>
    </cfRule>
  </conditionalFormatting>
  <conditionalFormatting sqref="M2410">
    <cfRule type="cellIs" dxfId="3219" priority="3653" operator="greaterThanOrEqual">
      <formula>60</formula>
    </cfRule>
  </conditionalFormatting>
  <conditionalFormatting sqref="M2410">
    <cfRule type="cellIs" dxfId="3218" priority="3654" operator="greaterThanOrEqual">
      <formula>30</formula>
    </cfRule>
  </conditionalFormatting>
  <conditionalFormatting sqref="R2410">
    <cfRule type="cellIs" dxfId="3217" priority="3655" operator="greaterThanOrEqual">
      <formula>600</formula>
    </cfRule>
  </conditionalFormatting>
  <conditionalFormatting sqref="R2410">
    <cfRule type="cellIs" dxfId="3216" priority="3656" operator="greaterThanOrEqual">
      <formula>260</formula>
    </cfRule>
  </conditionalFormatting>
  <conditionalFormatting sqref="S2410">
    <cfRule type="containsText" dxfId="3215" priority="3657" operator="containsText" text="&lt;">
      <formula>NOT(ISERROR(SEARCH(("&lt;"),(S2410))))</formula>
    </cfRule>
  </conditionalFormatting>
  <conditionalFormatting sqref="S2410">
    <cfRule type="containsText" dxfId="3214" priority="3658" operator="containsText" text="ND">
      <formula>NOT(ISERROR(SEARCH(("ND"),(S2410))))</formula>
    </cfRule>
  </conditionalFormatting>
  <conditionalFormatting sqref="S2410 N2410">
    <cfRule type="cellIs" dxfId="3213" priority="3659" operator="greaterThanOrEqual">
      <formula>200</formula>
    </cfRule>
  </conditionalFormatting>
  <conditionalFormatting sqref="S2410">
    <cfRule type="cellIs" dxfId="3212" priority="3660" operator="greaterThanOrEqual">
      <formula>130</formula>
    </cfRule>
  </conditionalFormatting>
  <conditionalFormatting sqref="N2410">
    <cfRule type="cellIs" dxfId="3211" priority="3661" operator="greaterThanOrEqual">
      <formula>120</formula>
    </cfRule>
  </conditionalFormatting>
  <conditionalFormatting sqref="O2410:Q2410">
    <cfRule type="containsText" dxfId="3210" priority="3662" operator="containsText" text="ND">
      <formula>NOT(ISERROR(SEARCH(("ND"),(O2410))))</formula>
    </cfRule>
  </conditionalFormatting>
  <conditionalFormatting sqref="O2410">
    <cfRule type="cellIs" dxfId="3209" priority="3663" operator="greaterThanOrEqual">
      <formula>250</formula>
    </cfRule>
  </conditionalFormatting>
  <conditionalFormatting sqref="O2410">
    <cfRule type="cellIs" dxfId="3208" priority="3664" operator="greaterThanOrEqual">
      <formula>175</formula>
    </cfRule>
  </conditionalFormatting>
  <conditionalFormatting sqref="P2410">
    <cfRule type="cellIs" dxfId="3207" priority="3665" operator="greaterThanOrEqual">
      <formula>2.5</formula>
    </cfRule>
  </conditionalFormatting>
  <conditionalFormatting sqref="Q2410">
    <cfRule type="cellIs" dxfId="3206" priority="3666" operator="greaterThanOrEqual">
      <formula>500</formula>
    </cfRule>
  </conditionalFormatting>
  <conditionalFormatting sqref="Q2410">
    <cfRule type="cellIs" dxfId="3205" priority="3667" operator="greaterThanOrEqual">
      <formula>300</formula>
    </cfRule>
  </conditionalFormatting>
  <conditionalFormatting sqref="L2411 P2411">
    <cfRule type="cellIs" dxfId="3204" priority="3634" operator="greaterThanOrEqual">
      <formula>5</formula>
    </cfRule>
  </conditionalFormatting>
  <conditionalFormatting sqref="L2411">
    <cfRule type="cellIs" dxfId="3203" priority="3635" operator="greaterThanOrEqual">
      <formula>2</formula>
    </cfRule>
  </conditionalFormatting>
  <conditionalFormatting sqref="M2411">
    <cfRule type="cellIs" dxfId="3202" priority="3636" operator="greaterThanOrEqual">
      <formula>60</formula>
    </cfRule>
  </conditionalFormatting>
  <conditionalFormatting sqref="M2411">
    <cfRule type="cellIs" dxfId="3201" priority="3637" operator="greaterThanOrEqual">
      <formula>30</formula>
    </cfRule>
  </conditionalFormatting>
  <conditionalFormatting sqref="R2411">
    <cfRule type="cellIs" dxfId="3200" priority="3638" operator="greaterThanOrEqual">
      <formula>600</formula>
    </cfRule>
  </conditionalFormatting>
  <conditionalFormatting sqref="R2411">
    <cfRule type="cellIs" dxfId="3199" priority="3639" operator="greaterThanOrEqual">
      <formula>260</formula>
    </cfRule>
  </conditionalFormatting>
  <conditionalFormatting sqref="S2411">
    <cfRule type="containsText" dxfId="3198" priority="3640" operator="containsText" text="&lt;">
      <formula>NOT(ISERROR(SEARCH(("&lt;"),(S2411))))</formula>
    </cfRule>
  </conditionalFormatting>
  <conditionalFormatting sqref="S2411">
    <cfRule type="containsText" dxfId="3197" priority="3641" operator="containsText" text="ND">
      <formula>NOT(ISERROR(SEARCH(("ND"),(S2411))))</formula>
    </cfRule>
  </conditionalFormatting>
  <conditionalFormatting sqref="S2411 N2411">
    <cfRule type="cellIs" dxfId="3196" priority="3642" operator="greaterThanOrEqual">
      <formula>200</formula>
    </cfRule>
  </conditionalFormatting>
  <conditionalFormatting sqref="S2411">
    <cfRule type="cellIs" dxfId="3195" priority="3643" operator="greaterThanOrEqual">
      <formula>130</formula>
    </cfRule>
  </conditionalFormatting>
  <conditionalFormatting sqref="N2411">
    <cfRule type="cellIs" dxfId="3194" priority="3644" operator="greaterThanOrEqual">
      <formula>120</formula>
    </cfRule>
  </conditionalFormatting>
  <conditionalFormatting sqref="O2411:Q2411">
    <cfRule type="containsText" dxfId="3193" priority="3645" operator="containsText" text="ND">
      <formula>NOT(ISERROR(SEARCH(("ND"),(O2411))))</formula>
    </cfRule>
  </conditionalFormatting>
  <conditionalFormatting sqref="O2411">
    <cfRule type="cellIs" dxfId="3192" priority="3646" operator="greaterThanOrEqual">
      <formula>250</formula>
    </cfRule>
  </conditionalFormatting>
  <conditionalFormatting sqref="O2411">
    <cfRule type="cellIs" dxfId="3191" priority="3647" operator="greaterThanOrEqual">
      <formula>175</formula>
    </cfRule>
  </conditionalFormatting>
  <conditionalFormatting sqref="P2411">
    <cfRule type="cellIs" dxfId="3190" priority="3648" operator="greaterThanOrEqual">
      <formula>2.5</formula>
    </cfRule>
  </conditionalFormatting>
  <conditionalFormatting sqref="Q2411">
    <cfRule type="cellIs" dxfId="3189" priority="3649" operator="greaterThanOrEqual">
      <formula>500</formula>
    </cfRule>
  </conditionalFormatting>
  <conditionalFormatting sqref="Q2411">
    <cfRule type="cellIs" dxfId="3188" priority="3650" operator="greaterThanOrEqual">
      <formula>300</formula>
    </cfRule>
  </conditionalFormatting>
  <conditionalFormatting sqref="L2412 P2412">
    <cfRule type="cellIs" dxfId="3187" priority="3617" operator="greaterThanOrEqual">
      <formula>5</formula>
    </cfRule>
  </conditionalFormatting>
  <conditionalFormatting sqref="L2412">
    <cfRule type="cellIs" dxfId="3186" priority="3618" operator="greaterThanOrEqual">
      <formula>2</formula>
    </cfRule>
  </conditionalFormatting>
  <conditionalFormatting sqref="M2412">
    <cfRule type="cellIs" dxfId="3185" priority="3619" operator="greaterThanOrEqual">
      <formula>60</formula>
    </cfRule>
  </conditionalFormatting>
  <conditionalFormatting sqref="M2412">
    <cfRule type="cellIs" dxfId="3184" priority="3620" operator="greaterThanOrEqual">
      <formula>30</formula>
    </cfRule>
  </conditionalFormatting>
  <conditionalFormatting sqref="R2412">
    <cfRule type="cellIs" dxfId="3183" priority="3621" operator="greaterThanOrEqual">
      <formula>600</formula>
    </cfRule>
  </conditionalFormatting>
  <conditionalFormatting sqref="R2412">
    <cfRule type="cellIs" dxfId="3182" priority="3622" operator="greaterThanOrEqual">
      <formula>260</formula>
    </cfRule>
  </conditionalFormatting>
  <conditionalFormatting sqref="S2412">
    <cfRule type="containsText" dxfId="3181" priority="3623" operator="containsText" text="&lt;">
      <formula>NOT(ISERROR(SEARCH(("&lt;"),(S2412))))</formula>
    </cfRule>
  </conditionalFormatting>
  <conditionalFormatting sqref="S2412">
    <cfRule type="containsText" dxfId="3180" priority="3624" operator="containsText" text="ND">
      <formula>NOT(ISERROR(SEARCH(("ND"),(S2412))))</formula>
    </cfRule>
  </conditionalFormatting>
  <conditionalFormatting sqref="S2412 N2412">
    <cfRule type="cellIs" dxfId="3179" priority="3625" operator="greaterThanOrEqual">
      <formula>200</formula>
    </cfRule>
  </conditionalFormatting>
  <conditionalFormatting sqref="S2412">
    <cfRule type="cellIs" dxfId="3178" priority="3626" operator="greaterThanOrEqual">
      <formula>130</formula>
    </cfRule>
  </conditionalFormatting>
  <conditionalFormatting sqref="N2412">
    <cfRule type="cellIs" dxfId="3177" priority="3627" operator="greaterThanOrEqual">
      <formula>120</formula>
    </cfRule>
  </conditionalFormatting>
  <conditionalFormatting sqref="O2412:Q2412">
    <cfRule type="containsText" dxfId="3176" priority="3628" operator="containsText" text="ND">
      <formula>NOT(ISERROR(SEARCH(("ND"),(O2412))))</formula>
    </cfRule>
  </conditionalFormatting>
  <conditionalFormatting sqref="O2412">
    <cfRule type="cellIs" dxfId="3175" priority="3629" operator="greaterThanOrEqual">
      <formula>250</formula>
    </cfRule>
  </conditionalFormatting>
  <conditionalFormatting sqref="O2412">
    <cfRule type="cellIs" dxfId="3174" priority="3630" operator="greaterThanOrEqual">
      <formula>175</formula>
    </cfRule>
  </conditionalFormatting>
  <conditionalFormatting sqref="P2412">
    <cfRule type="cellIs" dxfId="3173" priority="3631" operator="greaterThanOrEqual">
      <formula>2.5</formula>
    </cfRule>
  </conditionalFormatting>
  <conditionalFormatting sqref="Q2412">
    <cfRule type="cellIs" dxfId="3172" priority="3632" operator="greaterThanOrEqual">
      <formula>500</formula>
    </cfRule>
  </conditionalFormatting>
  <conditionalFormatting sqref="Q2412">
    <cfRule type="cellIs" dxfId="3171" priority="3633" operator="greaterThanOrEqual">
      <formula>300</formula>
    </cfRule>
  </conditionalFormatting>
  <conditionalFormatting sqref="L1970 P1970">
    <cfRule type="cellIs" dxfId="3170" priority="3600" operator="greaterThanOrEqual">
      <formula>5</formula>
    </cfRule>
  </conditionalFormatting>
  <conditionalFormatting sqref="L1970">
    <cfRule type="cellIs" dxfId="3169" priority="3601" operator="greaterThanOrEqual">
      <formula>2</formula>
    </cfRule>
  </conditionalFormatting>
  <conditionalFormatting sqref="M1970">
    <cfRule type="cellIs" dxfId="3168" priority="3602" operator="greaterThanOrEqual">
      <formula>60</formula>
    </cfRule>
  </conditionalFormatting>
  <conditionalFormatting sqref="M1970">
    <cfRule type="cellIs" dxfId="3167" priority="3603" operator="greaterThanOrEqual">
      <formula>30</formula>
    </cfRule>
  </conditionalFormatting>
  <conditionalFormatting sqref="R1970">
    <cfRule type="cellIs" dxfId="3166" priority="3604" operator="greaterThanOrEqual">
      <formula>600</formula>
    </cfRule>
  </conditionalFormatting>
  <conditionalFormatting sqref="R1970">
    <cfRule type="cellIs" dxfId="3165" priority="3605" operator="greaterThanOrEqual">
      <formula>260</formula>
    </cfRule>
  </conditionalFormatting>
  <conditionalFormatting sqref="S1970">
    <cfRule type="containsText" dxfId="3164" priority="3606" operator="containsText" text="&lt;">
      <formula>NOT(ISERROR(SEARCH(("&lt;"),(S1970))))</formula>
    </cfRule>
  </conditionalFormatting>
  <conditionalFormatting sqref="S1970">
    <cfRule type="containsText" dxfId="3163" priority="3607" operator="containsText" text="ND">
      <formula>NOT(ISERROR(SEARCH(("ND"),(S1970))))</formula>
    </cfRule>
  </conditionalFormatting>
  <conditionalFormatting sqref="S1970 N1970">
    <cfRule type="cellIs" dxfId="3162" priority="3608" operator="greaterThanOrEqual">
      <formula>200</formula>
    </cfRule>
  </conditionalFormatting>
  <conditionalFormatting sqref="S1970">
    <cfRule type="cellIs" dxfId="3161" priority="3609" operator="greaterThanOrEqual">
      <formula>130</formula>
    </cfRule>
  </conditionalFormatting>
  <conditionalFormatting sqref="N1970">
    <cfRule type="cellIs" dxfId="3160" priority="3610" operator="greaterThanOrEqual">
      <formula>120</formula>
    </cfRule>
  </conditionalFormatting>
  <conditionalFormatting sqref="O1970:Q1970">
    <cfRule type="containsText" dxfId="3159" priority="3611" operator="containsText" text="ND">
      <formula>NOT(ISERROR(SEARCH(("ND"),(O1970))))</formula>
    </cfRule>
  </conditionalFormatting>
  <conditionalFormatting sqref="O1970">
    <cfRule type="cellIs" dxfId="3158" priority="3612" operator="greaterThanOrEqual">
      <formula>250</formula>
    </cfRule>
  </conditionalFormatting>
  <conditionalFormatting sqref="O1970">
    <cfRule type="cellIs" dxfId="3157" priority="3613" operator="greaterThanOrEqual">
      <formula>175</formula>
    </cfRule>
  </conditionalFormatting>
  <conditionalFormatting sqref="P1970">
    <cfRule type="cellIs" dxfId="3156" priority="3614" operator="greaterThanOrEqual">
      <formula>2.5</formula>
    </cfRule>
  </conditionalFormatting>
  <conditionalFormatting sqref="Q1970">
    <cfRule type="cellIs" dxfId="3155" priority="3615" operator="greaterThanOrEqual">
      <formula>500</formula>
    </cfRule>
  </conditionalFormatting>
  <conditionalFormatting sqref="Q1970">
    <cfRule type="cellIs" dxfId="3154" priority="3616" operator="greaterThanOrEqual">
      <formula>300</formula>
    </cfRule>
  </conditionalFormatting>
  <conditionalFormatting sqref="L1971 P1971">
    <cfRule type="cellIs" dxfId="3153" priority="3583" operator="greaterThanOrEqual">
      <formula>5</formula>
    </cfRule>
  </conditionalFormatting>
  <conditionalFormatting sqref="L1971">
    <cfRule type="cellIs" dxfId="3152" priority="3584" operator="greaterThanOrEqual">
      <formula>2</formula>
    </cfRule>
  </conditionalFormatting>
  <conditionalFormatting sqref="M1971">
    <cfRule type="cellIs" dxfId="3151" priority="3585" operator="greaterThanOrEqual">
      <formula>60</formula>
    </cfRule>
  </conditionalFormatting>
  <conditionalFormatting sqref="M1971">
    <cfRule type="cellIs" dxfId="3150" priority="3586" operator="greaterThanOrEqual">
      <formula>30</formula>
    </cfRule>
  </conditionalFormatting>
  <conditionalFormatting sqref="R1971">
    <cfRule type="cellIs" dxfId="3149" priority="3587" operator="greaterThanOrEqual">
      <formula>600</formula>
    </cfRule>
  </conditionalFormatting>
  <conditionalFormatting sqref="R1971">
    <cfRule type="cellIs" dxfId="3148" priority="3588" operator="greaterThanOrEqual">
      <formula>260</formula>
    </cfRule>
  </conditionalFormatting>
  <conditionalFormatting sqref="S1971">
    <cfRule type="containsText" dxfId="3147" priority="3589" operator="containsText" text="&lt;">
      <formula>NOT(ISERROR(SEARCH(("&lt;"),(S1971))))</formula>
    </cfRule>
  </conditionalFormatting>
  <conditionalFormatting sqref="S1971">
    <cfRule type="containsText" dxfId="3146" priority="3590" operator="containsText" text="ND">
      <formula>NOT(ISERROR(SEARCH(("ND"),(S1971))))</formula>
    </cfRule>
  </conditionalFormatting>
  <conditionalFormatting sqref="S1971 N1971">
    <cfRule type="cellIs" dxfId="3145" priority="3591" operator="greaterThanOrEqual">
      <formula>200</formula>
    </cfRule>
  </conditionalFormatting>
  <conditionalFormatting sqref="S1971">
    <cfRule type="cellIs" dxfId="3144" priority="3592" operator="greaterThanOrEqual">
      <formula>130</formula>
    </cfRule>
  </conditionalFormatting>
  <conditionalFormatting sqref="N1971">
    <cfRule type="cellIs" dxfId="3143" priority="3593" operator="greaterThanOrEqual">
      <formula>120</formula>
    </cfRule>
  </conditionalFormatting>
  <conditionalFormatting sqref="O1971:Q1971">
    <cfRule type="containsText" dxfId="3142" priority="3594" operator="containsText" text="ND">
      <formula>NOT(ISERROR(SEARCH(("ND"),(O1971))))</formula>
    </cfRule>
  </conditionalFormatting>
  <conditionalFormatting sqref="O1971">
    <cfRule type="cellIs" dxfId="3141" priority="3595" operator="greaterThanOrEqual">
      <formula>250</formula>
    </cfRule>
  </conditionalFormatting>
  <conditionalFormatting sqref="O1971">
    <cfRule type="cellIs" dxfId="3140" priority="3596" operator="greaterThanOrEqual">
      <formula>175</formula>
    </cfRule>
  </conditionalFormatting>
  <conditionalFormatting sqref="P1971">
    <cfRule type="cellIs" dxfId="3139" priority="3597" operator="greaterThanOrEqual">
      <formula>2.5</formula>
    </cfRule>
  </conditionalFormatting>
  <conditionalFormatting sqref="Q1971">
    <cfRule type="cellIs" dxfId="3138" priority="3598" operator="greaterThanOrEqual">
      <formula>500</formula>
    </cfRule>
  </conditionalFormatting>
  <conditionalFormatting sqref="Q1971">
    <cfRule type="cellIs" dxfId="3137" priority="3599" operator="greaterThanOrEqual">
      <formula>300</formula>
    </cfRule>
  </conditionalFormatting>
  <conditionalFormatting sqref="L1974 P1974">
    <cfRule type="cellIs" dxfId="3136" priority="3566" operator="greaterThanOrEqual">
      <formula>5</formula>
    </cfRule>
  </conditionalFormatting>
  <conditionalFormatting sqref="L1974">
    <cfRule type="cellIs" dxfId="3135" priority="3567" operator="greaterThanOrEqual">
      <formula>2</formula>
    </cfRule>
  </conditionalFormatting>
  <conditionalFormatting sqref="M1974">
    <cfRule type="cellIs" dxfId="3134" priority="3568" operator="greaterThanOrEqual">
      <formula>60</formula>
    </cfRule>
  </conditionalFormatting>
  <conditionalFormatting sqref="M1974">
    <cfRule type="cellIs" dxfId="3133" priority="3569" operator="greaterThanOrEqual">
      <formula>30</formula>
    </cfRule>
  </conditionalFormatting>
  <conditionalFormatting sqref="R1974">
    <cfRule type="cellIs" dxfId="3132" priority="3570" operator="greaterThanOrEqual">
      <formula>600</formula>
    </cfRule>
  </conditionalFormatting>
  <conditionalFormatting sqref="R1974">
    <cfRule type="cellIs" dxfId="3131" priority="3571" operator="greaterThanOrEqual">
      <formula>260</formula>
    </cfRule>
  </conditionalFormatting>
  <conditionalFormatting sqref="S1974">
    <cfRule type="containsText" dxfId="3130" priority="3572" operator="containsText" text="&lt;">
      <formula>NOT(ISERROR(SEARCH(("&lt;"),(S1974))))</formula>
    </cfRule>
  </conditionalFormatting>
  <conditionalFormatting sqref="S1974">
    <cfRule type="containsText" dxfId="3129" priority="3573" operator="containsText" text="ND">
      <formula>NOT(ISERROR(SEARCH(("ND"),(S1974))))</formula>
    </cfRule>
  </conditionalFormatting>
  <conditionalFormatting sqref="S1974 N1974">
    <cfRule type="cellIs" dxfId="3128" priority="3574" operator="greaterThanOrEqual">
      <formula>200</formula>
    </cfRule>
  </conditionalFormatting>
  <conditionalFormatting sqref="S1974">
    <cfRule type="cellIs" dxfId="3127" priority="3575" operator="greaterThanOrEqual">
      <formula>130</formula>
    </cfRule>
  </conditionalFormatting>
  <conditionalFormatting sqref="N1974">
    <cfRule type="cellIs" dxfId="3126" priority="3576" operator="greaterThanOrEqual">
      <formula>120</formula>
    </cfRule>
  </conditionalFormatting>
  <conditionalFormatting sqref="O1974:Q1974">
    <cfRule type="containsText" dxfId="3125" priority="3577" operator="containsText" text="ND">
      <formula>NOT(ISERROR(SEARCH(("ND"),(O1974))))</formula>
    </cfRule>
  </conditionalFormatting>
  <conditionalFormatting sqref="O1974">
    <cfRule type="cellIs" dxfId="3124" priority="3578" operator="greaterThanOrEqual">
      <formula>250</formula>
    </cfRule>
  </conditionalFormatting>
  <conditionalFormatting sqref="O1974">
    <cfRule type="cellIs" dxfId="3123" priority="3579" operator="greaterThanOrEqual">
      <formula>175</formula>
    </cfRule>
  </conditionalFormatting>
  <conditionalFormatting sqref="P1974">
    <cfRule type="cellIs" dxfId="3122" priority="3580" operator="greaterThanOrEqual">
      <formula>2.5</formula>
    </cfRule>
  </conditionalFormatting>
  <conditionalFormatting sqref="Q1974">
    <cfRule type="cellIs" dxfId="3121" priority="3581" operator="greaterThanOrEqual">
      <formula>500</formula>
    </cfRule>
  </conditionalFormatting>
  <conditionalFormatting sqref="Q1974">
    <cfRule type="cellIs" dxfId="3120" priority="3582" operator="greaterThanOrEqual">
      <formula>300</formula>
    </cfRule>
  </conditionalFormatting>
  <conditionalFormatting sqref="L1779 P1779">
    <cfRule type="cellIs" dxfId="3119" priority="3549" operator="greaterThanOrEqual">
      <formula>5</formula>
    </cfRule>
  </conditionalFormatting>
  <conditionalFormatting sqref="L1779">
    <cfRule type="cellIs" dxfId="3118" priority="3550" operator="greaterThanOrEqual">
      <formula>2</formula>
    </cfRule>
  </conditionalFormatting>
  <conditionalFormatting sqref="M1779">
    <cfRule type="cellIs" dxfId="3117" priority="3551" operator="greaterThanOrEqual">
      <formula>60</formula>
    </cfRule>
  </conditionalFormatting>
  <conditionalFormatting sqref="M1779">
    <cfRule type="cellIs" dxfId="3116" priority="3552" operator="greaterThanOrEqual">
      <formula>30</formula>
    </cfRule>
  </conditionalFormatting>
  <conditionalFormatting sqref="R1779">
    <cfRule type="cellIs" dxfId="3115" priority="3553" operator="greaterThanOrEqual">
      <formula>600</formula>
    </cfRule>
  </conditionalFormatting>
  <conditionalFormatting sqref="R1779">
    <cfRule type="cellIs" dxfId="3114" priority="3554" operator="greaterThanOrEqual">
      <formula>260</formula>
    </cfRule>
  </conditionalFormatting>
  <conditionalFormatting sqref="S1779">
    <cfRule type="containsText" dxfId="3113" priority="3555" operator="containsText" text="&lt;">
      <formula>NOT(ISERROR(SEARCH(("&lt;"),(S1779))))</formula>
    </cfRule>
  </conditionalFormatting>
  <conditionalFormatting sqref="S1779">
    <cfRule type="containsText" dxfId="3112" priority="3556" operator="containsText" text="ND">
      <formula>NOT(ISERROR(SEARCH(("ND"),(S1779))))</formula>
    </cfRule>
  </conditionalFormatting>
  <conditionalFormatting sqref="S1779 N1779">
    <cfRule type="cellIs" dxfId="3111" priority="3557" operator="greaterThanOrEqual">
      <formula>200</formula>
    </cfRule>
  </conditionalFormatting>
  <conditionalFormatting sqref="S1779">
    <cfRule type="cellIs" dxfId="3110" priority="3558" operator="greaterThanOrEqual">
      <formula>130</formula>
    </cfRule>
  </conditionalFormatting>
  <conditionalFormatting sqref="N1779">
    <cfRule type="cellIs" dxfId="3109" priority="3559" operator="greaterThanOrEqual">
      <formula>120</formula>
    </cfRule>
  </conditionalFormatting>
  <conditionalFormatting sqref="O1779:Q1779">
    <cfRule type="containsText" dxfId="3108" priority="3560" operator="containsText" text="ND">
      <formula>NOT(ISERROR(SEARCH(("ND"),(O1779))))</formula>
    </cfRule>
  </conditionalFormatting>
  <conditionalFormatting sqref="O1779">
    <cfRule type="cellIs" dxfId="3107" priority="3561" operator="greaterThanOrEqual">
      <formula>250</formula>
    </cfRule>
  </conditionalFormatting>
  <conditionalFormatting sqref="O1779">
    <cfRule type="cellIs" dxfId="3106" priority="3562" operator="greaterThanOrEqual">
      <formula>175</formula>
    </cfRule>
  </conditionalFormatting>
  <conditionalFormatting sqref="P1779">
    <cfRule type="cellIs" dxfId="3105" priority="3563" operator="greaterThanOrEqual">
      <formula>2.5</formula>
    </cfRule>
  </conditionalFormatting>
  <conditionalFormatting sqref="Q1779">
    <cfRule type="cellIs" dxfId="3104" priority="3564" operator="greaterThanOrEqual">
      <formula>500</formula>
    </cfRule>
  </conditionalFormatting>
  <conditionalFormatting sqref="Q1779">
    <cfRule type="cellIs" dxfId="3103" priority="3565" operator="greaterThanOrEqual">
      <formula>300</formula>
    </cfRule>
  </conditionalFormatting>
  <conditionalFormatting sqref="L2415 P2415">
    <cfRule type="cellIs" dxfId="3102" priority="3532" operator="greaterThanOrEqual">
      <formula>5</formula>
    </cfRule>
  </conditionalFormatting>
  <conditionalFormatting sqref="L2415">
    <cfRule type="cellIs" dxfId="3101" priority="3533" operator="greaterThanOrEqual">
      <formula>2</formula>
    </cfRule>
  </conditionalFormatting>
  <conditionalFormatting sqref="M2415">
    <cfRule type="cellIs" dxfId="3100" priority="3534" operator="greaterThanOrEqual">
      <formula>60</formula>
    </cfRule>
  </conditionalFormatting>
  <conditionalFormatting sqref="M2415">
    <cfRule type="cellIs" dxfId="3099" priority="3535" operator="greaterThanOrEqual">
      <formula>30</formula>
    </cfRule>
  </conditionalFormatting>
  <conditionalFormatting sqref="R2415">
    <cfRule type="cellIs" dxfId="3098" priority="3536" operator="greaterThanOrEqual">
      <formula>600</formula>
    </cfRule>
  </conditionalFormatting>
  <conditionalFormatting sqref="R2415">
    <cfRule type="cellIs" dxfId="3097" priority="3537" operator="greaterThanOrEqual">
      <formula>260</formula>
    </cfRule>
  </conditionalFormatting>
  <conditionalFormatting sqref="S2415">
    <cfRule type="containsText" dxfId="3096" priority="3538" operator="containsText" text="&lt;">
      <formula>NOT(ISERROR(SEARCH(("&lt;"),(S2415))))</formula>
    </cfRule>
  </conditionalFormatting>
  <conditionalFormatting sqref="S2415">
    <cfRule type="containsText" dxfId="3095" priority="3539" operator="containsText" text="ND">
      <formula>NOT(ISERROR(SEARCH(("ND"),(S2415))))</formula>
    </cfRule>
  </conditionalFormatting>
  <conditionalFormatting sqref="S2415 N2415">
    <cfRule type="cellIs" dxfId="3094" priority="3540" operator="greaterThanOrEqual">
      <formula>200</formula>
    </cfRule>
  </conditionalFormatting>
  <conditionalFormatting sqref="S2415">
    <cfRule type="cellIs" dxfId="3093" priority="3541" operator="greaterThanOrEqual">
      <formula>130</formula>
    </cfRule>
  </conditionalFormatting>
  <conditionalFormatting sqref="N2415">
    <cfRule type="cellIs" dxfId="3092" priority="3542" operator="greaterThanOrEqual">
      <formula>120</formula>
    </cfRule>
  </conditionalFormatting>
  <conditionalFormatting sqref="O2415:Q2415">
    <cfRule type="containsText" dxfId="3091" priority="3543" operator="containsText" text="ND">
      <formula>NOT(ISERROR(SEARCH(("ND"),(O2415))))</formula>
    </cfRule>
  </conditionalFormatting>
  <conditionalFormatting sqref="O2415">
    <cfRule type="cellIs" dxfId="3090" priority="3544" operator="greaterThanOrEqual">
      <formula>250</formula>
    </cfRule>
  </conditionalFormatting>
  <conditionalFormatting sqref="O2415">
    <cfRule type="cellIs" dxfId="3089" priority="3545" operator="greaterThanOrEqual">
      <formula>175</formula>
    </cfRule>
  </conditionalFormatting>
  <conditionalFormatting sqref="P2415">
    <cfRule type="cellIs" dxfId="3088" priority="3546" operator="greaterThanOrEqual">
      <formula>2.5</formula>
    </cfRule>
  </conditionalFormatting>
  <conditionalFormatting sqref="Q2415">
    <cfRule type="cellIs" dxfId="3087" priority="3547" operator="greaterThanOrEqual">
      <formula>500</formula>
    </cfRule>
  </conditionalFormatting>
  <conditionalFormatting sqref="Q2415">
    <cfRule type="cellIs" dxfId="3086" priority="3548" operator="greaterThanOrEqual">
      <formula>300</formula>
    </cfRule>
  </conditionalFormatting>
  <conditionalFormatting sqref="L1975:L1976 P1975:P1976">
    <cfRule type="cellIs" dxfId="3085" priority="3515" operator="greaterThanOrEqual">
      <formula>5</formula>
    </cfRule>
  </conditionalFormatting>
  <conditionalFormatting sqref="L1975:L1976">
    <cfRule type="cellIs" dxfId="3084" priority="3516" operator="greaterThanOrEqual">
      <formula>2</formula>
    </cfRule>
  </conditionalFormatting>
  <conditionalFormatting sqref="M1975:M1976">
    <cfRule type="cellIs" dxfId="3083" priority="3517" operator="greaterThanOrEqual">
      <formula>60</formula>
    </cfRule>
  </conditionalFormatting>
  <conditionalFormatting sqref="M1975:M1976">
    <cfRule type="cellIs" dxfId="3082" priority="3518" operator="greaterThanOrEqual">
      <formula>30</formula>
    </cfRule>
  </conditionalFormatting>
  <conditionalFormatting sqref="R1975:R1976">
    <cfRule type="cellIs" dxfId="3081" priority="3519" operator="greaterThanOrEqual">
      <formula>600</formula>
    </cfRule>
  </conditionalFormatting>
  <conditionalFormatting sqref="R1975:R1976">
    <cfRule type="cellIs" dxfId="3080" priority="3520" operator="greaterThanOrEqual">
      <formula>260</formula>
    </cfRule>
  </conditionalFormatting>
  <conditionalFormatting sqref="S1975:S1976">
    <cfRule type="containsText" dxfId="3079" priority="3521" operator="containsText" text="&lt;">
      <formula>NOT(ISERROR(SEARCH(("&lt;"),(S1975))))</formula>
    </cfRule>
  </conditionalFormatting>
  <conditionalFormatting sqref="S1975:S1976">
    <cfRule type="containsText" dxfId="3078" priority="3522" operator="containsText" text="ND">
      <formula>NOT(ISERROR(SEARCH(("ND"),(S1975))))</formula>
    </cfRule>
  </conditionalFormatting>
  <conditionalFormatting sqref="S1975:S1976 N1975:N1976">
    <cfRule type="cellIs" dxfId="3077" priority="3523" operator="greaterThanOrEqual">
      <formula>200</formula>
    </cfRule>
  </conditionalFormatting>
  <conditionalFormatting sqref="S1975:S1976">
    <cfRule type="cellIs" dxfId="3076" priority="3524" operator="greaterThanOrEqual">
      <formula>130</formula>
    </cfRule>
  </conditionalFormatting>
  <conditionalFormatting sqref="N1975:N1976">
    <cfRule type="cellIs" dxfId="3075" priority="3525" operator="greaterThanOrEqual">
      <formula>120</formula>
    </cfRule>
  </conditionalFormatting>
  <conditionalFormatting sqref="O1975:Q1976">
    <cfRule type="containsText" dxfId="3074" priority="3526" operator="containsText" text="ND">
      <formula>NOT(ISERROR(SEARCH(("ND"),(O1975))))</formula>
    </cfRule>
  </conditionalFormatting>
  <conditionalFormatting sqref="O1975:O1976">
    <cfRule type="cellIs" dxfId="3073" priority="3527" operator="greaterThanOrEqual">
      <formula>250</formula>
    </cfRule>
  </conditionalFormatting>
  <conditionalFormatting sqref="O1975:O1976">
    <cfRule type="cellIs" dxfId="3072" priority="3528" operator="greaterThanOrEqual">
      <formula>175</formula>
    </cfRule>
  </conditionalFormatting>
  <conditionalFormatting sqref="P1975:P1976">
    <cfRule type="cellIs" dxfId="3071" priority="3529" operator="greaterThanOrEqual">
      <formula>2.5</formula>
    </cfRule>
  </conditionalFormatting>
  <conditionalFormatting sqref="Q1975:Q1976">
    <cfRule type="cellIs" dxfId="3070" priority="3530" operator="greaterThanOrEqual">
      <formula>500</formula>
    </cfRule>
  </conditionalFormatting>
  <conditionalFormatting sqref="Q1975:Q1976">
    <cfRule type="cellIs" dxfId="3069" priority="3531" operator="greaterThanOrEqual">
      <formula>300</formula>
    </cfRule>
  </conditionalFormatting>
  <conditionalFormatting sqref="L1978 P1978">
    <cfRule type="cellIs" dxfId="3068" priority="3498" operator="greaterThanOrEqual">
      <formula>5</formula>
    </cfRule>
  </conditionalFormatting>
  <conditionalFormatting sqref="L1978">
    <cfRule type="cellIs" dxfId="3067" priority="3499" operator="greaterThanOrEqual">
      <formula>2</formula>
    </cfRule>
  </conditionalFormatting>
  <conditionalFormatting sqref="M1978">
    <cfRule type="cellIs" dxfId="3066" priority="3500" operator="greaterThanOrEqual">
      <formula>60</formula>
    </cfRule>
  </conditionalFormatting>
  <conditionalFormatting sqref="M1978">
    <cfRule type="cellIs" dxfId="3065" priority="3501" operator="greaterThanOrEqual">
      <formula>30</formula>
    </cfRule>
  </conditionalFormatting>
  <conditionalFormatting sqref="R1978">
    <cfRule type="cellIs" dxfId="3064" priority="3502" operator="greaterThanOrEqual">
      <formula>600</formula>
    </cfRule>
  </conditionalFormatting>
  <conditionalFormatting sqref="R1978">
    <cfRule type="cellIs" dxfId="3063" priority="3503" operator="greaterThanOrEqual">
      <formula>260</formula>
    </cfRule>
  </conditionalFormatting>
  <conditionalFormatting sqref="S1978">
    <cfRule type="containsText" dxfId="3062" priority="3504" operator="containsText" text="&lt;">
      <formula>NOT(ISERROR(SEARCH(("&lt;"),(S1978))))</formula>
    </cfRule>
  </conditionalFormatting>
  <conditionalFormatting sqref="S1978">
    <cfRule type="containsText" dxfId="3061" priority="3505" operator="containsText" text="ND">
      <formula>NOT(ISERROR(SEARCH(("ND"),(S1978))))</formula>
    </cfRule>
  </conditionalFormatting>
  <conditionalFormatting sqref="S1978 N1978">
    <cfRule type="cellIs" dxfId="3060" priority="3506" operator="greaterThanOrEqual">
      <formula>200</formula>
    </cfRule>
  </conditionalFormatting>
  <conditionalFormatting sqref="S1978">
    <cfRule type="cellIs" dxfId="3059" priority="3507" operator="greaterThanOrEqual">
      <formula>130</formula>
    </cfRule>
  </conditionalFormatting>
  <conditionalFormatting sqref="N1978">
    <cfRule type="cellIs" dxfId="3058" priority="3508" operator="greaterThanOrEqual">
      <formula>120</formula>
    </cfRule>
  </conditionalFormatting>
  <conditionalFormatting sqref="O1978:Q1978">
    <cfRule type="containsText" dxfId="3057" priority="3509" operator="containsText" text="ND">
      <formula>NOT(ISERROR(SEARCH(("ND"),(O1978))))</formula>
    </cfRule>
  </conditionalFormatting>
  <conditionalFormatting sqref="O1978">
    <cfRule type="cellIs" dxfId="3056" priority="3510" operator="greaterThanOrEqual">
      <formula>250</formula>
    </cfRule>
  </conditionalFormatting>
  <conditionalFormatting sqref="O1978">
    <cfRule type="cellIs" dxfId="3055" priority="3511" operator="greaterThanOrEqual">
      <formula>175</formula>
    </cfRule>
  </conditionalFormatting>
  <conditionalFormatting sqref="P1978">
    <cfRule type="cellIs" dxfId="3054" priority="3512" operator="greaterThanOrEqual">
      <formula>2.5</formula>
    </cfRule>
  </conditionalFormatting>
  <conditionalFormatting sqref="Q1978">
    <cfRule type="cellIs" dxfId="3053" priority="3513" operator="greaterThanOrEqual">
      <formula>500</formula>
    </cfRule>
  </conditionalFormatting>
  <conditionalFormatting sqref="Q1978">
    <cfRule type="cellIs" dxfId="3052" priority="3514" operator="greaterThanOrEqual">
      <formula>300</formula>
    </cfRule>
  </conditionalFormatting>
  <conditionalFormatting sqref="L2108 P2108">
    <cfRule type="cellIs" dxfId="3051" priority="3481" operator="greaterThanOrEqual">
      <formula>5</formula>
    </cfRule>
  </conditionalFormatting>
  <conditionalFormatting sqref="L2108">
    <cfRule type="cellIs" dxfId="3050" priority="3482" operator="greaterThanOrEqual">
      <formula>2</formula>
    </cfRule>
  </conditionalFormatting>
  <conditionalFormatting sqref="M2108">
    <cfRule type="cellIs" dxfId="3049" priority="3483" operator="greaterThanOrEqual">
      <formula>60</formula>
    </cfRule>
  </conditionalFormatting>
  <conditionalFormatting sqref="M2108">
    <cfRule type="cellIs" dxfId="3048" priority="3484" operator="greaterThanOrEqual">
      <formula>30</formula>
    </cfRule>
  </conditionalFormatting>
  <conditionalFormatting sqref="R2108">
    <cfRule type="cellIs" dxfId="3047" priority="3485" operator="greaterThanOrEqual">
      <formula>600</formula>
    </cfRule>
  </conditionalFormatting>
  <conditionalFormatting sqref="R2108">
    <cfRule type="cellIs" dxfId="3046" priority="3486" operator="greaterThanOrEqual">
      <formula>260</formula>
    </cfRule>
  </conditionalFormatting>
  <conditionalFormatting sqref="S2108">
    <cfRule type="containsText" dxfId="3045" priority="3487" operator="containsText" text="&lt;">
      <formula>NOT(ISERROR(SEARCH(("&lt;"),(S2108))))</formula>
    </cfRule>
  </conditionalFormatting>
  <conditionalFormatting sqref="S2108">
    <cfRule type="containsText" dxfId="3044" priority="3488" operator="containsText" text="ND">
      <formula>NOT(ISERROR(SEARCH(("ND"),(S2108))))</formula>
    </cfRule>
  </conditionalFormatting>
  <conditionalFormatting sqref="S2108 N2108">
    <cfRule type="cellIs" dxfId="3043" priority="3489" operator="greaterThanOrEqual">
      <formula>200</formula>
    </cfRule>
  </conditionalFormatting>
  <conditionalFormatting sqref="S2108">
    <cfRule type="cellIs" dxfId="3042" priority="3490" operator="greaterThanOrEqual">
      <formula>130</formula>
    </cfRule>
  </conditionalFormatting>
  <conditionalFormatting sqref="N2108">
    <cfRule type="cellIs" dxfId="3041" priority="3491" operator="greaterThanOrEqual">
      <formula>120</formula>
    </cfRule>
  </conditionalFormatting>
  <conditionalFormatting sqref="O2108:Q2108">
    <cfRule type="containsText" dxfId="3040" priority="3492" operator="containsText" text="ND">
      <formula>NOT(ISERROR(SEARCH(("ND"),(O2108))))</formula>
    </cfRule>
  </conditionalFormatting>
  <conditionalFormatting sqref="O2108">
    <cfRule type="cellIs" dxfId="3039" priority="3493" operator="greaterThanOrEqual">
      <formula>250</formula>
    </cfRule>
  </conditionalFormatting>
  <conditionalFormatting sqref="O2108">
    <cfRule type="cellIs" dxfId="3038" priority="3494" operator="greaterThanOrEqual">
      <formula>175</formula>
    </cfRule>
  </conditionalFormatting>
  <conditionalFormatting sqref="P2108">
    <cfRule type="cellIs" dxfId="3037" priority="3495" operator="greaterThanOrEqual">
      <formula>2.5</formula>
    </cfRule>
  </conditionalFormatting>
  <conditionalFormatting sqref="Q2108">
    <cfRule type="cellIs" dxfId="3036" priority="3496" operator="greaterThanOrEqual">
      <formula>500</formula>
    </cfRule>
  </conditionalFormatting>
  <conditionalFormatting sqref="Q2108">
    <cfRule type="cellIs" dxfId="3035" priority="3497" operator="greaterThanOrEqual">
      <formula>300</formula>
    </cfRule>
  </conditionalFormatting>
  <conditionalFormatting sqref="L1980 P1980">
    <cfRule type="cellIs" dxfId="3034" priority="3464" operator="greaterThanOrEqual">
      <formula>5</formula>
    </cfRule>
  </conditionalFormatting>
  <conditionalFormatting sqref="L1980">
    <cfRule type="cellIs" dxfId="3033" priority="3465" operator="greaterThanOrEqual">
      <formula>2</formula>
    </cfRule>
  </conditionalFormatting>
  <conditionalFormatting sqref="M1980">
    <cfRule type="cellIs" dxfId="3032" priority="3466" operator="greaterThanOrEqual">
      <formula>60</formula>
    </cfRule>
  </conditionalFormatting>
  <conditionalFormatting sqref="M1980">
    <cfRule type="cellIs" dxfId="3031" priority="3467" operator="greaterThanOrEqual">
      <formula>30</formula>
    </cfRule>
  </conditionalFormatting>
  <conditionalFormatting sqref="R1980">
    <cfRule type="cellIs" dxfId="3030" priority="3468" operator="greaterThanOrEqual">
      <formula>600</formula>
    </cfRule>
  </conditionalFormatting>
  <conditionalFormatting sqref="R1980">
    <cfRule type="cellIs" dxfId="3029" priority="3469" operator="greaterThanOrEqual">
      <formula>260</formula>
    </cfRule>
  </conditionalFormatting>
  <conditionalFormatting sqref="S1980">
    <cfRule type="containsText" dxfId="3028" priority="3470" operator="containsText" text="&lt;">
      <formula>NOT(ISERROR(SEARCH(("&lt;"),(S1980))))</formula>
    </cfRule>
  </conditionalFormatting>
  <conditionalFormatting sqref="S1980">
    <cfRule type="containsText" dxfId="3027" priority="3471" operator="containsText" text="ND">
      <formula>NOT(ISERROR(SEARCH(("ND"),(S1980))))</formula>
    </cfRule>
  </conditionalFormatting>
  <conditionalFormatting sqref="S1980 N1980">
    <cfRule type="cellIs" dxfId="3026" priority="3472" operator="greaterThanOrEqual">
      <formula>200</formula>
    </cfRule>
  </conditionalFormatting>
  <conditionalFormatting sqref="S1980">
    <cfRule type="cellIs" dxfId="3025" priority="3473" operator="greaterThanOrEqual">
      <formula>130</formula>
    </cfRule>
  </conditionalFormatting>
  <conditionalFormatting sqref="N1980">
    <cfRule type="cellIs" dxfId="3024" priority="3474" operator="greaterThanOrEqual">
      <formula>120</formula>
    </cfRule>
  </conditionalFormatting>
  <conditionalFormatting sqref="O1980:Q1980">
    <cfRule type="containsText" dxfId="3023" priority="3475" operator="containsText" text="ND">
      <formula>NOT(ISERROR(SEARCH(("ND"),(O1980))))</formula>
    </cfRule>
  </conditionalFormatting>
  <conditionalFormatting sqref="O1980">
    <cfRule type="cellIs" dxfId="3022" priority="3476" operator="greaterThanOrEqual">
      <formula>250</formula>
    </cfRule>
  </conditionalFormatting>
  <conditionalFormatting sqref="O1980">
    <cfRule type="cellIs" dxfId="3021" priority="3477" operator="greaterThanOrEqual">
      <formula>175</formula>
    </cfRule>
  </conditionalFormatting>
  <conditionalFormatting sqref="P1980">
    <cfRule type="cellIs" dxfId="3020" priority="3478" operator="greaterThanOrEqual">
      <formula>2.5</formula>
    </cfRule>
  </conditionalFormatting>
  <conditionalFormatting sqref="Q1980">
    <cfRule type="cellIs" dxfId="3019" priority="3479" operator="greaterThanOrEqual">
      <formula>500</formula>
    </cfRule>
  </conditionalFormatting>
  <conditionalFormatting sqref="Q1980">
    <cfRule type="cellIs" dxfId="3018" priority="3480" operator="greaterThanOrEqual">
      <formula>300</formula>
    </cfRule>
  </conditionalFormatting>
  <conditionalFormatting sqref="L1681 P1681">
    <cfRule type="cellIs" dxfId="3017" priority="3447" operator="greaterThanOrEqual">
      <formula>5</formula>
    </cfRule>
  </conditionalFormatting>
  <conditionalFormatting sqref="L1681">
    <cfRule type="cellIs" dxfId="3016" priority="3448" operator="greaterThanOrEqual">
      <formula>2</formula>
    </cfRule>
  </conditionalFormatting>
  <conditionalFormatting sqref="M1681">
    <cfRule type="cellIs" dxfId="3015" priority="3449" operator="greaterThanOrEqual">
      <formula>60</formula>
    </cfRule>
  </conditionalFormatting>
  <conditionalFormatting sqref="M1681">
    <cfRule type="cellIs" dxfId="3014" priority="3450" operator="greaterThanOrEqual">
      <formula>30</formula>
    </cfRule>
  </conditionalFormatting>
  <conditionalFormatting sqref="R1681">
    <cfRule type="cellIs" dxfId="3013" priority="3451" operator="greaterThanOrEqual">
      <formula>600</formula>
    </cfRule>
  </conditionalFormatting>
  <conditionalFormatting sqref="R1681">
    <cfRule type="cellIs" dxfId="3012" priority="3452" operator="greaterThanOrEqual">
      <formula>260</formula>
    </cfRule>
  </conditionalFormatting>
  <conditionalFormatting sqref="S1681">
    <cfRule type="containsText" dxfId="3011" priority="3453" operator="containsText" text="&lt;">
      <formula>NOT(ISERROR(SEARCH(("&lt;"),(S1681))))</formula>
    </cfRule>
  </conditionalFormatting>
  <conditionalFormatting sqref="S1681">
    <cfRule type="containsText" dxfId="3010" priority="3454" operator="containsText" text="ND">
      <formula>NOT(ISERROR(SEARCH(("ND"),(S1681))))</formula>
    </cfRule>
  </conditionalFormatting>
  <conditionalFormatting sqref="S1681 N1681">
    <cfRule type="cellIs" dxfId="3009" priority="3455" operator="greaterThanOrEqual">
      <formula>200</formula>
    </cfRule>
  </conditionalFormatting>
  <conditionalFormatting sqref="S1681">
    <cfRule type="cellIs" dxfId="3008" priority="3456" operator="greaterThanOrEqual">
      <formula>130</formula>
    </cfRule>
  </conditionalFormatting>
  <conditionalFormatting sqref="N1681">
    <cfRule type="cellIs" dxfId="3007" priority="3457" operator="greaterThanOrEqual">
      <formula>120</formula>
    </cfRule>
  </conditionalFormatting>
  <conditionalFormatting sqref="O1681:Q1681">
    <cfRule type="containsText" dxfId="3006" priority="3458" operator="containsText" text="ND">
      <formula>NOT(ISERROR(SEARCH(("ND"),(O1681))))</formula>
    </cfRule>
  </conditionalFormatting>
  <conditionalFormatting sqref="O1681">
    <cfRule type="cellIs" dxfId="3005" priority="3459" operator="greaterThanOrEqual">
      <formula>250</formula>
    </cfRule>
  </conditionalFormatting>
  <conditionalFormatting sqref="O1681">
    <cfRule type="cellIs" dxfId="3004" priority="3460" operator="greaterThanOrEqual">
      <formula>175</formula>
    </cfRule>
  </conditionalFormatting>
  <conditionalFormatting sqref="P1681">
    <cfRule type="cellIs" dxfId="3003" priority="3461" operator="greaterThanOrEqual">
      <formula>2.5</formula>
    </cfRule>
  </conditionalFormatting>
  <conditionalFormatting sqref="Q1681">
    <cfRule type="cellIs" dxfId="3002" priority="3462" operator="greaterThanOrEqual">
      <formula>500</formula>
    </cfRule>
  </conditionalFormatting>
  <conditionalFormatting sqref="Q1681">
    <cfRule type="cellIs" dxfId="3001" priority="3463" operator="greaterThanOrEqual">
      <formula>300</formula>
    </cfRule>
  </conditionalFormatting>
  <conditionalFormatting sqref="L2417 P2417">
    <cfRule type="cellIs" dxfId="3000" priority="3430" operator="greaterThanOrEqual">
      <formula>5</formula>
    </cfRule>
  </conditionalFormatting>
  <conditionalFormatting sqref="L2417">
    <cfRule type="cellIs" dxfId="2999" priority="3431" operator="greaterThanOrEqual">
      <formula>2</formula>
    </cfRule>
  </conditionalFormatting>
  <conditionalFormatting sqref="M2417">
    <cfRule type="cellIs" dxfId="2998" priority="3432" operator="greaterThanOrEqual">
      <formula>60</formula>
    </cfRule>
  </conditionalFormatting>
  <conditionalFormatting sqref="M2417">
    <cfRule type="cellIs" dxfId="2997" priority="3433" operator="greaterThanOrEqual">
      <formula>30</formula>
    </cfRule>
  </conditionalFormatting>
  <conditionalFormatting sqref="R2417">
    <cfRule type="cellIs" dxfId="2996" priority="3434" operator="greaterThanOrEqual">
      <formula>600</formula>
    </cfRule>
  </conditionalFormatting>
  <conditionalFormatting sqref="R2417">
    <cfRule type="cellIs" dxfId="2995" priority="3435" operator="greaterThanOrEqual">
      <formula>260</formula>
    </cfRule>
  </conditionalFormatting>
  <conditionalFormatting sqref="S2417">
    <cfRule type="containsText" dxfId="2994" priority="3436" operator="containsText" text="&lt;">
      <formula>NOT(ISERROR(SEARCH(("&lt;"),(S2417))))</formula>
    </cfRule>
  </conditionalFormatting>
  <conditionalFormatting sqref="S2417">
    <cfRule type="containsText" dxfId="2993" priority="3437" operator="containsText" text="ND">
      <formula>NOT(ISERROR(SEARCH(("ND"),(S2417))))</formula>
    </cfRule>
  </conditionalFormatting>
  <conditionalFormatting sqref="S2417 N2417">
    <cfRule type="cellIs" dxfId="2992" priority="3438" operator="greaterThanOrEqual">
      <formula>200</formula>
    </cfRule>
  </conditionalFormatting>
  <conditionalFormatting sqref="S2417">
    <cfRule type="cellIs" dxfId="2991" priority="3439" operator="greaterThanOrEqual">
      <formula>130</formula>
    </cfRule>
  </conditionalFormatting>
  <conditionalFormatting sqref="N2417">
    <cfRule type="cellIs" dxfId="2990" priority="3440" operator="greaterThanOrEqual">
      <formula>120</formula>
    </cfRule>
  </conditionalFormatting>
  <conditionalFormatting sqref="O2417:Q2417">
    <cfRule type="containsText" dxfId="2989" priority="3441" operator="containsText" text="ND">
      <formula>NOT(ISERROR(SEARCH(("ND"),(O2417))))</formula>
    </cfRule>
  </conditionalFormatting>
  <conditionalFormatting sqref="O2417">
    <cfRule type="cellIs" dxfId="2988" priority="3442" operator="greaterThanOrEqual">
      <formula>250</formula>
    </cfRule>
  </conditionalFormatting>
  <conditionalFormatting sqref="O2417">
    <cfRule type="cellIs" dxfId="2987" priority="3443" operator="greaterThanOrEqual">
      <formula>175</formula>
    </cfRule>
  </conditionalFormatting>
  <conditionalFormatting sqref="P2417">
    <cfRule type="cellIs" dxfId="2986" priority="3444" operator="greaterThanOrEqual">
      <formula>2.5</formula>
    </cfRule>
  </conditionalFormatting>
  <conditionalFormatting sqref="Q2417">
    <cfRule type="cellIs" dxfId="2985" priority="3445" operator="greaterThanOrEqual">
      <formula>500</formula>
    </cfRule>
  </conditionalFormatting>
  <conditionalFormatting sqref="Q2417">
    <cfRule type="cellIs" dxfId="2984" priority="3446" operator="greaterThanOrEqual">
      <formula>300</formula>
    </cfRule>
  </conditionalFormatting>
  <conditionalFormatting sqref="L2109:L2110 P2109:P2110">
    <cfRule type="cellIs" dxfId="2983" priority="3413" operator="greaterThanOrEqual">
      <formula>5</formula>
    </cfRule>
  </conditionalFormatting>
  <conditionalFormatting sqref="L2109:L2110">
    <cfRule type="cellIs" dxfId="2982" priority="3414" operator="greaterThanOrEqual">
      <formula>2</formula>
    </cfRule>
  </conditionalFormatting>
  <conditionalFormatting sqref="M2109:M2110">
    <cfRule type="cellIs" dxfId="2981" priority="3415" operator="greaterThanOrEqual">
      <formula>60</formula>
    </cfRule>
  </conditionalFormatting>
  <conditionalFormatting sqref="M2109:M2110">
    <cfRule type="cellIs" dxfId="2980" priority="3416" operator="greaterThanOrEqual">
      <formula>30</formula>
    </cfRule>
  </conditionalFormatting>
  <conditionalFormatting sqref="R2109:R2110">
    <cfRule type="cellIs" dxfId="2979" priority="3417" operator="greaterThanOrEqual">
      <formula>600</formula>
    </cfRule>
  </conditionalFormatting>
  <conditionalFormatting sqref="R2109:R2110">
    <cfRule type="cellIs" dxfId="2978" priority="3418" operator="greaterThanOrEqual">
      <formula>260</formula>
    </cfRule>
  </conditionalFormatting>
  <conditionalFormatting sqref="S2109:S2110">
    <cfRule type="containsText" dxfId="2977" priority="3419" operator="containsText" text="&lt;">
      <formula>NOT(ISERROR(SEARCH(("&lt;"),(S2109))))</formula>
    </cfRule>
  </conditionalFormatting>
  <conditionalFormatting sqref="S2109:S2110">
    <cfRule type="containsText" dxfId="2976" priority="3420" operator="containsText" text="ND">
      <formula>NOT(ISERROR(SEARCH(("ND"),(S2109))))</formula>
    </cfRule>
  </conditionalFormatting>
  <conditionalFormatting sqref="S2109:S2110 N2109:N2110">
    <cfRule type="cellIs" dxfId="2975" priority="3421" operator="greaterThanOrEqual">
      <formula>200</formula>
    </cfRule>
  </conditionalFormatting>
  <conditionalFormatting sqref="S2109:S2110">
    <cfRule type="cellIs" dxfId="2974" priority="3422" operator="greaterThanOrEqual">
      <formula>130</formula>
    </cfRule>
  </conditionalFormatting>
  <conditionalFormatting sqref="N2109:N2110">
    <cfRule type="cellIs" dxfId="2973" priority="3423" operator="greaterThanOrEqual">
      <formula>120</formula>
    </cfRule>
  </conditionalFormatting>
  <conditionalFormatting sqref="O2109:Q2110">
    <cfRule type="containsText" dxfId="2972" priority="3424" operator="containsText" text="ND">
      <formula>NOT(ISERROR(SEARCH(("ND"),(O2109))))</formula>
    </cfRule>
  </conditionalFormatting>
  <conditionalFormatting sqref="O2109:O2110">
    <cfRule type="cellIs" dxfId="2971" priority="3425" operator="greaterThanOrEqual">
      <formula>250</formula>
    </cfRule>
  </conditionalFormatting>
  <conditionalFormatting sqref="O2109:O2110">
    <cfRule type="cellIs" dxfId="2970" priority="3426" operator="greaterThanOrEqual">
      <formula>175</formula>
    </cfRule>
  </conditionalFormatting>
  <conditionalFormatting sqref="P2109:P2110">
    <cfRule type="cellIs" dxfId="2969" priority="3427" operator="greaterThanOrEqual">
      <formula>2.5</formula>
    </cfRule>
  </conditionalFormatting>
  <conditionalFormatting sqref="Q2109:Q2110">
    <cfRule type="cellIs" dxfId="2968" priority="3428" operator="greaterThanOrEqual">
      <formula>500</formula>
    </cfRule>
  </conditionalFormatting>
  <conditionalFormatting sqref="Q2109:Q2110">
    <cfRule type="cellIs" dxfId="2967" priority="3429" operator="greaterThanOrEqual">
      <formula>300</formula>
    </cfRule>
  </conditionalFormatting>
  <conditionalFormatting sqref="L2111 P2111">
    <cfRule type="cellIs" dxfId="2966" priority="3396" operator="greaterThanOrEqual">
      <formula>5</formula>
    </cfRule>
  </conditionalFormatting>
  <conditionalFormatting sqref="L2111">
    <cfRule type="cellIs" dxfId="2965" priority="3397" operator="greaterThanOrEqual">
      <formula>2</formula>
    </cfRule>
  </conditionalFormatting>
  <conditionalFormatting sqref="M2111">
    <cfRule type="cellIs" dxfId="2964" priority="3398" operator="greaterThanOrEqual">
      <formula>60</formula>
    </cfRule>
  </conditionalFormatting>
  <conditionalFormatting sqref="M2111">
    <cfRule type="cellIs" dxfId="2963" priority="3399" operator="greaterThanOrEqual">
      <formula>30</formula>
    </cfRule>
  </conditionalFormatting>
  <conditionalFormatting sqref="R2111">
    <cfRule type="cellIs" dxfId="2962" priority="3400" operator="greaterThanOrEqual">
      <formula>600</formula>
    </cfRule>
  </conditionalFormatting>
  <conditionalFormatting sqref="R2111">
    <cfRule type="cellIs" dxfId="2961" priority="3401" operator="greaterThanOrEqual">
      <formula>260</formula>
    </cfRule>
  </conditionalFormatting>
  <conditionalFormatting sqref="S2111">
    <cfRule type="containsText" dxfId="2960" priority="3402" operator="containsText" text="&lt;">
      <formula>NOT(ISERROR(SEARCH(("&lt;"),(S2111))))</formula>
    </cfRule>
  </conditionalFormatting>
  <conditionalFormatting sqref="S2111">
    <cfRule type="containsText" dxfId="2959" priority="3403" operator="containsText" text="ND">
      <formula>NOT(ISERROR(SEARCH(("ND"),(S2111))))</formula>
    </cfRule>
  </conditionalFormatting>
  <conditionalFormatting sqref="S2111 N2111">
    <cfRule type="cellIs" dxfId="2958" priority="3404" operator="greaterThanOrEqual">
      <formula>200</formula>
    </cfRule>
  </conditionalFormatting>
  <conditionalFormatting sqref="S2111">
    <cfRule type="cellIs" dxfId="2957" priority="3405" operator="greaterThanOrEqual">
      <formula>130</formula>
    </cfRule>
  </conditionalFormatting>
  <conditionalFormatting sqref="N2111">
    <cfRule type="cellIs" dxfId="2956" priority="3406" operator="greaterThanOrEqual">
      <formula>120</formula>
    </cfRule>
  </conditionalFormatting>
  <conditionalFormatting sqref="O2111:Q2111">
    <cfRule type="containsText" dxfId="2955" priority="3407" operator="containsText" text="ND">
      <formula>NOT(ISERROR(SEARCH(("ND"),(O2111))))</formula>
    </cfRule>
  </conditionalFormatting>
  <conditionalFormatting sqref="O2111">
    <cfRule type="cellIs" dxfId="2954" priority="3408" operator="greaterThanOrEqual">
      <formula>250</formula>
    </cfRule>
  </conditionalFormatting>
  <conditionalFormatting sqref="O2111">
    <cfRule type="cellIs" dxfId="2953" priority="3409" operator="greaterThanOrEqual">
      <formula>175</formula>
    </cfRule>
  </conditionalFormatting>
  <conditionalFormatting sqref="P2111">
    <cfRule type="cellIs" dxfId="2952" priority="3410" operator="greaterThanOrEqual">
      <formula>2.5</formula>
    </cfRule>
  </conditionalFormatting>
  <conditionalFormatting sqref="Q2111">
    <cfRule type="cellIs" dxfId="2951" priority="3411" operator="greaterThanOrEqual">
      <formula>500</formula>
    </cfRule>
  </conditionalFormatting>
  <conditionalFormatting sqref="Q2111">
    <cfRule type="cellIs" dxfId="2950" priority="3412" operator="greaterThanOrEqual">
      <formula>300</formula>
    </cfRule>
  </conditionalFormatting>
  <conditionalFormatting sqref="L1983 P1983">
    <cfRule type="cellIs" dxfId="2949" priority="3379" operator="greaterThanOrEqual">
      <formula>5</formula>
    </cfRule>
  </conditionalFormatting>
  <conditionalFormatting sqref="L1983">
    <cfRule type="cellIs" dxfId="2948" priority="3380" operator="greaterThanOrEqual">
      <formula>2</formula>
    </cfRule>
  </conditionalFormatting>
  <conditionalFormatting sqref="M1983">
    <cfRule type="cellIs" dxfId="2947" priority="3381" operator="greaterThanOrEqual">
      <formula>60</formula>
    </cfRule>
  </conditionalFormatting>
  <conditionalFormatting sqref="M1983">
    <cfRule type="cellIs" dxfId="2946" priority="3382" operator="greaterThanOrEqual">
      <formula>30</formula>
    </cfRule>
  </conditionalFormatting>
  <conditionalFormatting sqref="R1983">
    <cfRule type="cellIs" dxfId="2945" priority="3383" operator="greaterThanOrEqual">
      <formula>600</formula>
    </cfRule>
  </conditionalFormatting>
  <conditionalFormatting sqref="R1983">
    <cfRule type="cellIs" dxfId="2944" priority="3384" operator="greaterThanOrEqual">
      <formula>260</formula>
    </cfRule>
  </conditionalFormatting>
  <conditionalFormatting sqref="S1983">
    <cfRule type="containsText" dxfId="2943" priority="3385" operator="containsText" text="&lt;">
      <formula>NOT(ISERROR(SEARCH(("&lt;"),(S1983))))</formula>
    </cfRule>
  </conditionalFormatting>
  <conditionalFormatting sqref="S1983">
    <cfRule type="containsText" dxfId="2942" priority="3386" operator="containsText" text="ND">
      <formula>NOT(ISERROR(SEARCH(("ND"),(S1983))))</formula>
    </cfRule>
  </conditionalFormatting>
  <conditionalFormatting sqref="S1983 N1983">
    <cfRule type="cellIs" dxfId="2941" priority="3387" operator="greaterThanOrEqual">
      <formula>200</formula>
    </cfRule>
  </conditionalFormatting>
  <conditionalFormatting sqref="S1983">
    <cfRule type="cellIs" dxfId="2940" priority="3388" operator="greaterThanOrEqual">
      <formula>130</formula>
    </cfRule>
  </conditionalFormatting>
  <conditionalFormatting sqref="N1983">
    <cfRule type="cellIs" dxfId="2939" priority="3389" operator="greaterThanOrEqual">
      <formula>120</formula>
    </cfRule>
  </conditionalFormatting>
  <conditionalFormatting sqref="O1983:Q1983">
    <cfRule type="containsText" dxfId="2938" priority="3390" operator="containsText" text="ND">
      <formula>NOT(ISERROR(SEARCH(("ND"),(O1983))))</formula>
    </cfRule>
  </conditionalFormatting>
  <conditionalFormatting sqref="O1983">
    <cfRule type="cellIs" dxfId="2937" priority="3391" operator="greaterThanOrEqual">
      <formula>250</formula>
    </cfRule>
  </conditionalFormatting>
  <conditionalFormatting sqref="O1983">
    <cfRule type="cellIs" dxfId="2936" priority="3392" operator="greaterThanOrEqual">
      <formula>175</formula>
    </cfRule>
  </conditionalFormatting>
  <conditionalFormatting sqref="P1983">
    <cfRule type="cellIs" dxfId="2935" priority="3393" operator="greaterThanOrEqual">
      <formula>2.5</formula>
    </cfRule>
  </conditionalFormatting>
  <conditionalFormatting sqref="Q1983">
    <cfRule type="cellIs" dxfId="2934" priority="3394" operator="greaterThanOrEqual">
      <formula>500</formula>
    </cfRule>
  </conditionalFormatting>
  <conditionalFormatting sqref="Q1983">
    <cfRule type="cellIs" dxfId="2933" priority="3395" operator="greaterThanOrEqual">
      <formula>300</formula>
    </cfRule>
  </conditionalFormatting>
  <conditionalFormatting sqref="L1789 P1789">
    <cfRule type="cellIs" dxfId="2932" priority="3362" operator="greaterThanOrEqual">
      <formula>5</formula>
    </cfRule>
  </conditionalFormatting>
  <conditionalFormatting sqref="L1789">
    <cfRule type="cellIs" dxfId="2931" priority="3363" operator="greaterThanOrEqual">
      <formula>2</formula>
    </cfRule>
  </conditionalFormatting>
  <conditionalFormatting sqref="M1789">
    <cfRule type="cellIs" dxfId="2930" priority="3364" operator="greaterThanOrEqual">
      <formula>60</formula>
    </cfRule>
  </conditionalFormatting>
  <conditionalFormatting sqref="M1789">
    <cfRule type="cellIs" dxfId="2929" priority="3365" operator="greaterThanOrEqual">
      <formula>30</formula>
    </cfRule>
  </conditionalFormatting>
  <conditionalFormatting sqref="R1789">
    <cfRule type="cellIs" dxfId="2928" priority="3366" operator="greaterThanOrEqual">
      <formula>600</formula>
    </cfRule>
  </conditionalFormatting>
  <conditionalFormatting sqref="R1789">
    <cfRule type="cellIs" dxfId="2927" priority="3367" operator="greaterThanOrEqual">
      <formula>260</formula>
    </cfRule>
  </conditionalFormatting>
  <conditionalFormatting sqref="S1789">
    <cfRule type="containsText" dxfId="2926" priority="3368" operator="containsText" text="&lt;">
      <formula>NOT(ISERROR(SEARCH(("&lt;"),(S1789))))</formula>
    </cfRule>
  </conditionalFormatting>
  <conditionalFormatting sqref="S1789">
    <cfRule type="containsText" dxfId="2925" priority="3369" operator="containsText" text="ND">
      <formula>NOT(ISERROR(SEARCH(("ND"),(S1789))))</formula>
    </cfRule>
  </conditionalFormatting>
  <conditionalFormatting sqref="S1789 N1789">
    <cfRule type="cellIs" dxfId="2924" priority="3370" operator="greaterThanOrEqual">
      <formula>200</formula>
    </cfRule>
  </conditionalFormatting>
  <conditionalFormatting sqref="S1789">
    <cfRule type="cellIs" dxfId="2923" priority="3371" operator="greaterThanOrEqual">
      <formula>130</formula>
    </cfRule>
  </conditionalFormatting>
  <conditionalFormatting sqref="N1789">
    <cfRule type="cellIs" dxfId="2922" priority="3372" operator="greaterThanOrEqual">
      <formula>120</formula>
    </cfRule>
  </conditionalFormatting>
  <conditionalFormatting sqref="O1789:Q1789">
    <cfRule type="containsText" dxfId="2921" priority="3373" operator="containsText" text="ND">
      <formula>NOT(ISERROR(SEARCH(("ND"),(O1789))))</formula>
    </cfRule>
  </conditionalFormatting>
  <conditionalFormatting sqref="O1789">
    <cfRule type="cellIs" dxfId="2920" priority="3374" operator="greaterThanOrEqual">
      <formula>250</formula>
    </cfRule>
  </conditionalFormatting>
  <conditionalFormatting sqref="O1789">
    <cfRule type="cellIs" dxfId="2919" priority="3375" operator="greaterThanOrEqual">
      <formula>175</formula>
    </cfRule>
  </conditionalFormatting>
  <conditionalFormatting sqref="P1789">
    <cfRule type="cellIs" dxfId="2918" priority="3376" operator="greaterThanOrEqual">
      <formula>2.5</formula>
    </cfRule>
  </conditionalFormatting>
  <conditionalFormatting sqref="Q1789">
    <cfRule type="cellIs" dxfId="2917" priority="3377" operator="greaterThanOrEqual">
      <formula>500</formula>
    </cfRule>
  </conditionalFormatting>
  <conditionalFormatting sqref="Q1789">
    <cfRule type="cellIs" dxfId="2916" priority="3378" operator="greaterThanOrEqual">
      <formula>300</formula>
    </cfRule>
  </conditionalFormatting>
  <conditionalFormatting sqref="L2166 P2166">
    <cfRule type="cellIs" dxfId="2915" priority="3345" operator="greaterThanOrEqual">
      <formula>5</formula>
    </cfRule>
  </conditionalFormatting>
  <conditionalFormatting sqref="L2166">
    <cfRule type="cellIs" dxfId="2914" priority="3346" operator="greaterThanOrEqual">
      <formula>2</formula>
    </cfRule>
  </conditionalFormatting>
  <conditionalFormatting sqref="M2166">
    <cfRule type="cellIs" dxfId="2913" priority="3347" operator="greaterThanOrEqual">
      <formula>60</formula>
    </cfRule>
  </conditionalFormatting>
  <conditionalFormatting sqref="M2166">
    <cfRule type="cellIs" dxfId="2912" priority="3348" operator="greaterThanOrEqual">
      <formula>30</formula>
    </cfRule>
  </conditionalFormatting>
  <conditionalFormatting sqref="R2166">
    <cfRule type="cellIs" dxfId="2911" priority="3349" operator="greaterThanOrEqual">
      <formula>600</formula>
    </cfRule>
  </conditionalFormatting>
  <conditionalFormatting sqref="R2166">
    <cfRule type="cellIs" dxfId="2910" priority="3350" operator="greaterThanOrEqual">
      <formula>260</formula>
    </cfRule>
  </conditionalFormatting>
  <conditionalFormatting sqref="S2166">
    <cfRule type="containsText" dxfId="2909" priority="3351" operator="containsText" text="&lt;">
      <formula>NOT(ISERROR(SEARCH(("&lt;"),(S2166))))</formula>
    </cfRule>
  </conditionalFormatting>
  <conditionalFormatting sqref="S2166">
    <cfRule type="containsText" dxfId="2908" priority="3352" operator="containsText" text="ND">
      <formula>NOT(ISERROR(SEARCH(("ND"),(S2166))))</formula>
    </cfRule>
  </conditionalFormatting>
  <conditionalFormatting sqref="S2166 N2166">
    <cfRule type="cellIs" dxfId="2907" priority="3353" operator="greaterThanOrEqual">
      <formula>200</formula>
    </cfRule>
  </conditionalFormatting>
  <conditionalFormatting sqref="S2166">
    <cfRule type="cellIs" dxfId="2906" priority="3354" operator="greaterThanOrEqual">
      <formula>130</formula>
    </cfRule>
  </conditionalFormatting>
  <conditionalFormatting sqref="N2166">
    <cfRule type="cellIs" dxfId="2905" priority="3355" operator="greaterThanOrEqual">
      <formula>120</formula>
    </cfRule>
  </conditionalFormatting>
  <conditionalFormatting sqref="O2166:Q2166">
    <cfRule type="containsText" dxfId="2904" priority="3356" operator="containsText" text="ND">
      <formula>NOT(ISERROR(SEARCH(("ND"),(O2166))))</formula>
    </cfRule>
  </conditionalFormatting>
  <conditionalFormatting sqref="O2166">
    <cfRule type="cellIs" dxfId="2903" priority="3357" operator="greaterThanOrEqual">
      <formula>250</formula>
    </cfRule>
  </conditionalFormatting>
  <conditionalFormatting sqref="O2166">
    <cfRule type="cellIs" dxfId="2902" priority="3358" operator="greaterThanOrEqual">
      <formula>175</formula>
    </cfRule>
  </conditionalFormatting>
  <conditionalFormatting sqref="P2166">
    <cfRule type="cellIs" dxfId="2901" priority="3359" operator="greaterThanOrEqual">
      <formula>2.5</formula>
    </cfRule>
  </conditionalFormatting>
  <conditionalFormatting sqref="Q2166">
    <cfRule type="cellIs" dxfId="2900" priority="3360" operator="greaterThanOrEqual">
      <formula>500</formula>
    </cfRule>
  </conditionalFormatting>
  <conditionalFormatting sqref="Q2166">
    <cfRule type="cellIs" dxfId="2899" priority="3361" operator="greaterThanOrEqual">
      <formula>300</formula>
    </cfRule>
  </conditionalFormatting>
  <conditionalFormatting sqref="P1791 L1791">
    <cfRule type="cellIs" dxfId="2898" priority="3328" operator="greaterThanOrEqual">
      <formula>5</formula>
    </cfRule>
  </conditionalFormatting>
  <conditionalFormatting sqref="L1791">
    <cfRule type="cellIs" dxfId="2897" priority="3329" operator="greaterThanOrEqual">
      <formula>2</formula>
    </cfRule>
  </conditionalFormatting>
  <conditionalFormatting sqref="M1791">
    <cfRule type="cellIs" dxfId="2896" priority="3330" operator="greaterThanOrEqual">
      <formula>60</formula>
    </cfRule>
  </conditionalFormatting>
  <conditionalFormatting sqref="M1791">
    <cfRule type="cellIs" dxfId="2895" priority="3331" operator="greaterThanOrEqual">
      <formula>30</formula>
    </cfRule>
  </conditionalFormatting>
  <conditionalFormatting sqref="R1791">
    <cfRule type="cellIs" dxfId="2894" priority="3332" operator="greaterThanOrEqual">
      <formula>600</formula>
    </cfRule>
  </conditionalFormatting>
  <conditionalFormatting sqref="R1791">
    <cfRule type="cellIs" dxfId="2893" priority="3333" operator="greaterThanOrEqual">
      <formula>260</formula>
    </cfRule>
  </conditionalFormatting>
  <conditionalFormatting sqref="S1791">
    <cfRule type="containsText" dxfId="2892" priority="3334" operator="containsText" text="&lt;">
      <formula>NOT(ISERROR(SEARCH(("&lt;"),(S1791))))</formula>
    </cfRule>
  </conditionalFormatting>
  <conditionalFormatting sqref="S1791">
    <cfRule type="containsText" dxfId="2891" priority="3335" operator="containsText" text="ND">
      <formula>NOT(ISERROR(SEARCH(("ND"),(S1791))))</formula>
    </cfRule>
  </conditionalFormatting>
  <conditionalFormatting sqref="N1791 S1791">
    <cfRule type="cellIs" dxfId="2890" priority="3336" operator="greaterThanOrEqual">
      <formula>200</formula>
    </cfRule>
  </conditionalFormatting>
  <conditionalFormatting sqref="S1791">
    <cfRule type="cellIs" dxfId="2889" priority="3337" operator="greaterThanOrEqual">
      <formula>130</formula>
    </cfRule>
  </conditionalFormatting>
  <conditionalFormatting sqref="N1791">
    <cfRule type="cellIs" dxfId="2888" priority="3338" operator="greaterThanOrEqual">
      <formula>120</formula>
    </cfRule>
  </conditionalFormatting>
  <conditionalFormatting sqref="O1791:Q1791">
    <cfRule type="containsText" dxfId="2887" priority="3339" operator="containsText" text="ND">
      <formula>NOT(ISERROR(SEARCH(("ND"),(O1791))))</formula>
    </cfRule>
  </conditionalFormatting>
  <conditionalFormatting sqref="O1791">
    <cfRule type="cellIs" dxfId="2886" priority="3340" operator="greaterThanOrEqual">
      <formula>250</formula>
    </cfRule>
  </conditionalFormatting>
  <conditionalFormatting sqref="O1791">
    <cfRule type="cellIs" dxfId="2885" priority="3341" operator="greaterThanOrEqual">
      <formula>175</formula>
    </cfRule>
  </conditionalFormatting>
  <conditionalFormatting sqref="P1791">
    <cfRule type="cellIs" dxfId="2884" priority="3342" operator="greaterThanOrEqual">
      <formula>2.5</formula>
    </cfRule>
  </conditionalFormatting>
  <conditionalFormatting sqref="Q1791">
    <cfRule type="cellIs" dxfId="2883" priority="3343" operator="greaterThanOrEqual">
      <formula>500</formula>
    </cfRule>
  </conditionalFormatting>
  <conditionalFormatting sqref="Q1791">
    <cfRule type="cellIs" dxfId="2882" priority="3344" operator="greaterThanOrEqual">
      <formula>300</formula>
    </cfRule>
  </conditionalFormatting>
  <conditionalFormatting sqref="P1792:P1793 L1792:L1793">
    <cfRule type="cellIs" dxfId="2881" priority="3311" operator="greaterThanOrEqual">
      <formula>5</formula>
    </cfRule>
  </conditionalFormatting>
  <conditionalFormatting sqref="L1792:L1793">
    <cfRule type="cellIs" dxfId="2880" priority="3312" operator="greaterThanOrEqual">
      <formula>2</formula>
    </cfRule>
  </conditionalFormatting>
  <conditionalFormatting sqref="M1792:M1793">
    <cfRule type="cellIs" dxfId="2879" priority="3313" operator="greaterThanOrEqual">
      <formula>60</formula>
    </cfRule>
  </conditionalFormatting>
  <conditionalFormatting sqref="M1792:M1793">
    <cfRule type="cellIs" dxfId="2878" priority="3314" operator="greaterThanOrEqual">
      <formula>30</formula>
    </cfRule>
  </conditionalFormatting>
  <conditionalFormatting sqref="R1792:R1793">
    <cfRule type="cellIs" dxfId="2877" priority="3315" operator="greaterThanOrEqual">
      <formula>600</formula>
    </cfRule>
  </conditionalFormatting>
  <conditionalFormatting sqref="R1792:R1793">
    <cfRule type="cellIs" dxfId="2876" priority="3316" operator="greaterThanOrEqual">
      <formula>260</formula>
    </cfRule>
  </conditionalFormatting>
  <conditionalFormatting sqref="S1792:S1793">
    <cfRule type="containsText" dxfId="2875" priority="3317" operator="containsText" text="&lt;">
      <formula>NOT(ISERROR(SEARCH(("&lt;"),(S1792))))</formula>
    </cfRule>
  </conditionalFormatting>
  <conditionalFormatting sqref="S1792:S1793">
    <cfRule type="containsText" dxfId="2874" priority="3318" operator="containsText" text="ND">
      <formula>NOT(ISERROR(SEARCH(("ND"),(S1792))))</formula>
    </cfRule>
  </conditionalFormatting>
  <conditionalFormatting sqref="N1792:N1793 S1792:S1793">
    <cfRule type="cellIs" dxfId="2873" priority="3319" operator="greaterThanOrEqual">
      <formula>200</formula>
    </cfRule>
  </conditionalFormatting>
  <conditionalFormatting sqref="S1792:S1793">
    <cfRule type="cellIs" dxfId="2872" priority="3320" operator="greaterThanOrEqual">
      <formula>130</formula>
    </cfRule>
  </conditionalFormatting>
  <conditionalFormatting sqref="N1792:N1793">
    <cfRule type="cellIs" dxfId="2871" priority="3321" operator="greaterThanOrEqual">
      <formula>120</formula>
    </cfRule>
  </conditionalFormatting>
  <conditionalFormatting sqref="O1792:Q1793">
    <cfRule type="containsText" dxfId="2870" priority="3322" operator="containsText" text="ND">
      <formula>NOT(ISERROR(SEARCH(("ND"),(O1792))))</formula>
    </cfRule>
  </conditionalFormatting>
  <conditionalFormatting sqref="O1792:O1793">
    <cfRule type="cellIs" dxfId="2869" priority="3323" operator="greaterThanOrEqual">
      <formula>250</formula>
    </cfRule>
  </conditionalFormatting>
  <conditionalFormatting sqref="O1792:O1793">
    <cfRule type="cellIs" dxfId="2868" priority="3324" operator="greaterThanOrEqual">
      <formula>175</formula>
    </cfRule>
  </conditionalFormatting>
  <conditionalFormatting sqref="P1792:P1793">
    <cfRule type="cellIs" dxfId="2867" priority="3325" operator="greaterThanOrEqual">
      <formula>2.5</formula>
    </cfRule>
  </conditionalFormatting>
  <conditionalFormatting sqref="Q1792:Q1793">
    <cfRule type="cellIs" dxfId="2866" priority="3326" operator="greaterThanOrEqual">
      <formula>500</formula>
    </cfRule>
  </conditionalFormatting>
  <conditionalFormatting sqref="Q1792:Q1793">
    <cfRule type="cellIs" dxfId="2865" priority="3327" operator="greaterThanOrEqual">
      <formula>300</formula>
    </cfRule>
  </conditionalFormatting>
  <conditionalFormatting sqref="P2277 L2277">
    <cfRule type="cellIs" dxfId="2864" priority="3294" operator="greaterThanOrEqual">
      <formula>5</formula>
    </cfRule>
  </conditionalFormatting>
  <conditionalFormatting sqref="L2277">
    <cfRule type="cellIs" dxfId="2863" priority="3295" operator="greaterThanOrEqual">
      <formula>2</formula>
    </cfRule>
  </conditionalFormatting>
  <conditionalFormatting sqref="M2277">
    <cfRule type="cellIs" dxfId="2862" priority="3296" operator="greaterThanOrEqual">
      <formula>60</formula>
    </cfRule>
  </conditionalFormatting>
  <conditionalFormatting sqref="M2277">
    <cfRule type="cellIs" dxfId="2861" priority="3297" operator="greaterThanOrEqual">
      <formula>30</formula>
    </cfRule>
  </conditionalFormatting>
  <conditionalFormatting sqref="R2277">
    <cfRule type="cellIs" dxfId="2860" priority="3298" operator="greaterThanOrEqual">
      <formula>600</formula>
    </cfRule>
  </conditionalFormatting>
  <conditionalFormatting sqref="R2277">
    <cfRule type="cellIs" dxfId="2859" priority="3299" operator="greaterThanOrEqual">
      <formula>260</formula>
    </cfRule>
  </conditionalFormatting>
  <conditionalFormatting sqref="S2277">
    <cfRule type="containsText" dxfId="2858" priority="3300" operator="containsText" text="&lt;">
      <formula>NOT(ISERROR(SEARCH(("&lt;"),(S2277))))</formula>
    </cfRule>
  </conditionalFormatting>
  <conditionalFormatting sqref="S2277">
    <cfRule type="containsText" dxfId="2857" priority="3301" operator="containsText" text="ND">
      <formula>NOT(ISERROR(SEARCH(("ND"),(S2277))))</formula>
    </cfRule>
  </conditionalFormatting>
  <conditionalFormatting sqref="N2277 S2277">
    <cfRule type="cellIs" dxfId="2856" priority="3302" operator="greaterThanOrEqual">
      <formula>200</formula>
    </cfRule>
  </conditionalFormatting>
  <conditionalFormatting sqref="S2277">
    <cfRule type="cellIs" dxfId="2855" priority="3303" operator="greaterThanOrEqual">
      <formula>130</formula>
    </cfRule>
  </conditionalFormatting>
  <conditionalFormatting sqref="N2277">
    <cfRule type="cellIs" dxfId="2854" priority="3304" operator="greaterThanOrEqual">
      <formula>120</formula>
    </cfRule>
  </conditionalFormatting>
  <conditionalFormatting sqref="O2277:Q2277">
    <cfRule type="containsText" dxfId="2853" priority="3305" operator="containsText" text="ND">
      <formula>NOT(ISERROR(SEARCH(("ND"),(O2277))))</formula>
    </cfRule>
  </conditionalFormatting>
  <conditionalFormatting sqref="O2277">
    <cfRule type="cellIs" dxfId="2852" priority="3306" operator="greaterThanOrEqual">
      <formula>250</formula>
    </cfRule>
  </conditionalFormatting>
  <conditionalFormatting sqref="O2277">
    <cfRule type="cellIs" dxfId="2851" priority="3307" operator="greaterThanOrEqual">
      <formula>175</formula>
    </cfRule>
  </conditionalFormatting>
  <conditionalFormatting sqref="P2277">
    <cfRule type="cellIs" dxfId="2850" priority="3308" operator="greaterThanOrEqual">
      <formula>2.5</formula>
    </cfRule>
  </conditionalFormatting>
  <conditionalFormatting sqref="Q2277">
    <cfRule type="cellIs" dxfId="2849" priority="3309" operator="greaterThanOrEqual">
      <formula>500</formula>
    </cfRule>
  </conditionalFormatting>
  <conditionalFormatting sqref="Q2277">
    <cfRule type="cellIs" dxfId="2848" priority="3310" operator="greaterThanOrEqual">
      <formula>300</formula>
    </cfRule>
  </conditionalFormatting>
  <conditionalFormatting sqref="P2425 L2425">
    <cfRule type="cellIs" dxfId="2847" priority="3277" operator="greaterThanOrEqual">
      <formula>5</formula>
    </cfRule>
  </conditionalFormatting>
  <conditionalFormatting sqref="L2425">
    <cfRule type="cellIs" dxfId="2846" priority="3278" operator="greaterThanOrEqual">
      <formula>2</formula>
    </cfRule>
  </conditionalFormatting>
  <conditionalFormatting sqref="M2425">
    <cfRule type="cellIs" dxfId="2845" priority="3279" operator="greaterThanOrEqual">
      <formula>60</formula>
    </cfRule>
  </conditionalFormatting>
  <conditionalFormatting sqref="M2425">
    <cfRule type="cellIs" dxfId="2844" priority="3280" operator="greaterThanOrEqual">
      <formula>30</formula>
    </cfRule>
  </conditionalFormatting>
  <conditionalFormatting sqref="R2425">
    <cfRule type="cellIs" dxfId="2843" priority="3281" operator="greaterThanOrEqual">
      <formula>600</formula>
    </cfRule>
  </conditionalFormatting>
  <conditionalFormatting sqref="R2425">
    <cfRule type="cellIs" dxfId="2842" priority="3282" operator="greaterThanOrEqual">
      <formula>260</formula>
    </cfRule>
  </conditionalFormatting>
  <conditionalFormatting sqref="S2425">
    <cfRule type="containsText" dxfId="2841" priority="3283" operator="containsText" text="&lt;">
      <formula>NOT(ISERROR(SEARCH(("&lt;"),(S2425))))</formula>
    </cfRule>
  </conditionalFormatting>
  <conditionalFormatting sqref="S2425">
    <cfRule type="containsText" dxfId="2840" priority="3284" operator="containsText" text="ND">
      <formula>NOT(ISERROR(SEARCH(("ND"),(S2425))))</formula>
    </cfRule>
  </conditionalFormatting>
  <conditionalFormatting sqref="N2425 S2425">
    <cfRule type="cellIs" dxfId="2839" priority="3285" operator="greaterThanOrEqual">
      <formula>200</formula>
    </cfRule>
  </conditionalFormatting>
  <conditionalFormatting sqref="S2425">
    <cfRule type="cellIs" dxfId="2838" priority="3286" operator="greaterThanOrEqual">
      <formula>130</formula>
    </cfRule>
  </conditionalFormatting>
  <conditionalFormatting sqref="N2425">
    <cfRule type="cellIs" dxfId="2837" priority="3287" operator="greaterThanOrEqual">
      <formula>120</formula>
    </cfRule>
  </conditionalFormatting>
  <conditionalFormatting sqref="O2425:Q2425">
    <cfRule type="containsText" dxfId="2836" priority="3288" operator="containsText" text="ND">
      <formula>NOT(ISERROR(SEARCH(("ND"),(O2425))))</formula>
    </cfRule>
  </conditionalFormatting>
  <conditionalFormatting sqref="O2425">
    <cfRule type="cellIs" dxfId="2835" priority="3289" operator="greaterThanOrEqual">
      <formula>250</formula>
    </cfRule>
  </conditionalFormatting>
  <conditionalFormatting sqref="O2425">
    <cfRule type="cellIs" dxfId="2834" priority="3290" operator="greaterThanOrEqual">
      <formula>175</formula>
    </cfRule>
  </conditionalFormatting>
  <conditionalFormatting sqref="P2425">
    <cfRule type="cellIs" dxfId="2833" priority="3291" operator="greaterThanOrEqual">
      <formula>2.5</formula>
    </cfRule>
  </conditionalFormatting>
  <conditionalFormatting sqref="Q2425">
    <cfRule type="cellIs" dxfId="2832" priority="3292" operator="greaterThanOrEqual">
      <formula>500</formula>
    </cfRule>
  </conditionalFormatting>
  <conditionalFormatting sqref="Q2425">
    <cfRule type="cellIs" dxfId="2831" priority="3293" operator="greaterThanOrEqual">
      <formula>300</formula>
    </cfRule>
  </conditionalFormatting>
  <conditionalFormatting sqref="P2426 L2426">
    <cfRule type="cellIs" dxfId="2830" priority="3260" operator="greaterThanOrEqual">
      <formula>5</formula>
    </cfRule>
  </conditionalFormatting>
  <conditionalFormatting sqref="L2426">
    <cfRule type="cellIs" dxfId="2829" priority="3261" operator="greaterThanOrEqual">
      <formula>2</formula>
    </cfRule>
  </conditionalFormatting>
  <conditionalFormatting sqref="M2426">
    <cfRule type="cellIs" dxfId="2828" priority="3262" operator="greaterThanOrEqual">
      <formula>60</formula>
    </cfRule>
  </conditionalFormatting>
  <conditionalFormatting sqref="M2426">
    <cfRule type="cellIs" dxfId="2827" priority="3263" operator="greaterThanOrEqual">
      <formula>30</formula>
    </cfRule>
  </conditionalFormatting>
  <conditionalFormatting sqref="R2426">
    <cfRule type="cellIs" dxfId="2826" priority="3264" operator="greaterThanOrEqual">
      <formula>600</formula>
    </cfRule>
  </conditionalFormatting>
  <conditionalFormatting sqref="R2426">
    <cfRule type="cellIs" dxfId="2825" priority="3265" operator="greaterThanOrEqual">
      <formula>260</formula>
    </cfRule>
  </conditionalFormatting>
  <conditionalFormatting sqref="S2426">
    <cfRule type="containsText" dxfId="2824" priority="3266" operator="containsText" text="&lt;">
      <formula>NOT(ISERROR(SEARCH(("&lt;"),(S2426))))</formula>
    </cfRule>
  </conditionalFormatting>
  <conditionalFormatting sqref="S2426">
    <cfRule type="containsText" dxfId="2823" priority="3267" operator="containsText" text="ND">
      <formula>NOT(ISERROR(SEARCH(("ND"),(S2426))))</formula>
    </cfRule>
  </conditionalFormatting>
  <conditionalFormatting sqref="N2426 S2426">
    <cfRule type="cellIs" dxfId="2822" priority="3268" operator="greaterThanOrEqual">
      <formula>200</formula>
    </cfRule>
  </conditionalFormatting>
  <conditionalFormatting sqref="S2426">
    <cfRule type="cellIs" dxfId="2821" priority="3269" operator="greaterThanOrEqual">
      <formula>130</formula>
    </cfRule>
  </conditionalFormatting>
  <conditionalFormatting sqref="N2426">
    <cfRule type="cellIs" dxfId="2820" priority="3270" operator="greaterThanOrEqual">
      <formula>120</formula>
    </cfRule>
  </conditionalFormatting>
  <conditionalFormatting sqref="O2426:Q2426">
    <cfRule type="containsText" dxfId="2819" priority="3271" operator="containsText" text="ND">
      <formula>NOT(ISERROR(SEARCH(("ND"),(O2426))))</formula>
    </cfRule>
  </conditionalFormatting>
  <conditionalFormatting sqref="O2426">
    <cfRule type="cellIs" dxfId="2818" priority="3272" operator="greaterThanOrEqual">
      <formula>250</formula>
    </cfRule>
  </conditionalFormatting>
  <conditionalFormatting sqref="O2426">
    <cfRule type="cellIs" dxfId="2817" priority="3273" operator="greaterThanOrEqual">
      <formula>175</formula>
    </cfRule>
  </conditionalFormatting>
  <conditionalFormatting sqref="P2426">
    <cfRule type="cellIs" dxfId="2816" priority="3274" operator="greaterThanOrEqual">
      <formula>2.5</formula>
    </cfRule>
  </conditionalFormatting>
  <conditionalFormatting sqref="Q2426">
    <cfRule type="cellIs" dxfId="2815" priority="3275" operator="greaterThanOrEqual">
      <formula>500</formula>
    </cfRule>
  </conditionalFormatting>
  <conditionalFormatting sqref="Q2426">
    <cfRule type="cellIs" dxfId="2814" priority="3276" operator="greaterThanOrEqual">
      <formula>300</formula>
    </cfRule>
  </conditionalFormatting>
  <conditionalFormatting sqref="P2285 L2285">
    <cfRule type="cellIs" dxfId="2813" priority="3243" operator="greaterThanOrEqual">
      <formula>5</formula>
    </cfRule>
  </conditionalFormatting>
  <conditionalFormatting sqref="L2285">
    <cfRule type="cellIs" dxfId="2812" priority="3244" operator="greaterThanOrEqual">
      <formula>2</formula>
    </cfRule>
  </conditionalFormatting>
  <conditionalFormatting sqref="M2285">
    <cfRule type="cellIs" dxfId="2811" priority="3245" operator="greaterThanOrEqual">
      <formula>60</formula>
    </cfRule>
  </conditionalFormatting>
  <conditionalFormatting sqref="M2285">
    <cfRule type="cellIs" dxfId="2810" priority="3246" operator="greaterThanOrEqual">
      <formula>30</formula>
    </cfRule>
  </conditionalFormatting>
  <conditionalFormatting sqref="R2285">
    <cfRule type="cellIs" dxfId="2809" priority="3247" operator="greaterThanOrEqual">
      <formula>600</formula>
    </cfRule>
  </conditionalFormatting>
  <conditionalFormatting sqref="R2285">
    <cfRule type="cellIs" dxfId="2808" priority="3248" operator="greaterThanOrEqual">
      <formula>260</formula>
    </cfRule>
  </conditionalFormatting>
  <conditionalFormatting sqref="S2285">
    <cfRule type="containsText" dxfId="2807" priority="3249" operator="containsText" text="&lt;">
      <formula>NOT(ISERROR(SEARCH(("&lt;"),(S2285))))</formula>
    </cfRule>
  </conditionalFormatting>
  <conditionalFormatting sqref="S2285">
    <cfRule type="containsText" dxfId="2806" priority="3250" operator="containsText" text="ND">
      <formula>NOT(ISERROR(SEARCH(("ND"),(S2285))))</formula>
    </cfRule>
  </conditionalFormatting>
  <conditionalFormatting sqref="N2285 S2285">
    <cfRule type="cellIs" dxfId="2805" priority="3251" operator="greaterThanOrEqual">
      <formula>200</formula>
    </cfRule>
  </conditionalFormatting>
  <conditionalFormatting sqref="S2285">
    <cfRule type="cellIs" dxfId="2804" priority="3252" operator="greaterThanOrEqual">
      <formula>130</formula>
    </cfRule>
  </conditionalFormatting>
  <conditionalFormatting sqref="N2285">
    <cfRule type="cellIs" dxfId="2803" priority="3253" operator="greaterThanOrEqual">
      <formula>120</formula>
    </cfRule>
  </conditionalFormatting>
  <conditionalFormatting sqref="O2285:Q2285">
    <cfRule type="containsText" dxfId="2802" priority="3254" operator="containsText" text="ND">
      <formula>NOT(ISERROR(SEARCH(("ND"),(O2285))))</formula>
    </cfRule>
  </conditionalFormatting>
  <conditionalFormatting sqref="O2285">
    <cfRule type="cellIs" dxfId="2801" priority="3255" operator="greaterThanOrEqual">
      <formula>250</formula>
    </cfRule>
  </conditionalFormatting>
  <conditionalFormatting sqref="O2285">
    <cfRule type="cellIs" dxfId="2800" priority="3256" operator="greaterThanOrEqual">
      <formula>175</formula>
    </cfRule>
  </conditionalFormatting>
  <conditionalFormatting sqref="P2285">
    <cfRule type="cellIs" dxfId="2799" priority="3257" operator="greaterThanOrEqual">
      <formula>2.5</formula>
    </cfRule>
  </conditionalFormatting>
  <conditionalFormatting sqref="Q2285">
    <cfRule type="cellIs" dxfId="2798" priority="3258" operator="greaterThanOrEqual">
      <formula>500</formula>
    </cfRule>
  </conditionalFormatting>
  <conditionalFormatting sqref="Q2285">
    <cfRule type="cellIs" dxfId="2797" priority="3259" operator="greaterThanOrEqual">
      <formula>300</formula>
    </cfRule>
  </conditionalFormatting>
  <conditionalFormatting sqref="P1998 L1998">
    <cfRule type="cellIs" dxfId="2796" priority="3226" operator="greaterThanOrEqual">
      <formula>5</formula>
    </cfRule>
  </conditionalFormatting>
  <conditionalFormatting sqref="L1998">
    <cfRule type="cellIs" dxfId="2795" priority="3227" operator="greaterThanOrEqual">
      <formula>2</formula>
    </cfRule>
  </conditionalFormatting>
  <conditionalFormatting sqref="M1998">
    <cfRule type="cellIs" dxfId="2794" priority="3228" operator="greaterThanOrEqual">
      <formula>60</formula>
    </cfRule>
  </conditionalFormatting>
  <conditionalFormatting sqref="M1998">
    <cfRule type="cellIs" dxfId="2793" priority="3229" operator="greaterThanOrEqual">
      <formula>30</formula>
    </cfRule>
  </conditionalFormatting>
  <conditionalFormatting sqref="R1998">
    <cfRule type="cellIs" dxfId="2792" priority="3230" operator="greaterThanOrEqual">
      <formula>600</formula>
    </cfRule>
  </conditionalFormatting>
  <conditionalFormatting sqref="R1998">
    <cfRule type="cellIs" dxfId="2791" priority="3231" operator="greaterThanOrEqual">
      <formula>260</formula>
    </cfRule>
  </conditionalFormatting>
  <conditionalFormatting sqref="S1998">
    <cfRule type="containsText" dxfId="2790" priority="3232" operator="containsText" text="&lt;">
      <formula>NOT(ISERROR(SEARCH(("&lt;"),(S1998))))</formula>
    </cfRule>
  </conditionalFormatting>
  <conditionalFormatting sqref="S1998">
    <cfRule type="containsText" dxfId="2789" priority="3233" operator="containsText" text="ND">
      <formula>NOT(ISERROR(SEARCH(("ND"),(S1998))))</formula>
    </cfRule>
  </conditionalFormatting>
  <conditionalFormatting sqref="N1998 S1998">
    <cfRule type="cellIs" dxfId="2788" priority="3234" operator="greaterThanOrEqual">
      <formula>200</formula>
    </cfRule>
  </conditionalFormatting>
  <conditionalFormatting sqref="S1998">
    <cfRule type="cellIs" dxfId="2787" priority="3235" operator="greaterThanOrEqual">
      <formula>130</formula>
    </cfRule>
  </conditionalFormatting>
  <conditionalFormatting sqref="N1998">
    <cfRule type="cellIs" dxfId="2786" priority="3236" operator="greaterThanOrEqual">
      <formula>120</formula>
    </cfRule>
  </conditionalFormatting>
  <conditionalFormatting sqref="O1998:Q1998">
    <cfRule type="containsText" dxfId="2785" priority="3237" operator="containsText" text="ND">
      <formula>NOT(ISERROR(SEARCH(("ND"),(O1998))))</formula>
    </cfRule>
  </conditionalFormatting>
  <conditionalFormatting sqref="O1998">
    <cfRule type="cellIs" dxfId="2784" priority="3238" operator="greaterThanOrEqual">
      <formula>250</formula>
    </cfRule>
  </conditionalFormatting>
  <conditionalFormatting sqref="O1998">
    <cfRule type="cellIs" dxfId="2783" priority="3239" operator="greaterThanOrEqual">
      <formula>175</formula>
    </cfRule>
  </conditionalFormatting>
  <conditionalFormatting sqref="P1998">
    <cfRule type="cellIs" dxfId="2782" priority="3240" operator="greaterThanOrEqual">
      <formula>2.5</formula>
    </cfRule>
  </conditionalFormatting>
  <conditionalFormatting sqref="Q1998">
    <cfRule type="cellIs" dxfId="2781" priority="3241" operator="greaterThanOrEqual">
      <formula>500</formula>
    </cfRule>
  </conditionalFormatting>
  <conditionalFormatting sqref="Q1998">
    <cfRule type="cellIs" dxfId="2780" priority="3242" operator="greaterThanOrEqual">
      <formula>300</formula>
    </cfRule>
  </conditionalFormatting>
  <conditionalFormatting sqref="P2427 L2427">
    <cfRule type="cellIs" dxfId="2779" priority="3209" operator="greaterThanOrEqual">
      <formula>5</formula>
    </cfRule>
  </conditionalFormatting>
  <conditionalFormatting sqref="L2427">
    <cfRule type="cellIs" dxfId="2778" priority="3210" operator="greaterThanOrEqual">
      <formula>2</formula>
    </cfRule>
  </conditionalFormatting>
  <conditionalFormatting sqref="M2427">
    <cfRule type="cellIs" dxfId="2777" priority="3211" operator="greaterThanOrEqual">
      <formula>60</formula>
    </cfRule>
  </conditionalFormatting>
  <conditionalFormatting sqref="M2427">
    <cfRule type="cellIs" dxfId="2776" priority="3212" operator="greaterThanOrEqual">
      <formula>30</formula>
    </cfRule>
  </conditionalFormatting>
  <conditionalFormatting sqref="R2427">
    <cfRule type="cellIs" dxfId="2775" priority="3213" operator="greaterThanOrEqual">
      <formula>600</formula>
    </cfRule>
  </conditionalFormatting>
  <conditionalFormatting sqref="R2427">
    <cfRule type="cellIs" dxfId="2774" priority="3214" operator="greaterThanOrEqual">
      <formula>260</formula>
    </cfRule>
  </conditionalFormatting>
  <conditionalFormatting sqref="S2427">
    <cfRule type="containsText" dxfId="2773" priority="3215" operator="containsText" text="&lt;">
      <formula>NOT(ISERROR(SEARCH(("&lt;"),(S2427))))</formula>
    </cfRule>
  </conditionalFormatting>
  <conditionalFormatting sqref="S2427">
    <cfRule type="containsText" dxfId="2772" priority="3216" operator="containsText" text="ND">
      <formula>NOT(ISERROR(SEARCH(("ND"),(S2427))))</formula>
    </cfRule>
  </conditionalFormatting>
  <conditionalFormatting sqref="N2427 S2427">
    <cfRule type="cellIs" dxfId="2771" priority="3217" operator="greaterThanOrEqual">
      <formula>200</formula>
    </cfRule>
  </conditionalFormatting>
  <conditionalFormatting sqref="S2427">
    <cfRule type="cellIs" dxfId="2770" priority="3218" operator="greaterThanOrEqual">
      <formula>130</formula>
    </cfRule>
  </conditionalFormatting>
  <conditionalFormatting sqref="N2427">
    <cfRule type="cellIs" dxfId="2769" priority="3219" operator="greaterThanOrEqual">
      <formula>120</formula>
    </cfRule>
  </conditionalFormatting>
  <conditionalFormatting sqref="O2427:Q2427">
    <cfRule type="containsText" dxfId="2768" priority="3220" operator="containsText" text="ND">
      <formula>NOT(ISERROR(SEARCH(("ND"),(O2427))))</formula>
    </cfRule>
  </conditionalFormatting>
  <conditionalFormatting sqref="O2427">
    <cfRule type="cellIs" dxfId="2767" priority="3221" operator="greaterThanOrEqual">
      <formula>250</formula>
    </cfRule>
  </conditionalFormatting>
  <conditionalFormatting sqref="O2427">
    <cfRule type="cellIs" dxfId="2766" priority="3222" operator="greaterThanOrEqual">
      <formula>175</formula>
    </cfRule>
  </conditionalFormatting>
  <conditionalFormatting sqref="P2427">
    <cfRule type="cellIs" dxfId="2765" priority="3223" operator="greaterThanOrEqual">
      <formula>2.5</formula>
    </cfRule>
  </conditionalFormatting>
  <conditionalFormatting sqref="Q2427">
    <cfRule type="cellIs" dxfId="2764" priority="3224" operator="greaterThanOrEqual">
      <formula>500</formula>
    </cfRule>
  </conditionalFormatting>
  <conditionalFormatting sqref="Q2427">
    <cfRule type="cellIs" dxfId="2763" priority="3225" operator="greaterThanOrEqual">
      <formula>300</formula>
    </cfRule>
  </conditionalFormatting>
  <conditionalFormatting sqref="P1999 L1999">
    <cfRule type="cellIs" dxfId="2762" priority="3192" operator="greaterThanOrEqual">
      <formula>5</formula>
    </cfRule>
  </conditionalFormatting>
  <conditionalFormatting sqref="L1999">
    <cfRule type="cellIs" dxfId="2761" priority="3193" operator="greaterThanOrEqual">
      <formula>2</formula>
    </cfRule>
  </conditionalFormatting>
  <conditionalFormatting sqref="M1999">
    <cfRule type="cellIs" dxfId="2760" priority="3194" operator="greaterThanOrEqual">
      <formula>60</formula>
    </cfRule>
  </conditionalFormatting>
  <conditionalFormatting sqref="M1999">
    <cfRule type="cellIs" dxfId="2759" priority="3195" operator="greaterThanOrEqual">
      <formula>30</formula>
    </cfRule>
  </conditionalFormatting>
  <conditionalFormatting sqref="R1999">
    <cfRule type="cellIs" dxfId="2758" priority="3196" operator="greaterThanOrEqual">
      <formula>600</formula>
    </cfRule>
  </conditionalFormatting>
  <conditionalFormatting sqref="R1999">
    <cfRule type="cellIs" dxfId="2757" priority="3197" operator="greaterThanOrEqual">
      <formula>260</formula>
    </cfRule>
  </conditionalFormatting>
  <conditionalFormatting sqref="S1999">
    <cfRule type="containsText" dxfId="2756" priority="3198" operator="containsText" text="&lt;">
      <formula>NOT(ISERROR(SEARCH(("&lt;"),(S1999))))</formula>
    </cfRule>
  </conditionalFormatting>
  <conditionalFormatting sqref="S1999">
    <cfRule type="containsText" dxfId="2755" priority="3199" operator="containsText" text="ND">
      <formula>NOT(ISERROR(SEARCH(("ND"),(S1999))))</formula>
    </cfRule>
  </conditionalFormatting>
  <conditionalFormatting sqref="N1999 S1999">
    <cfRule type="cellIs" dxfId="2754" priority="3200" operator="greaterThanOrEqual">
      <formula>200</formula>
    </cfRule>
  </conditionalFormatting>
  <conditionalFormatting sqref="S1999">
    <cfRule type="cellIs" dxfId="2753" priority="3201" operator="greaterThanOrEqual">
      <formula>130</formula>
    </cfRule>
  </conditionalFormatting>
  <conditionalFormatting sqref="N1999">
    <cfRule type="cellIs" dxfId="2752" priority="3202" operator="greaterThanOrEqual">
      <formula>120</formula>
    </cfRule>
  </conditionalFormatting>
  <conditionalFormatting sqref="O1999:Q1999">
    <cfRule type="containsText" dxfId="2751" priority="3203" operator="containsText" text="ND">
      <formula>NOT(ISERROR(SEARCH(("ND"),(O1999))))</formula>
    </cfRule>
  </conditionalFormatting>
  <conditionalFormatting sqref="O1999">
    <cfRule type="cellIs" dxfId="2750" priority="3204" operator="greaterThanOrEqual">
      <formula>250</formula>
    </cfRule>
  </conditionalFormatting>
  <conditionalFormatting sqref="O1999">
    <cfRule type="cellIs" dxfId="2749" priority="3205" operator="greaterThanOrEqual">
      <formula>175</formula>
    </cfRule>
  </conditionalFormatting>
  <conditionalFormatting sqref="P1999">
    <cfRule type="cellIs" dxfId="2748" priority="3206" operator="greaterThanOrEqual">
      <formula>2.5</formula>
    </cfRule>
  </conditionalFormatting>
  <conditionalFormatting sqref="Q1999">
    <cfRule type="cellIs" dxfId="2747" priority="3207" operator="greaterThanOrEqual">
      <formula>500</formula>
    </cfRule>
  </conditionalFormatting>
  <conditionalFormatting sqref="Q1999">
    <cfRule type="cellIs" dxfId="2746" priority="3208" operator="greaterThanOrEqual">
      <formula>300</formula>
    </cfRule>
  </conditionalFormatting>
  <conditionalFormatting sqref="P2000:P2001 L2000:L2001">
    <cfRule type="cellIs" dxfId="2745" priority="3175" operator="greaterThanOrEqual">
      <formula>5</formula>
    </cfRule>
  </conditionalFormatting>
  <conditionalFormatting sqref="L2000:L2001">
    <cfRule type="cellIs" dxfId="2744" priority="3176" operator="greaterThanOrEqual">
      <formula>2</formula>
    </cfRule>
  </conditionalFormatting>
  <conditionalFormatting sqref="M2000:M2001">
    <cfRule type="cellIs" dxfId="2743" priority="3177" operator="greaterThanOrEqual">
      <formula>60</formula>
    </cfRule>
  </conditionalFormatting>
  <conditionalFormatting sqref="M2000:M2001">
    <cfRule type="cellIs" dxfId="2742" priority="3178" operator="greaterThanOrEqual">
      <formula>30</formula>
    </cfRule>
  </conditionalFormatting>
  <conditionalFormatting sqref="R2000:R2001">
    <cfRule type="cellIs" dxfId="2741" priority="3179" operator="greaterThanOrEqual">
      <formula>600</formula>
    </cfRule>
  </conditionalFormatting>
  <conditionalFormatting sqref="R2000:R2001">
    <cfRule type="cellIs" dxfId="2740" priority="3180" operator="greaterThanOrEqual">
      <formula>260</formula>
    </cfRule>
  </conditionalFormatting>
  <conditionalFormatting sqref="S2000:S2001">
    <cfRule type="containsText" dxfId="2739" priority="3181" operator="containsText" text="&lt;">
      <formula>NOT(ISERROR(SEARCH(("&lt;"),(S2000))))</formula>
    </cfRule>
  </conditionalFormatting>
  <conditionalFormatting sqref="S2000:S2001">
    <cfRule type="containsText" dxfId="2738" priority="3182" operator="containsText" text="ND">
      <formula>NOT(ISERROR(SEARCH(("ND"),(S2000))))</formula>
    </cfRule>
  </conditionalFormatting>
  <conditionalFormatting sqref="N2000:N2001 S2000:S2001">
    <cfRule type="cellIs" dxfId="2737" priority="3183" operator="greaterThanOrEqual">
      <formula>200</formula>
    </cfRule>
  </conditionalFormatting>
  <conditionalFormatting sqref="S2000:S2001">
    <cfRule type="cellIs" dxfId="2736" priority="3184" operator="greaterThanOrEqual">
      <formula>130</formula>
    </cfRule>
  </conditionalFormatting>
  <conditionalFormatting sqref="N2000:N2001">
    <cfRule type="cellIs" dxfId="2735" priority="3185" operator="greaterThanOrEqual">
      <formula>120</formula>
    </cfRule>
  </conditionalFormatting>
  <conditionalFormatting sqref="O2000:Q2001">
    <cfRule type="containsText" dxfId="2734" priority="3186" operator="containsText" text="ND">
      <formula>NOT(ISERROR(SEARCH(("ND"),(O2000))))</formula>
    </cfRule>
  </conditionalFormatting>
  <conditionalFormatting sqref="O2000:O2001">
    <cfRule type="cellIs" dxfId="2733" priority="3187" operator="greaterThanOrEqual">
      <formula>250</formula>
    </cfRule>
  </conditionalFormatting>
  <conditionalFormatting sqref="O2000:O2001">
    <cfRule type="cellIs" dxfId="2732" priority="3188" operator="greaterThanOrEqual">
      <formula>175</formula>
    </cfRule>
  </conditionalFormatting>
  <conditionalFormatting sqref="P2000:P2001">
    <cfRule type="cellIs" dxfId="2731" priority="3189" operator="greaterThanOrEqual">
      <formula>2.5</formula>
    </cfRule>
  </conditionalFormatting>
  <conditionalFormatting sqref="Q2000:Q2001">
    <cfRule type="cellIs" dxfId="2730" priority="3190" operator="greaterThanOrEqual">
      <formula>500</formula>
    </cfRule>
  </conditionalFormatting>
  <conditionalFormatting sqref="Q2000:Q2001">
    <cfRule type="cellIs" dxfId="2729" priority="3191" operator="greaterThanOrEqual">
      <formula>300</formula>
    </cfRule>
  </conditionalFormatting>
  <conditionalFormatting sqref="P2005:P2006 L2005:L2006">
    <cfRule type="cellIs" dxfId="2728" priority="3158" operator="greaterThanOrEqual">
      <formula>5</formula>
    </cfRule>
  </conditionalFormatting>
  <conditionalFormatting sqref="L2005:L2006">
    <cfRule type="cellIs" dxfId="2727" priority="3159" operator="greaterThanOrEqual">
      <formula>2</formula>
    </cfRule>
  </conditionalFormatting>
  <conditionalFormatting sqref="M2005:M2006">
    <cfRule type="cellIs" dxfId="2726" priority="3160" operator="greaterThanOrEqual">
      <formula>60</formula>
    </cfRule>
  </conditionalFormatting>
  <conditionalFormatting sqref="M2005:M2006">
    <cfRule type="cellIs" dxfId="2725" priority="3161" operator="greaterThanOrEqual">
      <formula>30</formula>
    </cfRule>
  </conditionalFormatting>
  <conditionalFormatting sqref="R2005:R2006">
    <cfRule type="cellIs" dxfId="2724" priority="3162" operator="greaterThanOrEqual">
      <formula>600</formula>
    </cfRule>
  </conditionalFormatting>
  <conditionalFormatting sqref="R2005:R2006">
    <cfRule type="cellIs" dxfId="2723" priority="3163" operator="greaterThanOrEqual">
      <formula>260</formula>
    </cfRule>
  </conditionalFormatting>
  <conditionalFormatting sqref="S2005:S2006">
    <cfRule type="containsText" dxfId="2722" priority="3164" operator="containsText" text="&lt;">
      <formula>NOT(ISERROR(SEARCH(("&lt;"),(S2005))))</formula>
    </cfRule>
  </conditionalFormatting>
  <conditionalFormatting sqref="S2005:S2006">
    <cfRule type="containsText" dxfId="2721" priority="3165" operator="containsText" text="ND">
      <formula>NOT(ISERROR(SEARCH(("ND"),(S2005))))</formula>
    </cfRule>
  </conditionalFormatting>
  <conditionalFormatting sqref="N2005:N2006 S2005:S2006">
    <cfRule type="cellIs" dxfId="2720" priority="3166" operator="greaterThanOrEqual">
      <formula>200</formula>
    </cfRule>
  </conditionalFormatting>
  <conditionalFormatting sqref="S2005:S2006">
    <cfRule type="cellIs" dxfId="2719" priority="3167" operator="greaterThanOrEqual">
      <formula>130</formula>
    </cfRule>
  </conditionalFormatting>
  <conditionalFormatting sqref="N2005:N2006">
    <cfRule type="cellIs" dxfId="2718" priority="3168" operator="greaterThanOrEqual">
      <formula>120</formula>
    </cfRule>
  </conditionalFormatting>
  <conditionalFormatting sqref="O2005:Q2006">
    <cfRule type="containsText" dxfId="2717" priority="3169" operator="containsText" text="ND">
      <formula>NOT(ISERROR(SEARCH(("ND"),(O2005))))</formula>
    </cfRule>
  </conditionalFormatting>
  <conditionalFormatting sqref="O2005:O2006">
    <cfRule type="cellIs" dxfId="2716" priority="3170" operator="greaterThanOrEqual">
      <formula>250</formula>
    </cfRule>
  </conditionalFormatting>
  <conditionalFormatting sqref="O2005:O2006">
    <cfRule type="cellIs" dxfId="2715" priority="3171" operator="greaterThanOrEqual">
      <formula>175</formula>
    </cfRule>
  </conditionalFormatting>
  <conditionalFormatting sqref="P2005:P2006">
    <cfRule type="cellIs" dxfId="2714" priority="3172" operator="greaterThanOrEqual">
      <formula>2.5</formula>
    </cfRule>
  </conditionalFormatting>
  <conditionalFormatting sqref="Q2005:Q2006">
    <cfRule type="cellIs" dxfId="2713" priority="3173" operator="greaterThanOrEqual">
      <formula>500</formula>
    </cfRule>
  </conditionalFormatting>
  <conditionalFormatting sqref="Q2005:Q2006">
    <cfRule type="cellIs" dxfId="2712" priority="3174" operator="greaterThanOrEqual">
      <formula>300</formula>
    </cfRule>
  </conditionalFormatting>
  <conditionalFormatting sqref="P2007 L2007">
    <cfRule type="cellIs" dxfId="2711" priority="3141" operator="greaterThanOrEqual">
      <formula>5</formula>
    </cfRule>
  </conditionalFormatting>
  <conditionalFormatting sqref="L2007">
    <cfRule type="cellIs" dxfId="2710" priority="3142" operator="greaterThanOrEqual">
      <formula>2</formula>
    </cfRule>
  </conditionalFormatting>
  <conditionalFormatting sqref="M2007">
    <cfRule type="cellIs" dxfId="2709" priority="3143" operator="greaterThanOrEqual">
      <formula>60</formula>
    </cfRule>
  </conditionalFormatting>
  <conditionalFormatting sqref="M2007">
    <cfRule type="cellIs" dxfId="2708" priority="3144" operator="greaterThanOrEqual">
      <formula>30</formula>
    </cfRule>
  </conditionalFormatting>
  <conditionalFormatting sqref="R2007">
    <cfRule type="cellIs" dxfId="2707" priority="3145" operator="greaterThanOrEqual">
      <formula>600</formula>
    </cfRule>
  </conditionalFormatting>
  <conditionalFormatting sqref="R2007">
    <cfRule type="cellIs" dxfId="2706" priority="3146" operator="greaterThanOrEqual">
      <formula>260</formula>
    </cfRule>
  </conditionalFormatting>
  <conditionalFormatting sqref="S2007">
    <cfRule type="containsText" dxfId="2705" priority="3147" operator="containsText" text="&lt;">
      <formula>NOT(ISERROR(SEARCH(("&lt;"),(S2007))))</formula>
    </cfRule>
  </conditionalFormatting>
  <conditionalFormatting sqref="S2007">
    <cfRule type="containsText" dxfId="2704" priority="3148" operator="containsText" text="ND">
      <formula>NOT(ISERROR(SEARCH(("ND"),(S2007))))</formula>
    </cfRule>
  </conditionalFormatting>
  <conditionalFormatting sqref="N2007 S2007">
    <cfRule type="cellIs" dxfId="2703" priority="3149" operator="greaterThanOrEqual">
      <formula>200</formula>
    </cfRule>
  </conditionalFormatting>
  <conditionalFormatting sqref="S2007">
    <cfRule type="cellIs" dxfId="2702" priority="3150" operator="greaterThanOrEqual">
      <formula>130</formula>
    </cfRule>
  </conditionalFormatting>
  <conditionalFormatting sqref="N2007">
    <cfRule type="cellIs" dxfId="2701" priority="3151" operator="greaterThanOrEqual">
      <formula>120</formula>
    </cfRule>
  </conditionalFormatting>
  <conditionalFormatting sqref="O2007:Q2007">
    <cfRule type="containsText" dxfId="2700" priority="3152" operator="containsText" text="ND">
      <formula>NOT(ISERROR(SEARCH(("ND"),(O2007))))</formula>
    </cfRule>
  </conditionalFormatting>
  <conditionalFormatting sqref="O2007">
    <cfRule type="cellIs" dxfId="2699" priority="3153" operator="greaterThanOrEqual">
      <formula>250</formula>
    </cfRule>
  </conditionalFormatting>
  <conditionalFormatting sqref="O2007">
    <cfRule type="cellIs" dxfId="2698" priority="3154" operator="greaterThanOrEqual">
      <formula>175</formula>
    </cfRule>
  </conditionalFormatting>
  <conditionalFormatting sqref="P2007">
    <cfRule type="cellIs" dxfId="2697" priority="3155" operator="greaterThanOrEqual">
      <formula>2.5</formula>
    </cfRule>
  </conditionalFormatting>
  <conditionalFormatting sqref="Q2007">
    <cfRule type="cellIs" dxfId="2696" priority="3156" operator="greaterThanOrEqual">
      <formula>500</formula>
    </cfRule>
  </conditionalFormatting>
  <conditionalFormatting sqref="Q2007">
    <cfRule type="cellIs" dxfId="2695" priority="3157" operator="greaterThanOrEqual">
      <formula>300</formula>
    </cfRule>
  </conditionalFormatting>
  <conditionalFormatting sqref="P1796:P1798 L1796:L1798">
    <cfRule type="cellIs" dxfId="2694" priority="3124" operator="greaterThanOrEqual">
      <formula>5</formula>
    </cfRule>
  </conditionalFormatting>
  <conditionalFormatting sqref="L1796:L1798">
    <cfRule type="cellIs" dxfId="2693" priority="3125" operator="greaterThanOrEqual">
      <formula>2</formula>
    </cfRule>
  </conditionalFormatting>
  <conditionalFormatting sqref="M1796:M1798">
    <cfRule type="cellIs" dxfId="2692" priority="3126" operator="greaterThanOrEqual">
      <formula>60</formula>
    </cfRule>
  </conditionalFormatting>
  <conditionalFormatting sqref="M1796:M1798">
    <cfRule type="cellIs" dxfId="2691" priority="3127" operator="greaterThanOrEqual">
      <formula>30</formula>
    </cfRule>
  </conditionalFormatting>
  <conditionalFormatting sqref="R1796:R1798">
    <cfRule type="cellIs" dxfId="2690" priority="3128" operator="greaterThanOrEqual">
      <formula>600</formula>
    </cfRule>
  </conditionalFormatting>
  <conditionalFormatting sqref="R1796:R1798">
    <cfRule type="cellIs" dxfId="2689" priority="3129" operator="greaterThanOrEqual">
      <formula>260</formula>
    </cfRule>
  </conditionalFormatting>
  <conditionalFormatting sqref="S1796:S1798">
    <cfRule type="containsText" dxfId="2688" priority="3130" operator="containsText" text="&lt;">
      <formula>NOT(ISERROR(SEARCH(("&lt;"),(S1796))))</formula>
    </cfRule>
  </conditionalFormatting>
  <conditionalFormatting sqref="S1796:S1798">
    <cfRule type="containsText" dxfId="2687" priority="3131" operator="containsText" text="ND">
      <formula>NOT(ISERROR(SEARCH(("ND"),(S1796))))</formula>
    </cfRule>
  </conditionalFormatting>
  <conditionalFormatting sqref="N1796:N1798 S1796:S1798">
    <cfRule type="cellIs" dxfId="2686" priority="3132" operator="greaterThanOrEqual">
      <formula>200</formula>
    </cfRule>
  </conditionalFormatting>
  <conditionalFormatting sqref="S1796:S1798">
    <cfRule type="cellIs" dxfId="2685" priority="3133" operator="greaterThanOrEqual">
      <formula>130</formula>
    </cfRule>
  </conditionalFormatting>
  <conditionalFormatting sqref="N1796:N1798">
    <cfRule type="cellIs" dxfId="2684" priority="3134" operator="greaterThanOrEqual">
      <formula>120</formula>
    </cfRule>
  </conditionalFormatting>
  <conditionalFormatting sqref="O1796:Q1798">
    <cfRule type="containsText" dxfId="2683" priority="3135" operator="containsText" text="ND">
      <formula>NOT(ISERROR(SEARCH(("ND"),(O1796))))</formula>
    </cfRule>
  </conditionalFormatting>
  <conditionalFormatting sqref="O1796:O1798">
    <cfRule type="cellIs" dxfId="2682" priority="3136" operator="greaterThanOrEqual">
      <formula>250</formula>
    </cfRule>
  </conditionalFormatting>
  <conditionalFormatting sqref="O1796:O1798">
    <cfRule type="cellIs" dxfId="2681" priority="3137" operator="greaterThanOrEqual">
      <formula>175</formula>
    </cfRule>
  </conditionalFormatting>
  <conditionalFormatting sqref="P1796:P1798">
    <cfRule type="cellIs" dxfId="2680" priority="3138" operator="greaterThanOrEqual">
      <formula>2.5</formula>
    </cfRule>
  </conditionalFormatting>
  <conditionalFormatting sqref="Q1796:Q1798">
    <cfRule type="cellIs" dxfId="2679" priority="3139" operator="greaterThanOrEqual">
      <formula>500</formula>
    </cfRule>
  </conditionalFormatting>
  <conditionalFormatting sqref="Q1796:Q1798">
    <cfRule type="cellIs" dxfId="2678" priority="3140" operator="greaterThanOrEqual">
      <formula>300</formula>
    </cfRule>
  </conditionalFormatting>
  <conditionalFormatting sqref="P2168 L2168">
    <cfRule type="cellIs" dxfId="2677" priority="3107" operator="greaterThanOrEqual">
      <formula>5</formula>
    </cfRule>
  </conditionalFormatting>
  <conditionalFormatting sqref="L2168">
    <cfRule type="cellIs" dxfId="2676" priority="3108" operator="greaterThanOrEqual">
      <formula>2</formula>
    </cfRule>
  </conditionalFormatting>
  <conditionalFormatting sqref="M2168">
    <cfRule type="cellIs" dxfId="2675" priority="3109" operator="greaterThanOrEqual">
      <formula>60</formula>
    </cfRule>
  </conditionalFormatting>
  <conditionalFormatting sqref="M2168">
    <cfRule type="cellIs" dxfId="2674" priority="3110" operator="greaterThanOrEqual">
      <formula>30</formula>
    </cfRule>
  </conditionalFormatting>
  <conditionalFormatting sqref="R2168">
    <cfRule type="cellIs" dxfId="2673" priority="3111" operator="greaterThanOrEqual">
      <formula>600</formula>
    </cfRule>
  </conditionalFormatting>
  <conditionalFormatting sqref="R2168">
    <cfRule type="cellIs" dxfId="2672" priority="3112" operator="greaterThanOrEqual">
      <formula>260</formula>
    </cfRule>
  </conditionalFormatting>
  <conditionalFormatting sqref="S2168">
    <cfRule type="containsText" dxfId="2671" priority="3113" operator="containsText" text="&lt;">
      <formula>NOT(ISERROR(SEARCH(("&lt;"),(S2168))))</formula>
    </cfRule>
  </conditionalFormatting>
  <conditionalFormatting sqref="S2168">
    <cfRule type="containsText" dxfId="2670" priority="3114" operator="containsText" text="ND">
      <formula>NOT(ISERROR(SEARCH(("ND"),(S2168))))</formula>
    </cfRule>
  </conditionalFormatting>
  <conditionalFormatting sqref="N2168 S2168">
    <cfRule type="cellIs" dxfId="2669" priority="3115" operator="greaterThanOrEqual">
      <formula>200</formula>
    </cfRule>
  </conditionalFormatting>
  <conditionalFormatting sqref="S2168">
    <cfRule type="cellIs" dxfId="2668" priority="3116" operator="greaterThanOrEqual">
      <formula>130</formula>
    </cfRule>
  </conditionalFormatting>
  <conditionalFormatting sqref="N2168">
    <cfRule type="cellIs" dxfId="2667" priority="3117" operator="greaterThanOrEqual">
      <formula>120</formula>
    </cfRule>
  </conditionalFormatting>
  <conditionalFormatting sqref="O2168:Q2168">
    <cfRule type="containsText" dxfId="2666" priority="3118" operator="containsText" text="ND">
      <formula>NOT(ISERROR(SEARCH(("ND"),(O2168))))</formula>
    </cfRule>
  </conditionalFormatting>
  <conditionalFormatting sqref="O2168">
    <cfRule type="cellIs" dxfId="2665" priority="3119" operator="greaterThanOrEqual">
      <formula>250</formula>
    </cfRule>
  </conditionalFormatting>
  <conditionalFormatting sqref="O2168">
    <cfRule type="cellIs" dxfId="2664" priority="3120" operator="greaterThanOrEqual">
      <formula>175</formula>
    </cfRule>
  </conditionalFormatting>
  <conditionalFormatting sqref="P2168">
    <cfRule type="cellIs" dxfId="2663" priority="3121" operator="greaterThanOrEqual">
      <formula>2.5</formula>
    </cfRule>
  </conditionalFormatting>
  <conditionalFormatting sqref="Q2168">
    <cfRule type="cellIs" dxfId="2662" priority="3122" operator="greaterThanOrEqual">
      <formula>500</formula>
    </cfRule>
  </conditionalFormatting>
  <conditionalFormatting sqref="Q2168">
    <cfRule type="cellIs" dxfId="2661" priority="3123" operator="greaterThanOrEqual">
      <formula>300</formula>
    </cfRule>
  </conditionalFormatting>
  <conditionalFormatting sqref="P2169 L2169">
    <cfRule type="cellIs" dxfId="2660" priority="3090" operator="greaterThanOrEqual">
      <formula>5</formula>
    </cfRule>
  </conditionalFormatting>
  <conditionalFormatting sqref="L2169">
    <cfRule type="cellIs" dxfId="2659" priority="3091" operator="greaterThanOrEqual">
      <formula>2</formula>
    </cfRule>
  </conditionalFormatting>
  <conditionalFormatting sqref="M2169">
    <cfRule type="cellIs" dxfId="2658" priority="3092" operator="greaterThanOrEqual">
      <formula>60</formula>
    </cfRule>
  </conditionalFormatting>
  <conditionalFormatting sqref="M2169">
    <cfRule type="cellIs" dxfId="2657" priority="3093" operator="greaterThanOrEqual">
      <formula>30</formula>
    </cfRule>
  </conditionalFormatting>
  <conditionalFormatting sqref="R2169">
    <cfRule type="cellIs" dxfId="2656" priority="3094" operator="greaterThanOrEqual">
      <formula>600</formula>
    </cfRule>
  </conditionalFormatting>
  <conditionalFormatting sqref="R2169">
    <cfRule type="cellIs" dxfId="2655" priority="3095" operator="greaterThanOrEqual">
      <formula>260</formula>
    </cfRule>
  </conditionalFormatting>
  <conditionalFormatting sqref="S2169">
    <cfRule type="containsText" dxfId="2654" priority="3096" operator="containsText" text="&lt;">
      <formula>NOT(ISERROR(SEARCH(("&lt;"),(S2169))))</formula>
    </cfRule>
  </conditionalFormatting>
  <conditionalFormatting sqref="S2169">
    <cfRule type="containsText" dxfId="2653" priority="3097" operator="containsText" text="ND">
      <formula>NOT(ISERROR(SEARCH(("ND"),(S2169))))</formula>
    </cfRule>
  </conditionalFormatting>
  <conditionalFormatting sqref="N2169 S2169">
    <cfRule type="cellIs" dxfId="2652" priority="3098" operator="greaterThanOrEqual">
      <formula>200</formula>
    </cfRule>
  </conditionalFormatting>
  <conditionalFormatting sqref="S2169">
    <cfRule type="cellIs" dxfId="2651" priority="3099" operator="greaterThanOrEqual">
      <formula>130</formula>
    </cfRule>
  </conditionalFormatting>
  <conditionalFormatting sqref="N2169">
    <cfRule type="cellIs" dxfId="2650" priority="3100" operator="greaterThanOrEqual">
      <formula>120</formula>
    </cfRule>
  </conditionalFormatting>
  <conditionalFormatting sqref="O2169:Q2169">
    <cfRule type="containsText" dxfId="2649" priority="3101" operator="containsText" text="ND">
      <formula>NOT(ISERROR(SEARCH(("ND"),(O2169))))</formula>
    </cfRule>
  </conditionalFormatting>
  <conditionalFormatting sqref="O2169">
    <cfRule type="cellIs" dxfId="2648" priority="3102" operator="greaterThanOrEqual">
      <formula>250</formula>
    </cfRule>
  </conditionalFormatting>
  <conditionalFormatting sqref="O2169">
    <cfRule type="cellIs" dxfId="2647" priority="3103" operator="greaterThanOrEqual">
      <formula>175</formula>
    </cfRule>
  </conditionalFormatting>
  <conditionalFormatting sqref="P2169">
    <cfRule type="cellIs" dxfId="2646" priority="3104" operator="greaterThanOrEqual">
      <formula>2.5</formula>
    </cfRule>
  </conditionalFormatting>
  <conditionalFormatting sqref="Q2169">
    <cfRule type="cellIs" dxfId="2645" priority="3105" operator="greaterThanOrEqual">
      <formula>500</formula>
    </cfRule>
  </conditionalFormatting>
  <conditionalFormatting sqref="Q2169">
    <cfRule type="cellIs" dxfId="2644" priority="3106" operator="greaterThanOrEqual">
      <formula>300</formula>
    </cfRule>
  </conditionalFormatting>
  <conditionalFormatting sqref="P2431 L2431">
    <cfRule type="cellIs" dxfId="2643" priority="3073" operator="greaterThanOrEqual">
      <formula>5</formula>
    </cfRule>
  </conditionalFormatting>
  <conditionalFormatting sqref="L2431">
    <cfRule type="cellIs" dxfId="2642" priority="3074" operator="greaterThanOrEqual">
      <formula>2</formula>
    </cfRule>
  </conditionalFormatting>
  <conditionalFormatting sqref="M2431">
    <cfRule type="cellIs" dxfId="2641" priority="3075" operator="greaterThanOrEqual">
      <formula>60</formula>
    </cfRule>
  </conditionalFormatting>
  <conditionalFormatting sqref="M2431">
    <cfRule type="cellIs" dxfId="2640" priority="3076" operator="greaterThanOrEqual">
      <formula>30</formula>
    </cfRule>
  </conditionalFormatting>
  <conditionalFormatting sqref="R2431">
    <cfRule type="cellIs" dxfId="2639" priority="3077" operator="greaterThanOrEqual">
      <formula>600</formula>
    </cfRule>
  </conditionalFormatting>
  <conditionalFormatting sqref="R2431">
    <cfRule type="cellIs" dxfId="2638" priority="3078" operator="greaterThanOrEqual">
      <formula>260</formula>
    </cfRule>
  </conditionalFormatting>
  <conditionalFormatting sqref="S2431">
    <cfRule type="containsText" dxfId="2637" priority="3079" operator="containsText" text="&lt;">
      <formula>NOT(ISERROR(SEARCH(("&lt;"),(S2431))))</formula>
    </cfRule>
  </conditionalFormatting>
  <conditionalFormatting sqref="S2431">
    <cfRule type="containsText" dxfId="2636" priority="3080" operator="containsText" text="ND">
      <formula>NOT(ISERROR(SEARCH(("ND"),(S2431))))</formula>
    </cfRule>
  </conditionalFormatting>
  <conditionalFormatting sqref="N2431 S2431">
    <cfRule type="cellIs" dxfId="2635" priority="3081" operator="greaterThanOrEqual">
      <formula>200</formula>
    </cfRule>
  </conditionalFormatting>
  <conditionalFormatting sqref="S2431">
    <cfRule type="cellIs" dxfId="2634" priority="3082" operator="greaterThanOrEqual">
      <formula>130</formula>
    </cfRule>
  </conditionalFormatting>
  <conditionalFormatting sqref="N2431">
    <cfRule type="cellIs" dxfId="2633" priority="3083" operator="greaterThanOrEqual">
      <formula>120</formula>
    </cfRule>
  </conditionalFormatting>
  <conditionalFormatting sqref="O2431:Q2431">
    <cfRule type="containsText" dxfId="2632" priority="3084" operator="containsText" text="ND">
      <formula>NOT(ISERROR(SEARCH(("ND"),(O2431))))</formula>
    </cfRule>
  </conditionalFormatting>
  <conditionalFormatting sqref="O2431">
    <cfRule type="cellIs" dxfId="2631" priority="3085" operator="greaterThanOrEqual">
      <formula>250</formula>
    </cfRule>
  </conditionalFormatting>
  <conditionalFormatting sqref="O2431">
    <cfRule type="cellIs" dxfId="2630" priority="3086" operator="greaterThanOrEqual">
      <formula>175</formula>
    </cfRule>
  </conditionalFormatting>
  <conditionalFormatting sqref="P2431">
    <cfRule type="cellIs" dxfId="2629" priority="3087" operator="greaterThanOrEqual">
      <formula>2.5</formula>
    </cfRule>
  </conditionalFormatting>
  <conditionalFormatting sqref="Q2431">
    <cfRule type="cellIs" dxfId="2628" priority="3088" operator="greaterThanOrEqual">
      <formula>500</formula>
    </cfRule>
  </conditionalFormatting>
  <conditionalFormatting sqref="Q2431">
    <cfRule type="cellIs" dxfId="2627" priority="3089" operator="greaterThanOrEqual">
      <formula>300</formula>
    </cfRule>
  </conditionalFormatting>
  <conditionalFormatting sqref="P1799 L1799">
    <cfRule type="cellIs" dxfId="2626" priority="3056" operator="greaterThanOrEqual">
      <formula>5</formula>
    </cfRule>
  </conditionalFormatting>
  <conditionalFormatting sqref="L1799">
    <cfRule type="cellIs" dxfId="2625" priority="3057" operator="greaterThanOrEqual">
      <formula>2</formula>
    </cfRule>
  </conditionalFormatting>
  <conditionalFormatting sqref="M1799">
    <cfRule type="cellIs" dxfId="2624" priority="3058" operator="greaterThanOrEqual">
      <formula>60</formula>
    </cfRule>
  </conditionalFormatting>
  <conditionalFormatting sqref="M1799">
    <cfRule type="cellIs" dxfId="2623" priority="3059" operator="greaterThanOrEqual">
      <formula>30</formula>
    </cfRule>
  </conditionalFormatting>
  <conditionalFormatting sqref="R1799">
    <cfRule type="cellIs" dxfId="2622" priority="3060" operator="greaterThanOrEqual">
      <formula>600</formula>
    </cfRule>
  </conditionalFormatting>
  <conditionalFormatting sqref="R1799">
    <cfRule type="cellIs" dxfId="2621" priority="3061" operator="greaterThanOrEqual">
      <formula>260</formula>
    </cfRule>
  </conditionalFormatting>
  <conditionalFormatting sqref="S1799">
    <cfRule type="containsText" dxfId="2620" priority="3062" operator="containsText" text="&lt;">
      <formula>NOT(ISERROR(SEARCH(("&lt;"),(S1799))))</formula>
    </cfRule>
  </conditionalFormatting>
  <conditionalFormatting sqref="S1799">
    <cfRule type="containsText" dxfId="2619" priority="3063" operator="containsText" text="ND">
      <formula>NOT(ISERROR(SEARCH(("ND"),(S1799))))</formula>
    </cfRule>
  </conditionalFormatting>
  <conditionalFormatting sqref="N1799 S1799">
    <cfRule type="cellIs" dxfId="2618" priority="3064" operator="greaterThanOrEqual">
      <formula>200</formula>
    </cfRule>
  </conditionalFormatting>
  <conditionalFormatting sqref="S1799">
    <cfRule type="cellIs" dxfId="2617" priority="3065" operator="greaterThanOrEqual">
      <formula>130</formula>
    </cfRule>
  </conditionalFormatting>
  <conditionalFormatting sqref="N1799">
    <cfRule type="cellIs" dxfId="2616" priority="3066" operator="greaterThanOrEqual">
      <formula>120</formula>
    </cfRule>
  </conditionalFormatting>
  <conditionalFormatting sqref="O1799:Q1799">
    <cfRule type="containsText" dxfId="2615" priority="3067" operator="containsText" text="ND">
      <formula>NOT(ISERROR(SEARCH(("ND"),(O1799))))</formula>
    </cfRule>
  </conditionalFormatting>
  <conditionalFormatting sqref="O1799">
    <cfRule type="cellIs" dxfId="2614" priority="3068" operator="greaterThanOrEqual">
      <formula>250</formula>
    </cfRule>
  </conditionalFormatting>
  <conditionalFormatting sqref="O1799">
    <cfRule type="cellIs" dxfId="2613" priority="3069" operator="greaterThanOrEqual">
      <formula>175</formula>
    </cfRule>
  </conditionalFormatting>
  <conditionalFormatting sqref="P1799">
    <cfRule type="cellIs" dxfId="2612" priority="3070" operator="greaterThanOrEqual">
      <formula>2.5</formula>
    </cfRule>
  </conditionalFormatting>
  <conditionalFormatting sqref="Q1799">
    <cfRule type="cellIs" dxfId="2611" priority="3071" operator="greaterThanOrEqual">
      <formula>500</formula>
    </cfRule>
  </conditionalFormatting>
  <conditionalFormatting sqref="Q1799">
    <cfRule type="cellIs" dxfId="2610" priority="3072" operator="greaterThanOrEqual">
      <formula>300</formula>
    </cfRule>
  </conditionalFormatting>
  <conditionalFormatting sqref="P2294 L2294">
    <cfRule type="cellIs" dxfId="2609" priority="3039" operator="greaterThanOrEqual">
      <formula>5</formula>
    </cfRule>
  </conditionalFormatting>
  <conditionalFormatting sqref="L2294">
    <cfRule type="cellIs" dxfId="2608" priority="3040" operator="greaterThanOrEqual">
      <formula>2</formula>
    </cfRule>
  </conditionalFormatting>
  <conditionalFormatting sqref="M2294">
    <cfRule type="cellIs" dxfId="2607" priority="3041" operator="greaterThanOrEqual">
      <formula>60</formula>
    </cfRule>
  </conditionalFormatting>
  <conditionalFormatting sqref="M2294">
    <cfRule type="cellIs" dxfId="2606" priority="3042" operator="greaterThanOrEqual">
      <formula>30</formula>
    </cfRule>
  </conditionalFormatting>
  <conditionalFormatting sqref="R2294">
    <cfRule type="cellIs" dxfId="2605" priority="3043" operator="greaterThanOrEqual">
      <formula>600</formula>
    </cfRule>
  </conditionalFormatting>
  <conditionalFormatting sqref="R2294">
    <cfRule type="cellIs" dxfId="2604" priority="3044" operator="greaterThanOrEqual">
      <formula>260</formula>
    </cfRule>
  </conditionalFormatting>
  <conditionalFormatting sqref="S2294">
    <cfRule type="containsText" dxfId="2603" priority="3045" operator="containsText" text="&lt;">
      <formula>NOT(ISERROR(SEARCH(("&lt;"),(S2294))))</formula>
    </cfRule>
  </conditionalFormatting>
  <conditionalFormatting sqref="S2294">
    <cfRule type="containsText" dxfId="2602" priority="3046" operator="containsText" text="ND">
      <formula>NOT(ISERROR(SEARCH(("ND"),(S2294))))</formula>
    </cfRule>
  </conditionalFormatting>
  <conditionalFormatting sqref="N2294 S2294">
    <cfRule type="cellIs" dxfId="2601" priority="3047" operator="greaterThanOrEqual">
      <formula>200</formula>
    </cfRule>
  </conditionalFormatting>
  <conditionalFormatting sqref="S2294">
    <cfRule type="cellIs" dxfId="2600" priority="3048" operator="greaterThanOrEqual">
      <formula>130</formula>
    </cfRule>
  </conditionalFormatting>
  <conditionalFormatting sqref="N2294">
    <cfRule type="cellIs" dxfId="2599" priority="3049" operator="greaterThanOrEqual">
      <formula>120</formula>
    </cfRule>
  </conditionalFormatting>
  <conditionalFormatting sqref="O2294:Q2294">
    <cfRule type="containsText" dxfId="2598" priority="3050" operator="containsText" text="ND">
      <formula>NOT(ISERROR(SEARCH(("ND"),(O2294))))</formula>
    </cfRule>
  </conditionalFormatting>
  <conditionalFormatting sqref="O2294">
    <cfRule type="cellIs" dxfId="2597" priority="3051" operator="greaterThanOrEqual">
      <formula>250</formula>
    </cfRule>
  </conditionalFormatting>
  <conditionalFormatting sqref="O2294">
    <cfRule type="cellIs" dxfId="2596" priority="3052" operator="greaterThanOrEqual">
      <formula>175</formula>
    </cfRule>
  </conditionalFormatting>
  <conditionalFormatting sqref="P2294">
    <cfRule type="cellIs" dxfId="2595" priority="3053" operator="greaterThanOrEqual">
      <formula>2.5</formula>
    </cfRule>
  </conditionalFormatting>
  <conditionalFormatting sqref="Q2294">
    <cfRule type="cellIs" dxfId="2594" priority="3054" operator="greaterThanOrEqual">
      <formula>500</formula>
    </cfRule>
  </conditionalFormatting>
  <conditionalFormatting sqref="Q2294">
    <cfRule type="cellIs" dxfId="2593" priority="3055" operator="greaterThanOrEqual">
      <formula>300</formula>
    </cfRule>
  </conditionalFormatting>
  <conditionalFormatting sqref="P2012 L2012">
    <cfRule type="cellIs" dxfId="2592" priority="3022" operator="greaterThanOrEqual">
      <formula>5</formula>
    </cfRule>
  </conditionalFormatting>
  <conditionalFormatting sqref="L2012">
    <cfRule type="cellIs" dxfId="2591" priority="3023" operator="greaterThanOrEqual">
      <formula>2</formula>
    </cfRule>
  </conditionalFormatting>
  <conditionalFormatting sqref="M2012">
    <cfRule type="cellIs" dxfId="2590" priority="3024" operator="greaterThanOrEqual">
      <formula>60</formula>
    </cfRule>
  </conditionalFormatting>
  <conditionalFormatting sqref="M2012">
    <cfRule type="cellIs" dxfId="2589" priority="3025" operator="greaterThanOrEqual">
      <formula>30</formula>
    </cfRule>
  </conditionalFormatting>
  <conditionalFormatting sqref="R2012">
    <cfRule type="cellIs" dxfId="2588" priority="3026" operator="greaterThanOrEqual">
      <formula>600</formula>
    </cfRule>
  </conditionalFormatting>
  <conditionalFormatting sqref="R2012">
    <cfRule type="cellIs" dxfId="2587" priority="3027" operator="greaterThanOrEqual">
      <formula>260</formula>
    </cfRule>
  </conditionalFormatting>
  <conditionalFormatting sqref="S2012">
    <cfRule type="containsText" dxfId="2586" priority="3028" operator="containsText" text="&lt;">
      <formula>NOT(ISERROR(SEARCH(("&lt;"),(S2012))))</formula>
    </cfRule>
  </conditionalFormatting>
  <conditionalFormatting sqref="S2012">
    <cfRule type="containsText" dxfId="2585" priority="3029" operator="containsText" text="ND">
      <formula>NOT(ISERROR(SEARCH(("ND"),(S2012))))</formula>
    </cfRule>
  </conditionalFormatting>
  <conditionalFormatting sqref="N2012 S2012">
    <cfRule type="cellIs" dxfId="2584" priority="3030" operator="greaterThanOrEqual">
      <formula>200</formula>
    </cfRule>
  </conditionalFormatting>
  <conditionalFormatting sqref="S2012">
    <cfRule type="cellIs" dxfId="2583" priority="3031" operator="greaterThanOrEqual">
      <formula>130</formula>
    </cfRule>
  </conditionalFormatting>
  <conditionalFormatting sqref="N2012">
    <cfRule type="cellIs" dxfId="2582" priority="3032" operator="greaterThanOrEqual">
      <formula>120</formula>
    </cfRule>
  </conditionalFormatting>
  <conditionalFormatting sqref="O2012:Q2012">
    <cfRule type="containsText" dxfId="2581" priority="3033" operator="containsText" text="ND">
      <formula>NOT(ISERROR(SEARCH(("ND"),(O2012))))</formula>
    </cfRule>
  </conditionalFormatting>
  <conditionalFormatting sqref="O2012">
    <cfRule type="cellIs" dxfId="2580" priority="3034" operator="greaterThanOrEqual">
      <formula>250</formula>
    </cfRule>
  </conditionalFormatting>
  <conditionalFormatting sqref="O2012">
    <cfRule type="cellIs" dxfId="2579" priority="3035" operator="greaterThanOrEqual">
      <formula>175</formula>
    </cfRule>
  </conditionalFormatting>
  <conditionalFormatting sqref="P2012">
    <cfRule type="cellIs" dxfId="2578" priority="3036" operator="greaterThanOrEqual">
      <formula>2.5</formula>
    </cfRule>
  </conditionalFormatting>
  <conditionalFormatting sqref="Q2012">
    <cfRule type="cellIs" dxfId="2577" priority="3037" operator="greaterThanOrEqual">
      <formula>500</formula>
    </cfRule>
  </conditionalFormatting>
  <conditionalFormatting sqref="Q2012">
    <cfRule type="cellIs" dxfId="2576" priority="3038" operator="greaterThanOrEqual">
      <formula>300</formula>
    </cfRule>
  </conditionalFormatting>
  <conditionalFormatting sqref="L1805 P1805">
    <cfRule type="cellIs" dxfId="2575" priority="3005" operator="greaterThanOrEqual">
      <formula>5</formula>
    </cfRule>
  </conditionalFormatting>
  <conditionalFormatting sqref="L1805">
    <cfRule type="cellIs" dxfId="2574" priority="3006" operator="greaterThanOrEqual">
      <formula>2</formula>
    </cfRule>
  </conditionalFormatting>
  <conditionalFormatting sqref="M1805">
    <cfRule type="cellIs" dxfId="2573" priority="3007" operator="greaterThanOrEqual">
      <formula>60</formula>
    </cfRule>
  </conditionalFormatting>
  <conditionalFormatting sqref="M1805">
    <cfRule type="cellIs" dxfId="2572" priority="3008" operator="greaterThanOrEqual">
      <formula>30</formula>
    </cfRule>
  </conditionalFormatting>
  <conditionalFormatting sqref="R1805">
    <cfRule type="cellIs" dxfId="2571" priority="3009" operator="greaterThanOrEqual">
      <formula>600</formula>
    </cfRule>
  </conditionalFormatting>
  <conditionalFormatting sqref="R1805">
    <cfRule type="cellIs" dxfId="2570" priority="3010" operator="greaterThanOrEqual">
      <formula>260</formula>
    </cfRule>
  </conditionalFormatting>
  <conditionalFormatting sqref="S1805">
    <cfRule type="containsText" dxfId="2569" priority="3011" operator="containsText" text="&lt;">
      <formula>NOT(ISERROR(SEARCH(("&lt;"),(S1805))))</formula>
    </cfRule>
  </conditionalFormatting>
  <conditionalFormatting sqref="S1805">
    <cfRule type="containsText" dxfId="2568" priority="3012" operator="containsText" text="ND">
      <formula>NOT(ISERROR(SEARCH(("ND"),(S1805))))</formula>
    </cfRule>
  </conditionalFormatting>
  <conditionalFormatting sqref="S1805 N1805">
    <cfRule type="cellIs" dxfId="2567" priority="3013" operator="greaterThanOrEqual">
      <formula>200</formula>
    </cfRule>
  </conditionalFormatting>
  <conditionalFormatting sqref="S1805">
    <cfRule type="cellIs" dxfId="2566" priority="3014" operator="greaterThanOrEqual">
      <formula>130</formula>
    </cfRule>
  </conditionalFormatting>
  <conditionalFormatting sqref="N1805">
    <cfRule type="cellIs" dxfId="2565" priority="3015" operator="greaterThanOrEqual">
      <formula>120</formula>
    </cfRule>
  </conditionalFormatting>
  <conditionalFormatting sqref="O1805:Q1805">
    <cfRule type="containsText" dxfId="2564" priority="3016" operator="containsText" text="ND">
      <formula>NOT(ISERROR(SEARCH(("ND"),(O1805))))</formula>
    </cfRule>
  </conditionalFormatting>
  <conditionalFormatting sqref="O1805">
    <cfRule type="cellIs" dxfId="2563" priority="3017" operator="greaterThanOrEqual">
      <formula>250</formula>
    </cfRule>
  </conditionalFormatting>
  <conditionalFormatting sqref="O1805">
    <cfRule type="cellIs" dxfId="2562" priority="3018" operator="greaterThanOrEqual">
      <formula>175</formula>
    </cfRule>
  </conditionalFormatting>
  <conditionalFormatting sqref="P1805">
    <cfRule type="cellIs" dxfId="2561" priority="3019" operator="greaterThanOrEqual">
      <formula>2.5</formula>
    </cfRule>
  </conditionalFormatting>
  <conditionalFormatting sqref="Q1805">
    <cfRule type="cellIs" dxfId="2560" priority="3020" operator="greaterThanOrEqual">
      <formula>500</formula>
    </cfRule>
  </conditionalFormatting>
  <conditionalFormatting sqref="Q1805">
    <cfRule type="cellIs" dxfId="2559" priority="3021" operator="greaterThanOrEqual">
      <formula>300</formula>
    </cfRule>
  </conditionalFormatting>
  <conditionalFormatting sqref="P2123 L2123">
    <cfRule type="cellIs" dxfId="2558" priority="2988" operator="greaterThanOrEqual">
      <formula>5</formula>
    </cfRule>
  </conditionalFormatting>
  <conditionalFormatting sqref="L2123">
    <cfRule type="cellIs" dxfId="2557" priority="2989" operator="greaterThanOrEqual">
      <formula>2</formula>
    </cfRule>
  </conditionalFormatting>
  <conditionalFormatting sqref="M2123">
    <cfRule type="cellIs" dxfId="2556" priority="2990" operator="greaterThanOrEqual">
      <formula>60</formula>
    </cfRule>
  </conditionalFormatting>
  <conditionalFormatting sqref="M2123">
    <cfRule type="cellIs" dxfId="2555" priority="2991" operator="greaterThanOrEqual">
      <formula>30</formula>
    </cfRule>
  </conditionalFormatting>
  <conditionalFormatting sqref="R2123">
    <cfRule type="cellIs" dxfId="2554" priority="2992" operator="greaterThanOrEqual">
      <formula>600</formula>
    </cfRule>
  </conditionalFormatting>
  <conditionalFormatting sqref="R2123">
    <cfRule type="cellIs" dxfId="2553" priority="2993" operator="greaterThanOrEqual">
      <formula>260</formula>
    </cfRule>
  </conditionalFormatting>
  <conditionalFormatting sqref="S2123">
    <cfRule type="containsText" dxfId="2552" priority="2994" operator="containsText" text="&lt;">
      <formula>NOT(ISERROR(SEARCH(("&lt;"),(S2123))))</formula>
    </cfRule>
  </conditionalFormatting>
  <conditionalFormatting sqref="S2123">
    <cfRule type="containsText" dxfId="2551" priority="2995" operator="containsText" text="ND">
      <formula>NOT(ISERROR(SEARCH(("ND"),(S2123))))</formula>
    </cfRule>
  </conditionalFormatting>
  <conditionalFormatting sqref="N2123 S2123">
    <cfRule type="cellIs" dxfId="2550" priority="2996" operator="greaterThanOrEqual">
      <formula>200</formula>
    </cfRule>
  </conditionalFormatting>
  <conditionalFormatting sqref="S2123">
    <cfRule type="cellIs" dxfId="2549" priority="2997" operator="greaterThanOrEqual">
      <formula>130</formula>
    </cfRule>
  </conditionalFormatting>
  <conditionalFormatting sqref="N2123">
    <cfRule type="cellIs" dxfId="2548" priority="2998" operator="greaterThanOrEqual">
      <formula>120</formula>
    </cfRule>
  </conditionalFormatting>
  <conditionalFormatting sqref="O2123:Q2123">
    <cfRule type="containsText" dxfId="2547" priority="2999" operator="containsText" text="ND">
      <formula>NOT(ISERROR(SEARCH(("ND"),(O2123))))</formula>
    </cfRule>
  </conditionalFormatting>
  <conditionalFormatting sqref="O2123">
    <cfRule type="cellIs" dxfId="2546" priority="3000" operator="greaterThanOrEqual">
      <formula>250</formula>
    </cfRule>
  </conditionalFormatting>
  <conditionalFormatting sqref="O2123">
    <cfRule type="cellIs" dxfId="2545" priority="3001" operator="greaterThanOrEqual">
      <formula>175</formula>
    </cfRule>
  </conditionalFormatting>
  <conditionalFormatting sqref="P2123">
    <cfRule type="cellIs" dxfId="2544" priority="3002" operator="greaterThanOrEqual">
      <formula>2.5</formula>
    </cfRule>
  </conditionalFormatting>
  <conditionalFormatting sqref="Q2123">
    <cfRule type="cellIs" dxfId="2543" priority="3003" operator="greaterThanOrEqual">
      <formula>500</formula>
    </cfRule>
  </conditionalFormatting>
  <conditionalFormatting sqref="Q2123">
    <cfRule type="cellIs" dxfId="2542" priority="3004" operator="greaterThanOrEqual">
      <formula>300</formula>
    </cfRule>
  </conditionalFormatting>
  <conditionalFormatting sqref="P2013 L2013">
    <cfRule type="cellIs" dxfId="2541" priority="2971" operator="greaterThanOrEqual">
      <formula>5</formula>
    </cfRule>
  </conditionalFormatting>
  <conditionalFormatting sqref="L2013">
    <cfRule type="cellIs" dxfId="2540" priority="2972" operator="greaterThanOrEqual">
      <formula>2</formula>
    </cfRule>
  </conditionalFormatting>
  <conditionalFormatting sqref="M2013">
    <cfRule type="cellIs" dxfId="2539" priority="2973" operator="greaterThanOrEqual">
      <formula>60</formula>
    </cfRule>
  </conditionalFormatting>
  <conditionalFormatting sqref="M2013">
    <cfRule type="cellIs" dxfId="2538" priority="2974" operator="greaterThanOrEqual">
      <formula>30</formula>
    </cfRule>
  </conditionalFormatting>
  <conditionalFormatting sqref="R2013">
    <cfRule type="cellIs" dxfId="2537" priority="2975" operator="greaterThanOrEqual">
      <formula>600</formula>
    </cfRule>
  </conditionalFormatting>
  <conditionalFormatting sqref="R2013">
    <cfRule type="cellIs" dxfId="2536" priority="2976" operator="greaterThanOrEqual">
      <formula>260</formula>
    </cfRule>
  </conditionalFormatting>
  <conditionalFormatting sqref="S2013">
    <cfRule type="containsText" dxfId="2535" priority="2977" operator="containsText" text="&lt;">
      <formula>NOT(ISERROR(SEARCH(("&lt;"),(S2013))))</formula>
    </cfRule>
  </conditionalFormatting>
  <conditionalFormatting sqref="S2013">
    <cfRule type="containsText" dxfId="2534" priority="2978" operator="containsText" text="ND">
      <formula>NOT(ISERROR(SEARCH(("ND"),(S2013))))</formula>
    </cfRule>
  </conditionalFormatting>
  <conditionalFormatting sqref="N2013 S2013">
    <cfRule type="cellIs" dxfId="2533" priority="2979" operator="greaterThanOrEqual">
      <formula>200</formula>
    </cfRule>
  </conditionalFormatting>
  <conditionalFormatting sqref="S2013">
    <cfRule type="cellIs" dxfId="2532" priority="2980" operator="greaterThanOrEqual">
      <formula>130</formula>
    </cfRule>
  </conditionalFormatting>
  <conditionalFormatting sqref="N2013">
    <cfRule type="cellIs" dxfId="2531" priority="2981" operator="greaterThanOrEqual">
      <formula>120</formula>
    </cfRule>
  </conditionalFormatting>
  <conditionalFormatting sqref="O2013:Q2013">
    <cfRule type="containsText" dxfId="2530" priority="2982" operator="containsText" text="ND">
      <formula>NOT(ISERROR(SEARCH(("ND"),(O2013))))</formula>
    </cfRule>
  </conditionalFormatting>
  <conditionalFormatting sqref="O2013">
    <cfRule type="cellIs" dxfId="2529" priority="2983" operator="greaterThanOrEqual">
      <formula>250</formula>
    </cfRule>
  </conditionalFormatting>
  <conditionalFormatting sqref="O2013">
    <cfRule type="cellIs" dxfId="2528" priority="2984" operator="greaterThanOrEqual">
      <formula>175</formula>
    </cfRule>
  </conditionalFormatting>
  <conditionalFormatting sqref="P2013">
    <cfRule type="cellIs" dxfId="2527" priority="2985" operator="greaterThanOrEqual">
      <formula>2.5</formula>
    </cfRule>
  </conditionalFormatting>
  <conditionalFormatting sqref="Q2013">
    <cfRule type="cellIs" dxfId="2526" priority="2986" operator="greaterThanOrEqual">
      <formula>500</formula>
    </cfRule>
  </conditionalFormatting>
  <conditionalFormatting sqref="Q2013">
    <cfRule type="cellIs" dxfId="2525" priority="2987" operator="greaterThanOrEqual">
      <formula>300</formula>
    </cfRule>
  </conditionalFormatting>
  <conditionalFormatting sqref="P2014 L2014">
    <cfRule type="cellIs" dxfId="2524" priority="2954" operator="greaterThanOrEqual">
      <formula>5</formula>
    </cfRule>
  </conditionalFormatting>
  <conditionalFormatting sqref="L2014">
    <cfRule type="cellIs" dxfId="2523" priority="2955" operator="greaterThanOrEqual">
      <formula>2</formula>
    </cfRule>
  </conditionalFormatting>
  <conditionalFormatting sqref="M2014">
    <cfRule type="cellIs" dxfId="2522" priority="2956" operator="greaterThanOrEqual">
      <formula>60</formula>
    </cfRule>
  </conditionalFormatting>
  <conditionalFormatting sqref="M2014">
    <cfRule type="cellIs" dxfId="2521" priority="2957" operator="greaterThanOrEqual">
      <formula>30</formula>
    </cfRule>
  </conditionalFormatting>
  <conditionalFormatting sqref="R2014">
    <cfRule type="cellIs" dxfId="2520" priority="2958" operator="greaterThanOrEqual">
      <formula>600</formula>
    </cfRule>
  </conditionalFormatting>
  <conditionalFormatting sqref="R2014">
    <cfRule type="cellIs" dxfId="2519" priority="2959" operator="greaterThanOrEqual">
      <formula>260</formula>
    </cfRule>
  </conditionalFormatting>
  <conditionalFormatting sqref="S2014">
    <cfRule type="containsText" dxfId="2518" priority="2960" operator="containsText" text="&lt;">
      <formula>NOT(ISERROR(SEARCH(("&lt;"),(S2014))))</formula>
    </cfRule>
  </conditionalFormatting>
  <conditionalFormatting sqref="S2014">
    <cfRule type="containsText" dxfId="2517" priority="2961" operator="containsText" text="ND">
      <formula>NOT(ISERROR(SEARCH(("ND"),(S2014))))</formula>
    </cfRule>
  </conditionalFormatting>
  <conditionalFormatting sqref="N2014 S2014">
    <cfRule type="cellIs" dxfId="2516" priority="2962" operator="greaterThanOrEqual">
      <formula>200</formula>
    </cfRule>
  </conditionalFormatting>
  <conditionalFormatting sqref="S2014">
    <cfRule type="cellIs" dxfId="2515" priority="2963" operator="greaterThanOrEqual">
      <formula>130</formula>
    </cfRule>
  </conditionalFormatting>
  <conditionalFormatting sqref="N2014">
    <cfRule type="cellIs" dxfId="2514" priority="2964" operator="greaterThanOrEqual">
      <formula>120</formula>
    </cfRule>
  </conditionalFormatting>
  <conditionalFormatting sqref="O2014:Q2014">
    <cfRule type="containsText" dxfId="2513" priority="2965" operator="containsText" text="ND">
      <formula>NOT(ISERROR(SEARCH(("ND"),(O2014))))</formula>
    </cfRule>
  </conditionalFormatting>
  <conditionalFormatting sqref="O2014">
    <cfRule type="cellIs" dxfId="2512" priority="2966" operator="greaterThanOrEqual">
      <formula>250</formula>
    </cfRule>
  </conditionalFormatting>
  <conditionalFormatting sqref="O2014">
    <cfRule type="cellIs" dxfId="2511" priority="2967" operator="greaterThanOrEqual">
      <formula>175</formula>
    </cfRule>
  </conditionalFormatting>
  <conditionalFormatting sqref="P2014">
    <cfRule type="cellIs" dxfId="2510" priority="2968" operator="greaterThanOrEqual">
      <formula>2.5</formula>
    </cfRule>
  </conditionalFormatting>
  <conditionalFormatting sqref="Q2014">
    <cfRule type="cellIs" dxfId="2509" priority="2969" operator="greaterThanOrEqual">
      <formula>500</formula>
    </cfRule>
  </conditionalFormatting>
  <conditionalFormatting sqref="Q2014">
    <cfRule type="cellIs" dxfId="2508" priority="2970" operator="greaterThanOrEqual">
      <formula>300</formula>
    </cfRule>
  </conditionalFormatting>
  <conditionalFormatting sqref="L1806 P1806">
    <cfRule type="cellIs" dxfId="2507" priority="2937" operator="greaterThanOrEqual">
      <formula>5</formula>
    </cfRule>
  </conditionalFormatting>
  <conditionalFormatting sqref="L1806">
    <cfRule type="cellIs" dxfId="2506" priority="2938" operator="greaterThanOrEqual">
      <formula>2</formula>
    </cfRule>
  </conditionalFormatting>
  <conditionalFormatting sqref="M1806">
    <cfRule type="cellIs" dxfId="2505" priority="2939" operator="greaterThanOrEqual">
      <formula>60</formula>
    </cfRule>
  </conditionalFormatting>
  <conditionalFormatting sqref="M1806">
    <cfRule type="cellIs" dxfId="2504" priority="2940" operator="greaterThanOrEqual">
      <formula>30</formula>
    </cfRule>
  </conditionalFormatting>
  <conditionalFormatting sqref="R1806">
    <cfRule type="cellIs" dxfId="2503" priority="2941" operator="greaterThanOrEqual">
      <formula>600</formula>
    </cfRule>
  </conditionalFormatting>
  <conditionalFormatting sqref="R1806">
    <cfRule type="cellIs" dxfId="2502" priority="2942" operator="greaterThanOrEqual">
      <formula>260</formula>
    </cfRule>
  </conditionalFormatting>
  <conditionalFormatting sqref="S1806">
    <cfRule type="containsText" dxfId="2501" priority="2943" operator="containsText" text="&lt;">
      <formula>NOT(ISERROR(SEARCH(("&lt;"),(S1806))))</formula>
    </cfRule>
  </conditionalFormatting>
  <conditionalFormatting sqref="S1806">
    <cfRule type="containsText" dxfId="2500" priority="2944" operator="containsText" text="ND">
      <formula>NOT(ISERROR(SEARCH(("ND"),(S1806))))</formula>
    </cfRule>
  </conditionalFormatting>
  <conditionalFormatting sqref="S1806 N1806">
    <cfRule type="cellIs" dxfId="2499" priority="2945" operator="greaterThanOrEqual">
      <formula>200</formula>
    </cfRule>
  </conditionalFormatting>
  <conditionalFormatting sqref="S1806">
    <cfRule type="cellIs" dxfId="2498" priority="2946" operator="greaterThanOrEqual">
      <formula>130</formula>
    </cfRule>
  </conditionalFormatting>
  <conditionalFormatting sqref="N1806">
    <cfRule type="cellIs" dxfId="2497" priority="2947" operator="greaterThanOrEqual">
      <formula>120</formula>
    </cfRule>
  </conditionalFormatting>
  <conditionalFormatting sqref="O1806:Q1806">
    <cfRule type="containsText" dxfId="2496" priority="2948" operator="containsText" text="ND">
      <formula>NOT(ISERROR(SEARCH(("ND"),(O1806))))</formula>
    </cfRule>
  </conditionalFormatting>
  <conditionalFormatting sqref="O1806">
    <cfRule type="cellIs" dxfId="2495" priority="2949" operator="greaterThanOrEqual">
      <formula>250</formula>
    </cfRule>
  </conditionalFormatting>
  <conditionalFormatting sqref="O1806">
    <cfRule type="cellIs" dxfId="2494" priority="2950" operator="greaterThanOrEqual">
      <formula>175</formula>
    </cfRule>
  </conditionalFormatting>
  <conditionalFormatting sqref="P1806">
    <cfRule type="cellIs" dxfId="2493" priority="2951" operator="greaterThanOrEqual">
      <formula>2.5</formula>
    </cfRule>
  </conditionalFormatting>
  <conditionalFormatting sqref="Q1806">
    <cfRule type="cellIs" dxfId="2492" priority="2952" operator="greaterThanOrEqual">
      <formula>500</formula>
    </cfRule>
  </conditionalFormatting>
  <conditionalFormatting sqref="Q1806">
    <cfRule type="cellIs" dxfId="2491" priority="2953" operator="greaterThanOrEqual">
      <formula>300</formula>
    </cfRule>
  </conditionalFormatting>
  <conditionalFormatting sqref="P2295:P2297 L2295:L2297">
    <cfRule type="cellIs" dxfId="2490" priority="2920" operator="greaterThanOrEqual">
      <formula>5</formula>
    </cfRule>
  </conditionalFormatting>
  <conditionalFormatting sqref="L2295:L2297">
    <cfRule type="cellIs" dxfId="2489" priority="2921" operator="greaterThanOrEqual">
      <formula>2</formula>
    </cfRule>
  </conditionalFormatting>
  <conditionalFormatting sqref="M2295:M2297">
    <cfRule type="cellIs" dxfId="2488" priority="2922" operator="greaterThanOrEqual">
      <formula>60</formula>
    </cfRule>
  </conditionalFormatting>
  <conditionalFormatting sqref="M2295:M2297">
    <cfRule type="cellIs" dxfId="2487" priority="2923" operator="greaterThanOrEqual">
      <formula>30</formula>
    </cfRule>
  </conditionalFormatting>
  <conditionalFormatting sqref="R2295:R2297">
    <cfRule type="cellIs" dxfId="2486" priority="2924" operator="greaterThanOrEqual">
      <formula>600</formula>
    </cfRule>
  </conditionalFormatting>
  <conditionalFormatting sqref="R2295:R2297">
    <cfRule type="cellIs" dxfId="2485" priority="2925" operator="greaterThanOrEqual">
      <formula>260</formula>
    </cfRule>
  </conditionalFormatting>
  <conditionalFormatting sqref="S2295:S2297">
    <cfRule type="containsText" dxfId="2484" priority="2926" operator="containsText" text="&lt;">
      <formula>NOT(ISERROR(SEARCH(("&lt;"),(S2295))))</formula>
    </cfRule>
  </conditionalFormatting>
  <conditionalFormatting sqref="S2295:S2297">
    <cfRule type="containsText" dxfId="2483" priority="2927" operator="containsText" text="ND">
      <formula>NOT(ISERROR(SEARCH(("ND"),(S2295))))</formula>
    </cfRule>
  </conditionalFormatting>
  <conditionalFormatting sqref="N2295:N2297 S2295:S2297">
    <cfRule type="cellIs" dxfId="2482" priority="2928" operator="greaterThanOrEqual">
      <formula>200</formula>
    </cfRule>
  </conditionalFormatting>
  <conditionalFormatting sqref="S2295:S2297">
    <cfRule type="cellIs" dxfId="2481" priority="2929" operator="greaterThanOrEqual">
      <formula>130</formula>
    </cfRule>
  </conditionalFormatting>
  <conditionalFormatting sqref="N2295:N2297">
    <cfRule type="cellIs" dxfId="2480" priority="2930" operator="greaterThanOrEqual">
      <formula>120</formula>
    </cfRule>
  </conditionalFormatting>
  <conditionalFormatting sqref="O2295:Q2297">
    <cfRule type="containsText" dxfId="2479" priority="2931" operator="containsText" text="ND">
      <formula>NOT(ISERROR(SEARCH(("ND"),(O2295))))</formula>
    </cfRule>
  </conditionalFormatting>
  <conditionalFormatting sqref="O2295:O2297">
    <cfRule type="cellIs" dxfId="2478" priority="2932" operator="greaterThanOrEqual">
      <formula>250</formula>
    </cfRule>
  </conditionalFormatting>
  <conditionalFormatting sqref="O2295:O2297">
    <cfRule type="cellIs" dxfId="2477" priority="2933" operator="greaterThanOrEqual">
      <formula>175</formula>
    </cfRule>
  </conditionalFormatting>
  <conditionalFormatting sqref="P2295:P2297">
    <cfRule type="cellIs" dxfId="2476" priority="2934" operator="greaterThanOrEqual">
      <formula>2.5</formula>
    </cfRule>
  </conditionalFormatting>
  <conditionalFormatting sqref="Q2295:Q2297">
    <cfRule type="cellIs" dxfId="2475" priority="2935" operator="greaterThanOrEqual">
      <formula>500</formula>
    </cfRule>
  </conditionalFormatting>
  <conditionalFormatting sqref="Q2295:Q2297">
    <cfRule type="cellIs" dxfId="2474" priority="2936" operator="greaterThanOrEqual">
      <formula>300</formula>
    </cfRule>
  </conditionalFormatting>
  <conditionalFormatting sqref="P2434 L2434">
    <cfRule type="cellIs" dxfId="2473" priority="2903" operator="greaterThanOrEqual">
      <formula>5</formula>
    </cfRule>
  </conditionalFormatting>
  <conditionalFormatting sqref="L2434">
    <cfRule type="cellIs" dxfId="2472" priority="2904" operator="greaterThanOrEqual">
      <formula>2</formula>
    </cfRule>
  </conditionalFormatting>
  <conditionalFormatting sqref="M2434">
    <cfRule type="cellIs" dxfId="2471" priority="2905" operator="greaterThanOrEqual">
      <formula>60</formula>
    </cfRule>
  </conditionalFormatting>
  <conditionalFormatting sqref="M2434">
    <cfRule type="cellIs" dxfId="2470" priority="2906" operator="greaterThanOrEqual">
      <formula>30</formula>
    </cfRule>
  </conditionalFormatting>
  <conditionalFormatting sqref="R2434">
    <cfRule type="cellIs" dxfId="2469" priority="2907" operator="greaterThanOrEqual">
      <formula>600</formula>
    </cfRule>
  </conditionalFormatting>
  <conditionalFormatting sqref="R2434">
    <cfRule type="cellIs" dxfId="2468" priority="2908" operator="greaterThanOrEqual">
      <formula>260</formula>
    </cfRule>
  </conditionalFormatting>
  <conditionalFormatting sqref="S2434">
    <cfRule type="containsText" dxfId="2467" priority="2909" operator="containsText" text="&lt;">
      <formula>NOT(ISERROR(SEARCH(("&lt;"),(S2434))))</formula>
    </cfRule>
  </conditionalFormatting>
  <conditionalFormatting sqref="S2434">
    <cfRule type="containsText" dxfId="2466" priority="2910" operator="containsText" text="ND">
      <formula>NOT(ISERROR(SEARCH(("ND"),(S2434))))</formula>
    </cfRule>
  </conditionalFormatting>
  <conditionalFormatting sqref="N2434 S2434">
    <cfRule type="cellIs" dxfId="2465" priority="2911" operator="greaterThanOrEqual">
      <formula>200</formula>
    </cfRule>
  </conditionalFormatting>
  <conditionalFormatting sqref="S2434">
    <cfRule type="cellIs" dxfId="2464" priority="2912" operator="greaterThanOrEqual">
      <formula>130</formula>
    </cfRule>
  </conditionalFormatting>
  <conditionalFormatting sqref="N2434">
    <cfRule type="cellIs" dxfId="2463" priority="2913" operator="greaterThanOrEqual">
      <formula>120</formula>
    </cfRule>
  </conditionalFormatting>
  <conditionalFormatting sqref="O2434:Q2434">
    <cfRule type="containsText" dxfId="2462" priority="2914" operator="containsText" text="ND">
      <formula>NOT(ISERROR(SEARCH(("ND"),(O2434))))</formula>
    </cfRule>
  </conditionalFormatting>
  <conditionalFormatting sqref="O2434">
    <cfRule type="cellIs" dxfId="2461" priority="2915" operator="greaterThanOrEqual">
      <formula>250</formula>
    </cfRule>
  </conditionalFormatting>
  <conditionalFormatting sqref="O2434">
    <cfRule type="cellIs" dxfId="2460" priority="2916" operator="greaterThanOrEqual">
      <formula>175</formula>
    </cfRule>
  </conditionalFormatting>
  <conditionalFormatting sqref="P2434">
    <cfRule type="cellIs" dxfId="2459" priority="2917" operator="greaterThanOrEqual">
      <formula>2.5</formula>
    </cfRule>
  </conditionalFormatting>
  <conditionalFormatting sqref="Q2434">
    <cfRule type="cellIs" dxfId="2458" priority="2918" operator="greaterThanOrEqual">
      <formula>500</formula>
    </cfRule>
  </conditionalFormatting>
  <conditionalFormatting sqref="Q2434">
    <cfRule type="cellIs" dxfId="2457" priority="2919" operator="greaterThanOrEqual">
      <formula>300</formula>
    </cfRule>
  </conditionalFormatting>
  <conditionalFormatting sqref="P1807 L1807">
    <cfRule type="cellIs" dxfId="2456" priority="2886" operator="greaterThanOrEqual">
      <formula>5</formula>
    </cfRule>
  </conditionalFormatting>
  <conditionalFormatting sqref="L1807">
    <cfRule type="cellIs" dxfId="2455" priority="2887" operator="greaterThanOrEqual">
      <formula>2</formula>
    </cfRule>
  </conditionalFormatting>
  <conditionalFormatting sqref="M1807">
    <cfRule type="cellIs" dxfId="2454" priority="2888" operator="greaterThanOrEqual">
      <formula>60</formula>
    </cfRule>
  </conditionalFormatting>
  <conditionalFormatting sqref="M1807">
    <cfRule type="cellIs" dxfId="2453" priority="2889" operator="greaterThanOrEqual">
      <formula>30</formula>
    </cfRule>
  </conditionalFormatting>
  <conditionalFormatting sqref="R1807">
    <cfRule type="cellIs" dxfId="2452" priority="2890" operator="greaterThanOrEqual">
      <formula>600</formula>
    </cfRule>
  </conditionalFormatting>
  <conditionalFormatting sqref="R1807">
    <cfRule type="cellIs" dxfId="2451" priority="2891" operator="greaterThanOrEqual">
      <formula>260</formula>
    </cfRule>
  </conditionalFormatting>
  <conditionalFormatting sqref="S1807">
    <cfRule type="containsText" dxfId="2450" priority="2892" operator="containsText" text="&lt;">
      <formula>NOT(ISERROR(SEARCH(("&lt;"),(S1807))))</formula>
    </cfRule>
  </conditionalFormatting>
  <conditionalFormatting sqref="S1807">
    <cfRule type="containsText" dxfId="2449" priority="2893" operator="containsText" text="ND">
      <formula>NOT(ISERROR(SEARCH(("ND"),(S1807))))</formula>
    </cfRule>
  </conditionalFormatting>
  <conditionalFormatting sqref="N1807 S1807">
    <cfRule type="cellIs" dxfId="2448" priority="2894" operator="greaterThanOrEqual">
      <formula>200</formula>
    </cfRule>
  </conditionalFormatting>
  <conditionalFormatting sqref="S1807">
    <cfRule type="cellIs" dxfId="2447" priority="2895" operator="greaterThanOrEqual">
      <formula>130</formula>
    </cfRule>
  </conditionalFormatting>
  <conditionalFormatting sqref="N1807">
    <cfRule type="cellIs" dxfId="2446" priority="2896" operator="greaterThanOrEqual">
      <formula>120</formula>
    </cfRule>
  </conditionalFormatting>
  <conditionalFormatting sqref="O1807:Q1807">
    <cfRule type="containsText" dxfId="2445" priority="2897" operator="containsText" text="ND">
      <formula>NOT(ISERROR(SEARCH(("ND"),(O1807))))</formula>
    </cfRule>
  </conditionalFormatting>
  <conditionalFormatting sqref="O1807">
    <cfRule type="cellIs" dxfId="2444" priority="2898" operator="greaterThanOrEqual">
      <formula>250</formula>
    </cfRule>
  </conditionalFormatting>
  <conditionalFormatting sqref="O1807">
    <cfRule type="cellIs" dxfId="2443" priority="2899" operator="greaterThanOrEqual">
      <formula>175</formula>
    </cfRule>
  </conditionalFormatting>
  <conditionalFormatting sqref="P1807">
    <cfRule type="cellIs" dxfId="2442" priority="2900" operator="greaterThanOrEqual">
      <formula>2.5</formula>
    </cfRule>
  </conditionalFormatting>
  <conditionalFormatting sqref="Q1807">
    <cfRule type="cellIs" dxfId="2441" priority="2901" operator="greaterThanOrEqual">
      <formula>500</formula>
    </cfRule>
  </conditionalFormatting>
  <conditionalFormatting sqref="Q1807">
    <cfRule type="cellIs" dxfId="2440" priority="2902" operator="greaterThanOrEqual">
      <formula>300</formula>
    </cfRule>
  </conditionalFormatting>
  <conditionalFormatting sqref="L2017 P2017">
    <cfRule type="cellIs" dxfId="2439" priority="2869" operator="greaterThanOrEqual">
      <formula>5</formula>
    </cfRule>
  </conditionalFormatting>
  <conditionalFormatting sqref="L2017">
    <cfRule type="cellIs" dxfId="2438" priority="2870" operator="greaterThanOrEqual">
      <formula>2</formula>
    </cfRule>
  </conditionalFormatting>
  <conditionalFormatting sqref="M2017">
    <cfRule type="cellIs" dxfId="2437" priority="2871" operator="greaterThanOrEqual">
      <formula>60</formula>
    </cfRule>
  </conditionalFormatting>
  <conditionalFormatting sqref="M2017">
    <cfRule type="cellIs" dxfId="2436" priority="2872" operator="greaterThanOrEqual">
      <formula>30</formula>
    </cfRule>
  </conditionalFormatting>
  <conditionalFormatting sqref="R2017">
    <cfRule type="cellIs" dxfId="2435" priority="2873" operator="greaterThanOrEqual">
      <formula>600</formula>
    </cfRule>
  </conditionalFormatting>
  <conditionalFormatting sqref="R2017">
    <cfRule type="cellIs" dxfId="2434" priority="2874" operator="greaterThanOrEqual">
      <formula>260</formula>
    </cfRule>
  </conditionalFormatting>
  <conditionalFormatting sqref="S2017">
    <cfRule type="containsText" dxfId="2433" priority="2875" operator="containsText" text="&lt;">
      <formula>NOT(ISERROR(SEARCH(("&lt;"),(S2017))))</formula>
    </cfRule>
  </conditionalFormatting>
  <conditionalFormatting sqref="S2017">
    <cfRule type="containsText" dxfId="2432" priority="2876" operator="containsText" text="ND">
      <formula>NOT(ISERROR(SEARCH(("ND"),(S2017))))</formula>
    </cfRule>
  </conditionalFormatting>
  <conditionalFormatting sqref="S2017 N2017">
    <cfRule type="cellIs" dxfId="2431" priority="2877" operator="greaterThanOrEqual">
      <formula>200</formula>
    </cfRule>
  </conditionalFormatting>
  <conditionalFormatting sqref="S2017">
    <cfRule type="cellIs" dxfId="2430" priority="2878" operator="greaterThanOrEqual">
      <formula>130</formula>
    </cfRule>
  </conditionalFormatting>
  <conditionalFormatting sqref="N2017">
    <cfRule type="cellIs" dxfId="2429" priority="2879" operator="greaterThanOrEqual">
      <formula>120</formula>
    </cfRule>
  </conditionalFormatting>
  <conditionalFormatting sqref="O2017:Q2017">
    <cfRule type="containsText" dxfId="2428" priority="2880" operator="containsText" text="ND">
      <formula>NOT(ISERROR(SEARCH(("ND"),(O2017))))</formula>
    </cfRule>
  </conditionalFormatting>
  <conditionalFormatting sqref="O2017">
    <cfRule type="cellIs" dxfId="2427" priority="2881" operator="greaterThanOrEqual">
      <formula>250</formula>
    </cfRule>
  </conditionalFormatting>
  <conditionalFormatting sqref="O2017">
    <cfRule type="cellIs" dxfId="2426" priority="2882" operator="greaterThanOrEqual">
      <formula>175</formula>
    </cfRule>
  </conditionalFormatting>
  <conditionalFormatting sqref="P2017">
    <cfRule type="cellIs" dxfId="2425" priority="2883" operator="greaterThanOrEqual">
      <formula>2.5</formula>
    </cfRule>
  </conditionalFormatting>
  <conditionalFormatting sqref="Q2017">
    <cfRule type="cellIs" dxfId="2424" priority="2884" operator="greaterThanOrEqual">
      <formula>500</formula>
    </cfRule>
  </conditionalFormatting>
  <conditionalFormatting sqref="Q2017">
    <cfRule type="cellIs" dxfId="2423" priority="2885" operator="greaterThanOrEqual">
      <formula>300</formula>
    </cfRule>
  </conditionalFormatting>
  <conditionalFormatting sqref="P2019:P2020 L2019:L2020">
    <cfRule type="cellIs" dxfId="2422" priority="2852" operator="greaterThanOrEqual">
      <formula>5</formula>
    </cfRule>
  </conditionalFormatting>
  <conditionalFormatting sqref="L2019:L2020">
    <cfRule type="cellIs" dxfId="2421" priority="2853" operator="greaterThanOrEqual">
      <formula>2</formula>
    </cfRule>
  </conditionalFormatting>
  <conditionalFormatting sqref="M2019:M2020">
    <cfRule type="cellIs" dxfId="2420" priority="2854" operator="greaterThanOrEqual">
      <formula>60</formula>
    </cfRule>
  </conditionalFormatting>
  <conditionalFormatting sqref="M2019:M2020">
    <cfRule type="cellIs" dxfId="2419" priority="2855" operator="greaterThanOrEqual">
      <formula>30</formula>
    </cfRule>
  </conditionalFormatting>
  <conditionalFormatting sqref="R2019:R2020">
    <cfRule type="cellIs" dxfId="2418" priority="2856" operator="greaterThanOrEqual">
      <formula>600</formula>
    </cfRule>
  </conditionalFormatting>
  <conditionalFormatting sqref="R2019:R2020">
    <cfRule type="cellIs" dxfId="2417" priority="2857" operator="greaterThanOrEqual">
      <formula>260</formula>
    </cfRule>
  </conditionalFormatting>
  <conditionalFormatting sqref="S2019:S2020">
    <cfRule type="containsText" dxfId="2416" priority="2858" operator="containsText" text="&lt;">
      <formula>NOT(ISERROR(SEARCH(("&lt;"),(S2019))))</formula>
    </cfRule>
  </conditionalFormatting>
  <conditionalFormatting sqref="S2019:S2020">
    <cfRule type="containsText" dxfId="2415" priority="2859" operator="containsText" text="ND">
      <formula>NOT(ISERROR(SEARCH(("ND"),(S2019))))</formula>
    </cfRule>
  </conditionalFormatting>
  <conditionalFormatting sqref="N2019:N2020 S2019:S2020">
    <cfRule type="cellIs" dxfId="2414" priority="2860" operator="greaterThanOrEqual">
      <formula>200</formula>
    </cfRule>
  </conditionalFormatting>
  <conditionalFormatting sqref="S2019:S2020">
    <cfRule type="cellIs" dxfId="2413" priority="2861" operator="greaterThanOrEqual">
      <formula>130</formula>
    </cfRule>
  </conditionalFormatting>
  <conditionalFormatting sqref="N2019:N2020">
    <cfRule type="cellIs" dxfId="2412" priority="2862" operator="greaterThanOrEqual">
      <formula>120</formula>
    </cfRule>
  </conditionalFormatting>
  <conditionalFormatting sqref="O2019:Q2020">
    <cfRule type="containsText" dxfId="2411" priority="2863" operator="containsText" text="ND">
      <formula>NOT(ISERROR(SEARCH(("ND"),(O2019))))</formula>
    </cfRule>
  </conditionalFormatting>
  <conditionalFormatting sqref="O2019:O2020">
    <cfRule type="cellIs" dxfId="2410" priority="2864" operator="greaterThanOrEqual">
      <formula>250</formula>
    </cfRule>
  </conditionalFormatting>
  <conditionalFormatting sqref="O2019:O2020">
    <cfRule type="cellIs" dxfId="2409" priority="2865" operator="greaterThanOrEqual">
      <formula>175</formula>
    </cfRule>
  </conditionalFormatting>
  <conditionalFormatting sqref="P2019:P2020">
    <cfRule type="cellIs" dxfId="2408" priority="2866" operator="greaterThanOrEqual">
      <formula>2.5</formula>
    </cfRule>
  </conditionalFormatting>
  <conditionalFormatting sqref="Q2019:Q2020">
    <cfRule type="cellIs" dxfId="2407" priority="2867" operator="greaterThanOrEqual">
      <formula>500</formula>
    </cfRule>
  </conditionalFormatting>
  <conditionalFormatting sqref="Q2019:Q2020">
    <cfRule type="cellIs" dxfId="2406" priority="2868" operator="greaterThanOrEqual">
      <formula>300</formula>
    </cfRule>
  </conditionalFormatting>
  <conditionalFormatting sqref="P2021 L2021">
    <cfRule type="cellIs" dxfId="2405" priority="2835" operator="greaterThanOrEqual">
      <formula>5</formula>
    </cfRule>
  </conditionalFormatting>
  <conditionalFormatting sqref="L2021">
    <cfRule type="cellIs" dxfId="2404" priority="2836" operator="greaterThanOrEqual">
      <formula>2</formula>
    </cfRule>
  </conditionalFormatting>
  <conditionalFormatting sqref="M2021">
    <cfRule type="cellIs" dxfId="2403" priority="2837" operator="greaterThanOrEqual">
      <formula>60</formula>
    </cfRule>
  </conditionalFormatting>
  <conditionalFormatting sqref="M2021">
    <cfRule type="cellIs" dxfId="2402" priority="2838" operator="greaterThanOrEqual">
      <formula>30</formula>
    </cfRule>
  </conditionalFormatting>
  <conditionalFormatting sqref="R2021">
    <cfRule type="cellIs" dxfId="2401" priority="2839" operator="greaterThanOrEqual">
      <formula>600</formula>
    </cfRule>
  </conditionalFormatting>
  <conditionalFormatting sqref="R2021">
    <cfRule type="cellIs" dxfId="2400" priority="2840" operator="greaterThanOrEqual">
      <formula>260</formula>
    </cfRule>
  </conditionalFormatting>
  <conditionalFormatting sqref="S2021">
    <cfRule type="containsText" dxfId="2399" priority="2841" operator="containsText" text="&lt;">
      <formula>NOT(ISERROR(SEARCH(("&lt;"),(S2021))))</formula>
    </cfRule>
  </conditionalFormatting>
  <conditionalFormatting sqref="S2021">
    <cfRule type="containsText" dxfId="2398" priority="2842" operator="containsText" text="ND">
      <formula>NOT(ISERROR(SEARCH(("ND"),(S2021))))</formula>
    </cfRule>
  </conditionalFormatting>
  <conditionalFormatting sqref="N2021 S2021">
    <cfRule type="cellIs" dxfId="2397" priority="2843" operator="greaterThanOrEqual">
      <formula>200</formula>
    </cfRule>
  </conditionalFormatting>
  <conditionalFormatting sqref="S2021">
    <cfRule type="cellIs" dxfId="2396" priority="2844" operator="greaterThanOrEqual">
      <formula>130</formula>
    </cfRule>
  </conditionalFormatting>
  <conditionalFormatting sqref="N2021">
    <cfRule type="cellIs" dxfId="2395" priority="2845" operator="greaterThanOrEqual">
      <formula>120</formula>
    </cfRule>
  </conditionalFormatting>
  <conditionalFormatting sqref="O2021:Q2021">
    <cfRule type="containsText" dxfId="2394" priority="2846" operator="containsText" text="ND">
      <formula>NOT(ISERROR(SEARCH(("ND"),(O2021))))</formula>
    </cfRule>
  </conditionalFormatting>
  <conditionalFormatting sqref="O2021">
    <cfRule type="cellIs" dxfId="2393" priority="2847" operator="greaterThanOrEqual">
      <formula>250</formula>
    </cfRule>
  </conditionalFormatting>
  <conditionalFormatting sqref="O2021">
    <cfRule type="cellIs" dxfId="2392" priority="2848" operator="greaterThanOrEqual">
      <formula>175</formula>
    </cfRule>
  </conditionalFormatting>
  <conditionalFormatting sqref="P2021">
    <cfRule type="cellIs" dxfId="2391" priority="2849" operator="greaterThanOrEqual">
      <formula>2.5</formula>
    </cfRule>
  </conditionalFormatting>
  <conditionalFormatting sqref="Q2021">
    <cfRule type="cellIs" dxfId="2390" priority="2850" operator="greaterThanOrEqual">
      <formula>500</formula>
    </cfRule>
  </conditionalFormatting>
  <conditionalFormatting sqref="Q2021">
    <cfRule type="cellIs" dxfId="2389" priority="2851" operator="greaterThanOrEqual">
      <formula>300</formula>
    </cfRule>
  </conditionalFormatting>
  <conditionalFormatting sqref="P2298 L2298">
    <cfRule type="cellIs" dxfId="2388" priority="2818" operator="greaterThanOrEqual">
      <formula>5</formula>
    </cfRule>
  </conditionalFormatting>
  <conditionalFormatting sqref="L2298">
    <cfRule type="cellIs" dxfId="2387" priority="2819" operator="greaterThanOrEqual">
      <formula>2</formula>
    </cfRule>
  </conditionalFormatting>
  <conditionalFormatting sqref="M2298">
    <cfRule type="cellIs" dxfId="2386" priority="2820" operator="greaterThanOrEqual">
      <formula>60</formula>
    </cfRule>
  </conditionalFormatting>
  <conditionalFormatting sqref="M2298">
    <cfRule type="cellIs" dxfId="2385" priority="2821" operator="greaterThanOrEqual">
      <formula>30</formula>
    </cfRule>
  </conditionalFormatting>
  <conditionalFormatting sqref="R2298">
    <cfRule type="cellIs" dxfId="2384" priority="2822" operator="greaterThanOrEqual">
      <formula>600</formula>
    </cfRule>
  </conditionalFormatting>
  <conditionalFormatting sqref="R2298">
    <cfRule type="cellIs" dxfId="2383" priority="2823" operator="greaterThanOrEqual">
      <formula>260</formula>
    </cfRule>
  </conditionalFormatting>
  <conditionalFormatting sqref="S2298">
    <cfRule type="containsText" dxfId="2382" priority="2824" operator="containsText" text="&lt;">
      <formula>NOT(ISERROR(SEARCH(("&lt;"),(S2298))))</formula>
    </cfRule>
  </conditionalFormatting>
  <conditionalFormatting sqref="S2298">
    <cfRule type="containsText" dxfId="2381" priority="2825" operator="containsText" text="ND">
      <formula>NOT(ISERROR(SEARCH(("ND"),(S2298))))</formula>
    </cfRule>
  </conditionalFormatting>
  <conditionalFormatting sqref="N2298 S2298">
    <cfRule type="cellIs" dxfId="2380" priority="2826" operator="greaterThanOrEqual">
      <formula>200</formula>
    </cfRule>
  </conditionalFormatting>
  <conditionalFormatting sqref="S2298">
    <cfRule type="cellIs" dxfId="2379" priority="2827" operator="greaterThanOrEqual">
      <formula>130</formula>
    </cfRule>
  </conditionalFormatting>
  <conditionalFormatting sqref="N2298">
    <cfRule type="cellIs" dxfId="2378" priority="2828" operator="greaterThanOrEqual">
      <formula>120</formula>
    </cfRule>
  </conditionalFormatting>
  <conditionalFormatting sqref="O2298:Q2298">
    <cfRule type="containsText" dxfId="2377" priority="2829" operator="containsText" text="ND">
      <formula>NOT(ISERROR(SEARCH(("ND"),(O2298))))</formula>
    </cfRule>
  </conditionalFormatting>
  <conditionalFormatting sqref="O2298">
    <cfRule type="cellIs" dxfId="2376" priority="2830" operator="greaterThanOrEqual">
      <formula>250</formula>
    </cfRule>
  </conditionalFormatting>
  <conditionalFormatting sqref="O2298">
    <cfRule type="cellIs" dxfId="2375" priority="2831" operator="greaterThanOrEqual">
      <formula>175</formula>
    </cfRule>
  </conditionalFormatting>
  <conditionalFormatting sqref="P2298">
    <cfRule type="cellIs" dxfId="2374" priority="2832" operator="greaterThanOrEqual">
      <formula>2.5</formula>
    </cfRule>
  </conditionalFormatting>
  <conditionalFormatting sqref="Q2298">
    <cfRule type="cellIs" dxfId="2373" priority="2833" operator="greaterThanOrEqual">
      <formula>500</formula>
    </cfRule>
  </conditionalFormatting>
  <conditionalFormatting sqref="Q2298">
    <cfRule type="cellIs" dxfId="2372" priority="2834" operator="greaterThanOrEqual">
      <formula>300</formula>
    </cfRule>
  </conditionalFormatting>
  <conditionalFormatting sqref="P2436 L2436">
    <cfRule type="cellIs" dxfId="2371" priority="2801" operator="greaterThanOrEqual">
      <formula>5</formula>
    </cfRule>
  </conditionalFormatting>
  <conditionalFormatting sqref="L2436">
    <cfRule type="cellIs" dxfId="2370" priority="2802" operator="greaterThanOrEqual">
      <formula>2</formula>
    </cfRule>
  </conditionalFormatting>
  <conditionalFormatting sqref="M2436">
    <cfRule type="cellIs" dxfId="2369" priority="2803" operator="greaterThanOrEqual">
      <formula>60</formula>
    </cfRule>
  </conditionalFormatting>
  <conditionalFormatting sqref="M2436">
    <cfRule type="cellIs" dxfId="2368" priority="2804" operator="greaterThanOrEqual">
      <formula>30</formula>
    </cfRule>
  </conditionalFormatting>
  <conditionalFormatting sqref="R2436">
    <cfRule type="cellIs" dxfId="2367" priority="2805" operator="greaterThanOrEqual">
      <formula>600</formula>
    </cfRule>
  </conditionalFormatting>
  <conditionalFormatting sqref="R2436">
    <cfRule type="cellIs" dxfId="2366" priority="2806" operator="greaterThanOrEqual">
      <formula>260</formula>
    </cfRule>
  </conditionalFormatting>
  <conditionalFormatting sqref="S2436">
    <cfRule type="containsText" dxfId="2365" priority="2807" operator="containsText" text="&lt;">
      <formula>NOT(ISERROR(SEARCH(("&lt;"),(S2436))))</formula>
    </cfRule>
  </conditionalFormatting>
  <conditionalFormatting sqref="S2436">
    <cfRule type="containsText" dxfId="2364" priority="2808" operator="containsText" text="ND">
      <formula>NOT(ISERROR(SEARCH(("ND"),(S2436))))</formula>
    </cfRule>
  </conditionalFormatting>
  <conditionalFormatting sqref="N2436 S2436">
    <cfRule type="cellIs" dxfId="2363" priority="2809" operator="greaterThanOrEqual">
      <formula>200</formula>
    </cfRule>
  </conditionalFormatting>
  <conditionalFormatting sqref="S2436">
    <cfRule type="cellIs" dxfId="2362" priority="2810" operator="greaterThanOrEqual">
      <formula>130</formula>
    </cfRule>
  </conditionalFormatting>
  <conditionalFormatting sqref="N2436">
    <cfRule type="cellIs" dxfId="2361" priority="2811" operator="greaterThanOrEqual">
      <formula>120</formula>
    </cfRule>
  </conditionalFormatting>
  <conditionalFormatting sqref="O2436:Q2436">
    <cfRule type="containsText" dxfId="2360" priority="2812" operator="containsText" text="ND">
      <formula>NOT(ISERROR(SEARCH(("ND"),(O2436))))</formula>
    </cfRule>
  </conditionalFormatting>
  <conditionalFormatting sqref="O2436">
    <cfRule type="cellIs" dxfId="2359" priority="2813" operator="greaterThanOrEqual">
      <formula>250</formula>
    </cfRule>
  </conditionalFormatting>
  <conditionalFormatting sqref="O2436">
    <cfRule type="cellIs" dxfId="2358" priority="2814" operator="greaterThanOrEqual">
      <formula>175</formula>
    </cfRule>
  </conditionalFormatting>
  <conditionalFormatting sqref="P2436">
    <cfRule type="cellIs" dxfId="2357" priority="2815" operator="greaterThanOrEqual">
      <formula>2.5</formula>
    </cfRule>
  </conditionalFormatting>
  <conditionalFormatting sqref="Q2436">
    <cfRule type="cellIs" dxfId="2356" priority="2816" operator="greaterThanOrEqual">
      <formula>500</formula>
    </cfRule>
  </conditionalFormatting>
  <conditionalFormatting sqref="Q2436">
    <cfRule type="cellIs" dxfId="2355" priority="2817" operator="greaterThanOrEqual">
      <formula>300</formula>
    </cfRule>
  </conditionalFormatting>
  <conditionalFormatting sqref="S2127">
    <cfRule type="containsText" dxfId="2354" priority="2780" operator="containsText" text="&lt;">
      <formula>NOT(ISERROR(SEARCH(("&lt;"),(S2127))))</formula>
    </cfRule>
  </conditionalFormatting>
  <conditionalFormatting sqref="S2127">
    <cfRule type="containsText" dxfId="2353" priority="2781" operator="containsText" text="ND">
      <formula>NOT(ISERROR(SEARCH(("ND"),(S2127))))</formula>
    </cfRule>
  </conditionalFormatting>
  <conditionalFormatting sqref="S2127">
    <cfRule type="cellIs" dxfId="2352" priority="2782" operator="greaterThanOrEqual">
      <formula>200</formula>
    </cfRule>
  </conditionalFormatting>
  <conditionalFormatting sqref="S2127">
    <cfRule type="cellIs" dxfId="2351" priority="2783" operator="greaterThanOrEqual">
      <formula>130</formula>
    </cfRule>
  </conditionalFormatting>
  <conditionalFormatting sqref="L2127">
    <cfRule type="cellIs" dxfId="2350" priority="2784" operator="greaterThanOrEqual">
      <formula>5</formula>
    </cfRule>
  </conditionalFormatting>
  <conditionalFormatting sqref="L2127">
    <cfRule type="cellIs" dxfId="2349" priority="2785" operator="greaterThanOrEqual">
      <formula>2</formula>
    </cfRule>
  </conditionalFormatting>
  <conditionalFormatting sqref="M2127">
    <cfRule type="cellIs" dxfId="2348" priority="2786" operator="greaterThanOrEqual">
      <formula>60</formula>
    </cfRule>
  </conditionalFormatting>
  <conditionalFormatting sqref="M2127">
    <cfRule type="cellIs" dxfId="2347" priority="2787" operator="greaterThanOrEqual">
      <formula>30</formula>
    </cfRule>
  </conditionalFormatting>
  <conditionalFormatting sqref="R2127">
    <cfRule type="cellIs" dxfId="2346" priority="2788" operator="greaterThanOrEqual">
      <formula>600</formula>
    </cfRule>
  </conditionalFormatting>
  <conditionalFormatting sqref="R2127">
    <cfRule type="cellIs" dxfId="2345" priority="2789" operator="greaterThanOrEqual">
      <formula>260</formula>
    </cfRule>
  </conditionalFormatting>
  <conditionalFormatting sqref="N2127">
    <cfRule type="cellIs" dxfId="2344" priority="2790" operator="greaterThanOrEqual">
      <formula>200</formula>
    </cfRule>
  </conditionalFormatting>
  <conditionalFormatting sqref="N2127">
    <cfRule type="cellIs" dxfId="2343" priority="2791" operator="greaterThanOrEqual">
      <formula>120</formula>
    </cfRule>
  </conditionalFormatting>
  <conditionalFormatting sqref="O2127">
    <cfRule type="containsText" dxfId="2342" priority="2792" operator="containsText" text="ND">
      <formula>NOT(ISERROR(SEARCH(("ND"),(O2127))))</formula>
    </cfRule>
  </conditionalFormatting>
  <conditionalFormatting sqref="O2127">
    <cfRule type="cellIs" dxfId="2341" priority="2793" operator="greaterThanOrEqual">
      <formula>250</formula>
    </cfRule>
  </conditionalFormatting>
  <conditionalFormatting sqref="O2127">
    <cfRule type="cellIs" dxfId="2340" priority="2794" operator="greaterThanOrEqual">
      <formula>175</formula>
    </cfRule>
  </conditionalFormatting>
  <conditionalFormatting sqref="P2127">
    <cfRule type="containsText" dxfId="2339" priority="2795" operator="containsText" text="ND">
      <formula>NOT(ISERROR(SEARCH(("ND"),(P2127))))</formula>
    </cfRule>
  </conditionalFormatting>
  <conditionalFormatting sqref="P2127">
    <cfRule type="cellIs" dxfId="2338" priority="2796" operator="greaterThanOrEqual">
      <formula>5</formula>
    </cfRule>
  </conditionalFormatting>
  <conditionalFormatting sqref="P2127">
    <cfRule type="cellIs" dxfId="2337" priority="2797" operator="greaterThanOrEqual">
      <formula>2.5</formula>
    </cfRule>
  </conditionalFormatting>
  <conditionalFormatting sqref="Q2127">
    <cfRule type="containsText" dxfId="2336" priority="2798" operator="containsText" text="ND">
      <formula>NOT(ISERROR(SEARCH(("ND"),(Q2127))))</formula>
    </cfRule>
  </conditionalFormatting>
  <conditionalFormatting sqref="Q2127">
    <cfRule type="cellIs" dxfId="2335" priority="2799" operator="greaterThanOrEqual">
      <formula>500</formula>
    </cfRule>
  </conditionalFormatting>
  <conditionalFormatting sqref="Q2127">
    <cfRule type="cellIs" dxfId="2334" priority="2800" operator="greaterThanOrEqual">
      <formula>300</formula>
    </cfRule>
  </conditionalFormatting>
  <conditionalFormatting sqref="L1686">
    <cfRule type="cellIs" dxfId="2333" priority="2717" operator="greaterThanOrEqual">
      <formula>5</formula>
    </cfRule>
  </conditionalFormatting>
  <conditionalFormatting sqref="L1686">
    <cfRule type="cellIs" dxfId="2332" priority="2718" operator="greaterThanOrEqual">
      <formula>2</formula>
    </cfRule>
  </conditionalFormatting>
  <conditionalFormatting sqref="M1686">
    <cfRule type="cellIs" dxfId="2331" priority="2719" operator="greaterThanOrEqual">
      <formula>60</formula>
    </cfRule>
  </conditionalFormatting>
  <conditionalFormatting sqref="M1686">
    <cfRule type="cellIs" dxfId="2330" priority="2720" operator="greaterThanOrEqual">
      <formula>30</formula>
    </cfRule>
  </conditionalFormatting>
  <conditionalFormatting sqref="R1686">
    <cfRule type="cellIs" dxfId="2329" priority="2721" operator="greaterThanOrEqual">
      <formula>600</formula>
    </cfRule>
  </conditionalFormatting>
  <conditionalFormatting sqref="R1686">
    <cfRule type="cellIs" dxfId="2328" priority="2722" operator="greaterThanOrEqual">
      <formula>260</formula>
    </cfRule>
  </conditionalFormatting>
  <conditionalFormatting sqref="S1686">
    <cfRule type="containsText" dxfId="2327" priority="2723" operator="containsText" text="&lt;">
      <formula>NOT(ISERROR(SEARCH(("&lt;"),(S1686))))</formula>
    </cfRule>
  </conditionalFormatting>
  <conditionalFormatting sqref="S1686">
    <cfRule type="containsText" dxfId="2326" priority="2724" operator="containsText" text="ND">
      <formula>NOT(ISERROR(SEARCH(("ND"),(S1686))))</formula>
    </cfRule>
  </conditionalFormatting>
  <conditionalFormatting sqref="S1686">
    <cfRule type="cellIs" dxfId="2325" priority="2725" operator="greaterThanOrEqual">
      <formula>200</formula>
    </cfRule>
  </conditionalFormatting>
  <conditionalFormatting sqref="S1686">
    <cfRule type="cellIs" dxfId="2324" priority="2726" operator="greaterThanOrEqual">
      <formula>130</formula>
    </cfRule>
  </conditionalFormatting>
  <conditionalFormatting sqref="N1686">
    <cfRule type="cellIs" dxfId="2323" priority="2727" operator="greaterThanOrEqual">
      <formula>200</formula>
    </cfRule>
  </conditionalFormatting>
  <conditionalFormatting sqref="N1686">
    <cfRule type="cellIs" dxfId="2322" priority="2728" operator="greaterThanOrEqual">
      <formula>120</formula>
    </cfRule>
  </conditionalFormatting>
  <conditionalFormatting sqref="O1686">
    <cfRule type="containsText" dxfId="2321" priority="2729" operator="containsText" text="ND">
      <formula>NOT(ISERROR(SEARCH(("ND"),(O1686))))</formula>
    </cfRule>
  </conditionalFormatting>
  <conditionalFormatting sqref="O1686">
    <cfRule type="cellIs" dxfId="2320" priority="2730" operator="greaterThanOrEqual">
      <formula>250</formula>
    </cfRule>
  </conditionalFormatting>
  <conditionalFormatting sqref="O1686">
    <cfRule type="cellIs" dxfId="2319" priority="2731" operator="greaterThanOrEqual">
      <formula>175</formula>
    </cfRule>
  </conditionalFormatting>
  <conditionalFormatting sqref="P1686">
    <cfRule type="containsText" dxfId="2318" priority="2732" operator="containsText" text="ND">
      <formula>NOT(ISERROR(SEARCH(("ND"),(P1686))))</formula>
    </cfRule>
  </conditionalFormatting>
  <conditionalFormatting sqref="P1686">
    <cfRule type="cellIs" dxfId="2317" priority="2733" operator="greaterThanOrEqual">
      <formula>5</formula>
    </cfRule>
  </conditionalFormatting>
  <conditionalFormatting sqref="P1686">
    <cfRule type="cellIs" dxfId="2316" priority="2734" operator="greaterThanOrEqual">
      <formula>2.5</formula>
    </cfRule>
  </conditionalFormatting>
  <conditionalFormatting sqref="Q1686">
    <cfRule type="containsText" dxfId="2315" priority="2735" operator="containsText" text="ND">
      <formula>NOT(ISERROR(SEARCH(("ND"),(Q1686))))</formula>
    </cfRule>
  </conditionalFormatting>
  <conditionalFormatting sqref="Q1686">
    <cfRule type="cellIs" dxfId="2314" priority="2736" operator="greaterThanOrEqual">
      <formula>500</formula>
    </cfRule>
  </conditionalFormatting>
  <conditionalFormatting sqref="Q1686">
    <cfRule type="cellIs" dxfId="2313" priority="2737" operator="greaterThanOrEqual">
      <formula>300</formula>
    </cfRule>
  </conditionalFormatting>
  <conditionalFormatting sqref="L1685">
    <cfRule type="cellIs" dxfId="2312" priority="2738" operator="greaterThanOrEqual">
      <formula>5</formula>
    </cfRule>
  </conditionalFormatting>
  <conditionalFormatting sqref="L1685">
    <cfRule type="cellIs" dxfId="2311" priority="2739" operator="greaterThanOrEqual">
      <formula>2</formula>
    </cfRule>
  </conditionalFormatting>
  <conditionalFormatting sqref="M1685">
    <cfRule type="cellIs" dxfId="2310" priority="2740" operator="greaterThanOrEqual">
      <formula>60</formula>
    </cfRule>
  </conditionalFormatting>
  <conditionalFormatting sqref="M1685">
    <cfRule type="cellIs" dxfId="2309" priority="2741" operator="greaterThanOrEqual">
      <formula>30</formula>
    </cfRule>
  </conditionalFormatting>
  <conditionalFormatting sqref="R1685">
    <cfRule type="cellIs" dxfId="2308" priority="2742" operator="greaterThanOrEqual">
      <formula>600</formula>
    </cfRule>
  </conditionalFormatting>
  <conditionalFormatting sqref="R1685">
    <cfRule type="cellIs" dxfId="2307" priority="2743" operator="greaterThanOrEqual">
      <formula>260</formula>
    </cfRule>
  </conditionalFormatting>
  <conditionalFormatting sqref="S1685">
    <cfRule type="containsText" dxfId="2306" priority="2744" operator="containsText" text="&lt;">
      <formula>NOT(ISERROR(SEARCH(("&lt;"),(S1685))))</formula>
    </cfRule>
  </conditionalFormatting>
  <conditionalFormatting sqref="S1685">
    <cfRule type="containsText" dxfId="2305" priority="2745" operator="containsText" text="ND">
      <formula>NOT(ISERROR(SEARCH(("ND"),(S1685))))</formula>
    </cfRule>
  </conditionalFormatting>
  <conditionalFormatting sqref="S1685">
    <cfRule type="cellIs" dxfId="2304" priority="2746" operator="greaterThanOrEqual">
      <formula>200</formula>
    </cfRule>
  </conditionalFormatting>
  <conditionalFormatting sqref="S1685">
    <cfRule type="cellIs" dxfId="2303" priority="2747" operator="greaterThanOrEqual">
      <formula>130</formula>
    </cfRule>
  </conditionalFormatting>
  <conditionalFormatting sqref="N1685">
    <cfRule type="cellIs" dxfId="2302" priority="2748" operator="greaterThanOrEqual">
      <formula>200</formula>
    </cfRule>
  </conditionalFormatting>
  <conditionalFormatting sqref="N1685">
    <cfRule type="cellIs" dxfId="2301" priority="2749" operator="greaterThanOrEqual">
      <formula>120</formula>
    </cfRule>
  </conditionalFormatting>
  <conditionalFormatting sqref="O1685">
    <cfRule type="containsText" dxfId="2300" priority="2750" operator="containsText" text="ND">
      <formula>NOT(ISERROR(SEARCH(("ND"),(O1685))))</formula>
    </cfRule>
  </conditionalFormatting>
  <conditionalFormatting sqref="O1685">
    <cfRule type="cellIs" dxfId="2299" priority="2751" operator="greaterThanOrEqual">
      <formula>250</formula>
    </cfRule>
  </conditionalFormatting>
  <conditionalFormatting sqref="O1685">
    <cfRule type="cellIs" dxfId="2298" priority="2752" operator="greaterThanOrEqual">
      <formula>175</formula>
    </cfRule>
  </conditionalFormatting>
  <conditionalFormatting sqref="P1685">
    <cfRule type="containsText" dxfId="2297" priority="2753" operator="containsText" text="ND">
      <formula>NOT(ISERROR(SEARCH(("ND"),(P1685))))</formula>
    </cfRule>
  </conditionalFormatting>
  <conditionalFormatting sqref="P1685">
    <cfRule type="cellIs" dxfId="2296" priority="2754" operator="greaterThanOrEqual">
      <formula>5</formula>
    </cfRule>
  </conditionalFormatting>
  <conditionalFormatting sqref="P1685">
    <cfRule type="cellIs" dxfId="2295" priority="2755" operator="greaterThanOrEqual">
      <formula>2.5</formula>
    </cfRule>
  </conditionalFormatting>
  <conditionalFormatting sqref="Q1685">
    <cfRule type="containsText" dxfId="2294" priority="2756" operator="containsText" text="ND">
      <formula>NOT(ISERROR(SEARCH(("ND"),(Q1685))))</formula>
    </cfRule>
  </conditionalFormatting>
  <conditionalFormatting sqref="Q1685">
    <cfRule type="cellIs" dxfId="2293" priority="2757" operator="greaterThanOrEqual">
      <formula>500</formula>
    </cfRule>
  </conditionalFormatting>
  <conditionalFormatting sqref="Q1685">
    <cfRule type="cellIs" dxfId="2292" priority="2758" operator="greaterThanOrEqual">
      <formula>300</formula>
    </cfRule>
  </conditionalFormatting>
  <conditionalFormatting sqref="L2022">
    <cfRule type="cellIs" dxfId="2291" priority="2759" operator="greaterThanOrEqual">
      <formula>5</formula>
    </cfRule>
  </conditionalFormatting>
  <conditionalFormatting sqref="L2022">
    <cfRule type="cellIs" dxfId="2290" priority="2760" operator="greaterThanOrEqual">
      <formula>2</formula>
    </cfRule>
  </conditionalFormatting>
  <conditionalFormatting sqref="M2022">
    <cfRule type="cellIs" dxfId="2289" priority="2761" operator="greaterThanOrEqual">
      <formula>60</formula>
    </cfRule>
  </conditionalFormatting>
  <conditionalFormatting sqref="M2022">
    <cfRule type="cellIs" dxfId="2288" priority="2762" operator="greaterThanOrEqual">
      <formula>30</formula>
    </cfRule>
  </conditionalFormatting>
  <conditionalFormatting sqref="R2022">
    <cfRule type="cellIs" dxfId="2287" priority="2763" operator="greaterThanOrEqual">
      <formula>600</formula>
    </cfRule>
  </conditionalFormatting>
  <conditionalFormatting sqref="R2022">
    <cfRule type="cellIs" dxfId="2286" priority="2764" operator="greaterThanOrEqual">
      <formula>260</formula>
    </cfRule>
  </conditionalFormatting>
  <conditionalFormatting sqref="S2022">
    <cfRule type="containsText" dxfId="2285" priority="2765" operator="containsText" text="&lt;">
      <formula>NOT(ISERROR(SEARCH(("&lt;"),(S2022))))</formula>
    </cfRule>
  </conditionalFormatting>
  <conditionalFormatting sqref="S2022">
    <cfRule type="containsText" dxfId="2284" priority="2766" operator="containsText" text="ND">
      <formula>NOT(ISERROR(SEARCH(("ND"),(S2022))))</formula>
    </cfRule>
  </conditionalFormatting>
  <conditionalFormatting sqref="S2022">
    <cfRule type="cellIs" dxfId="2283" priority="2767" operator="greaterThanOrEqual">
      <formula>200</formula>
    </cfRule>
  </conditionalFormatting>
  <conditionalFormatting sqref="S2022">
    <cfRule type="cellIs" dxfId="2282" priority="2768" operator="greaterThanOrEqual">
      <formula>130</formula>
    </cfRule>
  </conditionalFormatting>
  <conditionalFormatting sqref="N2022">
    <cfRule type="cellIs" dxfId="2281" priority="2769" operator="greaterThanOrEqual">
      <formula>200</formula>
    </cfRule>
  </conditionalFormatting>
  <conditionalFormatting sqref="N2022">
    <cfRule type="cellIs" dxfId="2280" priority="2770" operator="greaterThanOrEqual">
      <formula>120</formula>
    </cfRule>
  </conditionalFormatting>
  <conditionalFormatting sqref="O2022">
    <cfRule type="containsText" dxfId="2279" priority="2771" operator="containsText" text="ND">
      <formula>NOT(ISERROR(SEARCH(("ND"),(O2022))))</formula>
    </cfRule>
  </conditionalFormatting>
  <conditionalFormatting sqref="O2022">
    <cfRule type="cellIs" dxfId="2278" priority="2772" operator="greaterThanOrEqual">
      <formula>250</formula>
    </cfRule>
  </conditionalFormatting>
  <conditionalFormatting sqref="O2022">
    <cfRule type="cellIs" dxfId="2277" priority="2773" operator="greaterThanOrEqual">
      <formula>175</formula>
    </cfRule>
  </conditionalFormatting>
  <conditionalFormatting sqref="P2022">
    <cfRule type="containsText" dxfId="2276" priority="2774" operator="containsText" text="ND">
      <formula>NOT(ISERROR(SEARCH(("ND"),(P2022))))</formula>
    </cfRule>
  </conditionalFormatting>
  <conditionalFormatting sqref="P2022">
    <cfRule type="cellIs" dxfId="2275" priority="2775" operator="greaterThanOrEqual">
      <formula>5</formula>
    </cfRule>
  </conditionalFormatting>
  <conditionalFormatting sqref="P2022">
    <cfRule type="cellIs" dxfId="2274" priority="2776" operator="greaterThanOrEqual">
      <formula>2.5</formula>
    </cfRule>
  </conditionalFormatting>
  <conditionalFormatting sqref="Q2022">
    <cfRule type="containsText" dxfId="2273" priority="2777" operator="containsText" text="ND">
      <formula>NOT(ISERROR(SEARCH(("ND"),(Q2022))))</formula>
    </cfRule>
  </conditionalFormatting>
  <conditionalFormatting sqref="Q2022">
    <cfRule type="cellIs" dxfId="2272" priority="2778" operator="greaterThanOrEqual">
      <formula>500</formula>
    </cfRule>
  </conditionalFormatting>
  <conditionalFormatting sqref="Q2022">
    <cfRule type="cellIs" dxfId="2271" priority="2779" operator="greaterThanOrEqual">
      <formula>300</formula>
    </cfRule>
  </conditionalFormatting>
  <conditionalFormatting sqref="L2023">
    <cfRule type="cellIs" dxfId="2270" priority="2633" operator="greaterThanOrEqual">
      <formula>5</formula>
    </cfRule>
  </conditionalFormatting>
  <conditionalFormatting sqref="L2023">
    <cfRule type="cellIs" dxfId="2269" priority="2634" operator="greaterThanOrEqual">
      <formula>2</formula>
    </cfRule>
  </conditionalFormatting>
  <conditionalFormatting sqref="M2023">
    <cfRule type="cellIs" dxfId="2268" priority="2635" operator="greaterThanOrEqual">
      <formula>60</formula>
    </cfRule>
  </conditionalFormatting>
  <conditionalFormatting sqref="M2023">
    <cfRule type="cellIs" dxfId="2267" priority="2636" operator="greaterThanOrEqual">
      <formula>30</formula>
    </cfRule>
  </conditionalFormatting>
  <conditionalFormatting sqref="R2023">
    <cfRule type="cellIs" dxfId="2266" priority="2637" operator="greaterThanOrEqual">
      <formula>600</formula>
    </cfRule>
  </conditionalFormatting>
  <conditionalFormatting sqref="R2023">
    <cfRule type="cellIs" dxfId="2265" priority="2638" operator="greaterThanOrEqual">
      <formula>260</formula>
    </cfRule>
  </conditionalFormatting>
  <conditionalFormatting sqref="S2023">
    <cfRule type="containsText" dxfId="2264" priority="2639" operator="containsText" text="&lt;">
      <formula>NOT(ISERROR(SEARCH(("&lt;"),(S2023))))</formula>
    </cfRule>
  </conditionalFormatting>
  <conditionalFormatting sqref="S2023">
    <cfRule type="containsText" dxfId="2263" priority="2640" operator="containsText" text="ND">
      <formula>NOT(ISERROR(SEARCH(("ND"),(S2023))))</formula>
    </cfRule>
  </conditionalFormatting>
  <conditionalFormatting sqref="S2023">
    <cfRule type="cellIs" dxfId="2262" priority="2641" operator="greaterThanOrEqual">
      <formula>200</formula>
    </cfRule>
  </conditionalFormatting>
  <conditionalFormatting sqref="S2023">
    <cfRule type="cellIs" dxfId="2261" priority="2642" operator="greaterThanOrEqual">
      <formula>130</formula>
    </cfRule>
  </conditionalFormatting>
  <conditionalFormatting sqref="N2023">
    <cfRule type="cellIs" dxfId="2260" priority="2643" operator="greaterThanOrEqual">
      <formula>200</formula>
    </cfRule>
  </conditionalFormatting>
  <conditionalFormatting sqref="N2023">
    <cfRule type="cellIs" dxfId="2259" priority="2644" operator="greaterThanOrEqual">
      <formula>120</formula>
    </cfRule>
  </conditionalFormatting>
  <conditionalFormatting sqref="O2023">
    <cfRule type="containsText" dxfId="2258" priority="2645" operator="containsText" text="ND">
      <formula>NOT(ISERROR(SEARCH(("ND"),(O2023))))</formula>
    </cfRule>
  </conditionalFormatting>
  <conditionalFormatting sqref="O2023">
    <cfRule type="cellIs" dxfId="2257" priority="2646" operator="greaterThanOrEqual">
      <formula>250</formula>
    </cfRule>
  </conditionalFormatting>
  <conditionalFormatting sqref="O2023">
    <cfRule type="cellIs" dxfId="2256" priority="2647" operator="greaterThanOrEqual">
      <formula>175</formula>
    </cfRule>
  </conditionalFormatting>
  <conditionalFormatting sqref="P2023">
    <cfRule type="containsText" dxfId="2255" priority="2648" operator="containsText" text="ND">
      <formula>NOT(ISERROR(SEARCH(("ND"),(P2023))))</formula>
    </cfRule>
  </conditionalFormatting>
  <conditionalFormatting sqref="P2023">
    <cfRule type="cellIs" dxfId="2254" priority="2649" operator="greaterThanOrEqual">
      <formula>5</formula>
    </cfRule>
  </conditionalFormatting>
  <conditionalFormatting sqref="P2023">
    <cfRule type="cellIs" dxfId="2253" priority="2650" operator="greaterThanOrEqual">
      <formula>2.5</formula>
    </cfRule>
  </conditionalFormatting>
  <conditionalFormatting sqref="Q2023">
    <cfRule type="containsText" dxfId="2252" priority="2651" operator="containsText" text="ND">
      <formula>NOT(ISERROR(SEARCH(("ND"),(Q2023))))</formula>
    </cfRule>
  </conditionalFormatting>
  <conditionalFormatting sqref="Q2023">
    <cfRule type="cellIs" dxfId="2251" priority="2652" operator="greaterThanOrEqual">
      <formula>500</formula>
    </cfRule>
  </conditionalFormatting>
  <conditionalFormatting sqref="Q2023">
    <cfRule type="cellIs" dxfId="2250" priority="2653" operator="greaterThanOrEqual">
      <formula>300</formula>
    </cfRule>
  </conditionalFormatting>
  <conditionalFormatting sqref="L2438">
    <cfRule type="cellIs" dxfId="2249" priority="2654" operator="greaterThanOrEqual">
      <formula>5</formula>
    </cfRule>
  </conditionalFormatting>
  <conditionalFormatting sqref="L2438">
    <cfRule type="cellIs" dxfId="2248" priority="2655" operator="greaterThanOrEqual">
      <formula>2</formula>
    </cfRule>
  </conditionalFormatting>
  <conditionalFormatting sqref="M2438">
    <cfRule type="cellIs" dxfId="2247" priority="2656" operator="greaterThanOrEqual">
      <formula>60</formula>
    </cfRule>
  </conditionalFormatting>
  <conditionalFormatting sqref="M2438">
    <cfRule type="cellIs" dxfId="2246" priority="2657" operator="greaterThanOrEqual">
      <formula>30</formula>
    </cfRule>
  </conditionalFormatting>
  <conditionalFormatting sqref="R2438">
    <cfRule type="cellIs" dxfId="2245" priority="2658" operator="greaterThanOrEqual">
      <formula>600</formula>
    </cfRule>
  </conditionalFormatting>
  <conditionalFormatting sqref="R2438">
    <cfRule type="cellIs" dxfId="2244" priority="2659" operator="greaterThanOrEqual">
      <formula>260</formula>
    </cfRule>
  </conditionalFormatting>
  <conditionalFormatting sqref="S2438">
    <cfRule type="containsText" dxfId="2243" priority="2660" operator="containsText" text="&lt;">
      <formula>NOT(ISERROR(SEARCH(("&lt;"),(S2438))))</formula>
    </cfRule>
  </conditionalFormatting>
  <conditionalFormatting sqref="S2438">
    <cfRule type="containsText" dxfId="2242" priority="2661" operator="containsText" text="ND">
      <formula>NOT(ISERROR(SEARCH(("ND"),(S2438))))</formula>
    </cfRule>
  </conditionalFormatting>
  <conditionalFormatting sqref="S2438">
    <cfRule type="cellIs" dxfId="2241" priority="2662" operator="greaterThanOrEqual">
      <formula>200</formula>
    </cfRule>
  </conditionalFormatting>
  <conditionalFormatting sqref="S2438">
    <cfRule type="cellIs" dxfId="2240" priority="2663" operator="greaterThanOrEqual">
      <formula>130</formula>
    </cfRule>
  </conditionalFormatting>
  <conditionalFormatting sqref="N2438">
    <cfRule type="cellIs" dxfId="2239" priority="2664" operator="greaterThanOrEqual">
      <formula>200</formula>
    </cfRule>
  </conditionalFormatting>
  <conditionalFormatting sqref="N2438">
    <cfRule type="cellIs" dxfId="2238" priority="2665" operator="greaterThanOrEqual">
      <formula>120</formula>
    </cfRule>
  </conditionalFormatting>
  <conditionalFormatting sqref="O2438">
    <cfRule type="containsText" dxfId="2237" priority="2666" operator="containsText" text="ND">
      <formula>NOT(ISERROR(SEARCH(("ND"),(O2438))))</formula>
    </cfRule>
  </conditionalFormatting>
  <conditionalFormatting sqref="O2438">
    <cfRule type="cellIs" dxfId="2236" priority="2667" operator="greaterThanOrEqual">
      <formula>250</formula>
    </cfRule>
  </conditionalFormatting>
  <conditionalFormatting sqref="O2438">
    <cfRule type="cellIs" dxfId="2235" priority="2668" operator="greaterThanOrEqual">
      <formula>175</formula>
    </cfRule>
  </conditionalFormatting>
  <conditionalFormatting sqref="P2438">
    <cfRule type="containsText" dxfId="2234" priority="2669" operator="containsText" text="ND">
      <formula>NOT(ISERROR(SEARCH(("ND"),(P2438))))</formula>
    </cfRule>
  </conditionalFormatting>
  <conditionalFormatting sqref="P2438">
    <cfRule type="cellIs" dxfId="2233" priority="2670" operator="greaterThanOrEqual">
      <formula>5</formula>
    </cfRule>
  </conditionalFormatting>
  <conditionalFormatting sqref="P2438">
    <cfRule type="cellIs" dxfId="2232" priority="2671" operator="greaterThanOrEqual">
      <formula>2.5</formula>
    </cfRule>
  </conditionalFormatting>
  <conditionalFormatting sqref="Q2438">
    <cfRule type="containsText" dxfId="2231" priority="2672" operator="containsText" text="ND">
      <formula>NOT(ISERROR(SEARCH(("ND"),(Q2438))))</formula>
    </cfRule>
  </conditionalFormatting>
  <conditionalFormatting sqref="Q2438">
    <cfRule type="cellIs" dxfId="2230" priority="2673" operator="greaterThanOrEqual">
      <formula>500</formula>
    </cfRule>
  </conditionalFormatting>
  <conditionalFormatting sqref="Q2438">
    <cfRule type="cellIs" dxfId="2229" priority="2674" operator="greaterThanOrEqual">
      <formula>300</formula>
    </cfRule>
  </conditionalFormatting>
  <conditionalFormatting sqref="L2439">
    <cfRule type="cellIs" dxfId="2228" priority="2675" operator="greaterThanOrEqual">
      <formula>5</formula>
    </cfRule>
  </conditionalFormatting>
  <conditionalFormatting sqref="L2439">
    <cfRule type="cellIs" dxfId="2227" priority="2676" operator="greaterThanOrEqual">
      <formula>2</formula>
    </cfRule>
  </conditionalFormatting>
  <conditionalFormatting sqref="M2439">
    <cfRule type="cellIs" dxfId="2226" priority="2677" operator="greaterThanOrEqual">
      <formula>60</formula>
    </cfRule>
  </conditionalFormatting>
  <conditionalFormatting sqref="M2439">
    <cfRule type="cellIs" dxfId="2225" priority="2678" operator="greaterThanOrEqual">
      <formula>30</formula>
    </cfRule>
  </conditionalFormatting>
  <conditionalFormatting sqref="R2439">
    <cfRule type="cellIs" dxfId="2224" priority="2679" operator="greaterThanOrEqual">
      <formula>600</formula>
    </cfRule>
  </conditionalFormatting>
  <conditionalFormatting sqref="R2439">
    <cfRule type="cellIs" dxfId="2223" priority="2680" operator="greaterThanOrEqual">
      <formula>260</formula>
    </cfRule>
  </conditionalFormatting>
  <conditionalFormatting sqref="S2439">
    <cfRule type="containsText" dxfId="2222" priority="2681" operator="containsText" text="&lt;">
      <formula>NOT(ISERROR(SEARCH(("&lt;"),(S2439))))</formula>
    </cfRule>
  </conditionalFormatting>
  <conditionalFormatting sqref="S2439">
    <cfRule type="containsText" dxfId="2221" priority="2682" operator="containsText" text="ND">
      <formula>NOT(ISERROR(SEARCH(("ND"),(S2439))))</formula>
    </cfRule>
  </conditionalFormatting>
  <conditionalFormatting sqref="S2439">
    <cfRule type="cellIs" dxfId="2220" priority="2683" operator="greaterThanOrEqual">
      <formula>200</formula>
    </cfRule>
  </conditionalFormatting>
  <conditionalFormatting sqref="S2439">
    <cfRule type="cellIs" dxfId="2219" priority="2684" operator="greaterThanOrEqual">
      <formula>130</formula>
    </cfRule>
  </conditionalFormatting>
  <conditionalFormatting sqref="N2439">
    <cfRule type="cellIs" dxfId="2218" priority="2685" operator="greaterThanOrEqual">
      <formula>200</formula>
    </cfRule>
  </conditionalFormatting>
  <conditionalFormatting sqref="N2439">
    <cfRule type="cellIs" dxfId="2217" priority="2686" operator="greaterThanOrEqual">
      <formula>120</formula>
    </cfRule>
  </conditionalFormatting>
  <conditionalFormatting sqref="O2439">
    <cfRule type="containsText" dxfId="2216" priority="2687" operator="containsText" text="ND">
      <formula>NOT(ISERROR(SEARCH(("ND"),(O2439))))</formula>
    </cfRule>
  </conditionalFormatting>
  <conditionalFormatting sqref="O2439">
    <cfRule type="cellIs" dxfId="2215" priority="2688" operator="greaterThanOrEqual">
      <formula>250</formula>
    </cfRule>
  </conditionalFormatting>
  <conditionalFormatting sqref="O2439">
    <cfRule type="cellIs" dxfId="2214" priority="2689" operator="greaterThanOrEqual">
      <formula>175</formula>
    </cfRule>
  </conditionalFormatting>
  <conditionalFormatting sqref="P2439">
    <cfRule type="containsText" dxfId="2213" priority="2690" operator="containsText" text="ND">
      <formula>NOT(ISERROR(SEARCH(("ND"),(P2439))))</formula>
    </cfRule>
  </conditionalFormatting>
  <conditionalFormatting sqref="P2439">
    <cfRule type="cellIs" dxfId="2212" priority="2691" operator="greaterThanOrEqual">
      <formula>5</formula>
    </cfRule>
  </conditionalFormatting>
  <conditionalFormatting sqref="P2439">
    <cfRule type="cellIs" dxfId="2211" priority="2692" operator="greaterThanOrEqual">
      <formula>2.5</formula>
    </cfRule>
  </conditionalFormatting>
  <conditionalFormatting sqref="Q2439">
    <cfRule type="containsText" dxfId="2210" priority="2693" operator="containsText" text="ND">
      <formula>NOT(ISERROR(SEARCH(("ND"),(Q2439))))</formula>
    </cfRule>
  </conditionalFormatting>
  <conditionalFormatting sqref="Q2439">
    <cfRule type="cellIs" dxfId="2209" priority="2694" operator="greaterThanOrEqual">
      <formula>500</formula>
    </cfRule>
  </conditionalFormatting>
  <conditionalFormatting sqref="Q2439">
    <cfRule type="cellIs" dxfId="2208" priority="2695" operator="greaterThanOrEqual">
      <formula>300</formula>
    </cfRule>
  </conditionalFormatting>
  <conditionalFormatting sqref="L2440">
    <cfRule type="cellIs" dxfId="2207" priority="2696" operator="greaterThanOrEqual">
      <formula>5</formula>
    </cfRule>
  </conditionalFormatting>
  <conditionalFormatting sqref="L2440">
    <cfRule type="cellIs" dxfId="2206" priority="2697" operator="greaterThanOrEqual">
      <formula>2</formula>
    </cfRule>
  </conditionalFormatting>
  <conditionalFormatting sqref="M2440">
    <cfRule type="cellIs" dxfId="2205" priority="2698" operator="greaterThanOrEqual">
      <formula>60</formula>
    </cfRule>
  </conditionalFormatting>
  <conditionalFormatting sqref="M2440">
    <cfRule type="cellIs" dxfId="2204" priority="2699" operator="greaterThanOrEqual">
      <formula>30</formula>
    </cfRule>
  </conditionalFormatting>
  <conditionalFormatting sqref="R2440">
    <cfRule type="cellIs" dxfId="2203" priority="2700" operator="greaterThanOrEqual">
      <formula>600</formula>
    </cfRule>
  </conditionalFormatting>
  <conditionalFormatting sqref="R2440">
    <cfRule type="cellIs" dxfId="2202" priority="2701" operator="greaterThanOrEqual">
      <formula>260</formula>
    </cfRule>
  </conditionalFormatting>
  <conditionalFormatting sqref="S2440">
    <cfRule type="containsText" dxfId="2201" priority="2702" operator="containsText" text="&lt;">
      <formula>NOT(ISERROR(SEARCH(("&lt;"),(S2440))))</formula>
    </cfRule>
  </conditionalFormatting>
  <conditionalFormatting sqref="S2440">
    <cfRule type="containsText" dxfId="2200" priority="2703" operator="containsText" text="ND">
      <formula>NOT(ISERROR(SEARCH(("ND"),(S2440))))</formula>
    </cfRule>
  </conditionalFormatting>
  <conditionalFormatting sqref="S2440">
    <cfRule type="cellIs" dxfId="2199" priority="2704" operator="greaterThanOrEqual">
      <formula>200</formula>
    </cfRule>
  </conditionalFormatting>
  <conditionalFormatting sqref="S2440">
    <cfRule type="cellIs" dxfId="2198" priority="2705" operator="greaterThanOrEqual">
      <formula>130</formula>
    </cfRule>
  </conditionalFormatting>
  <conditionalFormatting sqref="N2440">
    <cfRule type="cellIs" dxfId="2197" priority="2706" operator="greaterThanOrEqual">
      <formula>200</formula>
    </cfRule>
  </conditionalFormatting>
  <conditionalFormatting sqref="N2440">
    <cfRule type="cellIs" dxfId="2196" priority="2707" operator="greaterThanOrEqual">
      <formula>120</formula>
    </cfRule>
  </conditionalFormatting>
  <conditionalFormatting sqref="O2440">
    <cfRule type="containsText" dxfId="2195" priority="2708" operator="containsText" text="ND">
      <formula>NOT(ISERROR(SEARCH(("ND"),(O2440))))</formula>
    </cfRule>
  </conditionalFormatting>
  <conditionalFormatting sqref="O2440">
    <cfRule type="cellIs" dxfId="2194" priority="2709" operator="greaterThanOrEqual">
      <formula>250</formula>
    </cfRule>
  </conditionalFormatting>
  <conditionalFormatting sqref="O2440">
    <cfRule type="cellIs" dxfId="2193" priority="2710" operator="greaterThanOrEqual">
      <formula>175</formula>
    </cfRule>
  </conditionalFormatting>
  <conditionalFormatting sqref="P2440">
    <cfRule type="containsText" dxfId="2192" priority="2711" operator="containsText" text="ND">
      <formula>NOT(ISERROR(SEARCH(("ND"),(P2440))))</formula>
    </cfRule>
  </conditionalFormatting>
  <conditionalFormatting sqref="P2440">
    <cfRule type="cellIs" dxfId="2191" priority="2712" operator="greaterThanOrEqual">
      <formula>5</formula>
    </cfRule>
  </conditionalFormatting>
  <conditionalFormatting sqref="P2440">
    <cfRule type="cellIs" dxfId="2190" priority="2713" operator="greaterThanOrEqual">
      <formula>2.5</formula>
    </cfRule>
  </conditionalFormatting>
  <conditionalFormatting sqref="Q2440">
    <cfRule type="containsText" dxfId="2189" priority="2714" operator="containsText" text="ND">
      <formula>NOT(ISERROR(SEARCH(("ND"),(Q2440))))</formula>
    </cfRule>
  </conditionalFormatting>
  <conditionalFormatting sqref="Q2440">
    <cfRule type="cellIs" dxfId="2188" priority="2715" operator="greaterThanOrEqual">
      <formula>500</formula>
    </cfRule>
  </conditionalFormatting>
  <conditionalFormatting sqref="Q2440">
    <cfRule type="cellIs" dxfId="2187" priority="2716" operator="greaterThanOrEqual">
      <formula>300</formula>
    </cfRule>
  </conditionalFormatting>
  <conditionalFormatting sqref="L2299">
    <cfRule type="cellIs" dxfId="2186" priority="2591" operator="greaterThanOrEqual">
      <formula>5</formula>
    </cfRule>
  </conditionalFormatting>
  <conditionalFormatting sqref="L2299">
    <cfRule type="cellIs" dxfId="2185" priority="2592" operator="greaterThanOrEqual">
      <formula>2</formula>
    </cfRule>
  </conditionalFormatting>
  <conditionalFormatting sqref="M2299">
    <cfRule type="cellIs" dxfId="2184" priority="2593" operator="greaterThanOrEqual">
      <formula>60</formula>
    </cfRule>
  </conditionalFormatting>
  <conditionalFormatting sqref="M2299">
    <cfRule type="cellIs" dxfId="2183" priority="2594" operator="greaterThanOrEqual">
      <formula>30</formula>
    </cfRule>
  </conditionalFormatting>
  <conditionalFormatting sqref="R2299">
    <cfRule type="cellIs" dxfId="2182" priority="2595" operator="greaterThanOrEqual">
      <formula>600</formula>
    </cfRule>
  </conditionalFormatting>
  <conditionalFormatting sqref="R2299">
    <cfRule type="cellIs" dxfId="2181" priority="2596" operator="greaterThanOrEqual">
      <formula>260</formula>
    </cfRule>
  </conditionalFormatting>
  <conditionalFormatting sqref="S2299">
    <cfRule type="containsText" dxfId="2180" priority="2597" operator="containsText" text="&lt;">
      <formula>NOT(ISERROR(SEARCH(("&lt;"),(S2299))))</formula>
    </cfRule>
  </conditionalFormatting>
  <conditionalFormatting sqref="S2299">
    <cfRule type="containsText" dxfId="2179" priority="2598" operator="containsText" text="ND">
      <formula>NOT(ISERROR(SEARCH(("ND"),(S2299))))</formula>
    </cfRule>
  </conditionalFormatting>
  <conditionalFormatting sqref="S2299">
    <cfRule type="cellIs" dxfId="2178" priority="2599" operator="greaterThanOrEqual">
      <formula>200</formula>
    </cfRule>
  </conditionalFormatting>
  <conditionalFormatting sqref="S2299">
    <cfRule type="cellIs" dxfId="2177" priority="2600" operator="greaterThanOrEqual">
      <formula>130</formula>
    </cfRule>
  </conditionalFormatting>
  <conditionalFormatting sqref="N2299">
    <cfRule type="cellIs" dxfId="2176" priority="2601" operator="greaterThanOrEqual">
      <formula>200</formula>
    </cfRule>
  </conditionalFormatting>
  <conditionalFormatting sqref="N2299">
    <cfRule type="cellIs" dxfId="2175" priority="2602" operator="greaterThanOrEqual">
      <formula>120</formula>
    </cfRule>
  </conditionalFormatting>
  <conditionalFormatting sqref="O2299">
    <cfRule type="containsText" dxfId="2174" priority="2603" operator="containsText" text="ND">
      <formula>NOT(ISERROR(SEARCH(("ND"),(O2299))))</formula>
    </cfRule>
  </conditionalFormatting>
  <conditionalFormatting sqref="O2299">
    <cfRule type="cellIs" dxfId="2173" priority="2604" operator="greaterThanOrEqual">
      <formula>250</formula>
    </cfRule>
  </conditionalFormatting>
  <conditionalFormatting sqref="O2299">
    <cfRule type="cellIs" dxfId="2172" priority="2605" operator="greaterThanOrEqual">
      <formula>175</formula>
    </cfRule>
  </conditionalFormatting>
  <conditionalFormatting sqref="P2299">
    <cfRule type="containsText" dxfId="2171" priority="2606" operator="containsText" text="ND">
      <formula>NOT(ISERROR(SEARCH(("ND"),(P2299))))</formula>
    </cfRule>
  </conditionalFormatting>
  <conditionalFormatting sqref="P2299">
    <cfRule type="cellIs" dxfId="2170" priority="2607" operator="greaterThanOrEqual">
      <formula>5</formula>
    </cfRule>
  </conditionalFormatting>
  <conditionalFormatting sqref="P2299">
    <cfRule type="cellIs" dxfId="2169" priority="2608" operator="greaterThanOrEqual">
      <formula>2.5</formula>
    </cfRule>
  </conditionalFormatting>
  <conditionalFormatting sqref="Q2299">
    <cfRule type="containsText" dxfId="2168" priority="2609" operator="containsText" text="ND">
      <formula>NOT(ISERROR(SEARCH(("ND"),(Q2299))))</formula>
    </cfRule>
  </conditionalFormatting>
  <conditionalFormatting sqref="Q2299">
    <cfRule type="cellIs" dxfId="2167" priority="2610" operator="greaterThanOrEqual">
      <formula>500</formula>
    </cfRule>
  </conditionalFormatting>
  <conditionalFormatting sqref="Q2299">
    <cfRule type="cellIs" dxfId="2166" priority="2611" operator="greaterThanOrEqual">
      <formula>300</formula>
    </cfRule>
  </conditionalFormatting>
  <conditionalFormatting sqref="L2437">
    <cfRule type="cellIs" dxfId="2165" priority="2612" operator="greaterThanOrEqual">
      <formula>5</formula>
    </cfRule>
  </conditionalFormatting>
  <conditionalFormatting sqref="L2437">
    <cfRule type="cellIs" dxfId="2164" priority="2613" operator="greaterThanOrEqual">
      <formula>2</formula>
    </cfRule>
  </conditionalFormatting>
  <conditionalFormatting sqref="M2437">
    <cfRule type="cellIs" dxfId="2163" priority="2614" operator="greaterThanOrEqual">
      <formula>60</formula>
    </cfRule>
  </conditionalFormatting>
  <conditionalFormatting sqref="M2437">
    <cfRule type="cellIs" dxfId="2162" priority="2615" operator="greaterThanOrEqual">
      <formula>30</formula>
    </cfRule>
  </conditionalFormatting>
  <conditionalFormatting sqref="R2437">
    <cfRule type="cellIs" dxfId="2161" priority="2616" operator="greaterThanOrEqual">
      <formula>600</formula>
    </cfRule>
  </conditionalFormatting>
  <conditionalFormatting sqref="R2437">
    <cfRule type="cellIs" dxfId="2160" priority="2617" operator="greaterThanOrEqual">
      <formula>260</formula>
    </cfRule>
  </conditionalFormatting>
  <conditionalFormatting sqref="S2437">
    <cfRule type="containsText" dxfId="2159" priority="2618" operator="containsText" text="&lt;">
      <formula>NOT(ISERROR(SEARCH(("&lt;"),(S2437))))</formula>
    </cfRule>
  </conditionalFormatting>
  <conditionalFormatting sqref="S2437">
    <cfRule type="containsText" dxfId="2158" priority="2619" operator="containsText" text="ND">
      <formula>NOT(ISERROR(SEARCH(("ND"),(S2437))))</formula>
    </cfRule>
  </conditionalFormatting>
  <conditionalFormatting sqref="S2437">
    <cfRule type="cellIs" dxfId="2157" priority="2620" operator="greaterThanOrEqual">
      <formula>200</formula>
    </cfRule>
  </conditionalFormatting>
  <conditionalFormatting sqref="S2437">
    <cfRule type="cellIs" dxfId="2156" priority="2621" operator="greaterThanOrEqual">
      <formula>130</formula>
    </cfRule>
  </conditionalFormatting>
  <conditionalFormatting sqref="N2437">
    <cfRule type="cellIs" dxfId="2155" priority="2622" operator="greaterThanOrEqual">
      <formula>200</formula>
    </cfRule>
  </conditionalFormatting>
  <conditionalFormatting sqref="N2437">
    <cfRule type="cellIs" dxfId="2154" priority="2623" operator="greaterThanOrEqual">
      <formula>120</formula>
    </cfRule>
  </conditionalFormatting>
  <conditionalFormatting sqref="O2437">
    <cfRule type="containsText" dxfId="2153" priority="2624" operator="containsText" text="ND">
      <formula>NOT(ISERROR(SEARCH(("ND"),(O2437))))</formula>
    </cfRule>
  </conditionalFormatting>
  <conditionalFormatting sqref="O2437">
    <cfRule type="cellIs" dxfId="2152" priority="2625" operator="greaterThanOrEqual">
      <formula>250</formula>
    </cfRule>
  </conditionalFormatting>
  <conditionalFormatting sqref="O2437">
    <cfRule type="cellIs" dxfId="2151" priority="2626" operator="greaterThanOrEqual">
      <formula>175</formula>
    </cfRule>
  </conditionalFormatting>
  <conditionalFormatting sqref="P2437">
    <cfRule type="containsText" dxfId="2150" priority="2627" operator="containsText" text="ND">
      <formula>NOT(ISERROR(SEARCH(("ND"),(P2437))))</formula>
    </cfRule>
  </conditionalFormatting>
  <conditionalFormatting sqref="P2437">
    <cfRule type="cellIs" dxfId="2149" priority="2628" operator="greaterThanOrEqual">
      <formula>5</formula>
    </cfRule>
  </conditionalFormatting>
  <conditionalFormatting sqref="P2437">
    <cfRule type="cellIs" dxfId="2148" priority="2629" operator="greaterThanOrEqual">
      <formula>2.5</formula>
    </cfRule>
  </conditionalFormatting>
  <conditionalFormatting sqref="Q2437">
    <cfRule type="containsText" dxfId="2147" priority="2630" operator="containsText" text="ND">
      <formula>NOT(ISERROR(SEARCH(("ND"),(Q2437))))</formula>
    </cfRule>
  </conditionalFormatting>
  <conditionalFormatting sqref="Q2437">
    <cfRule type="cellIs" dxfId="2146" priority="2631" operator="greaterThanOrEqual">
      <formula>500</formula>
    </cfRule>
  </conditionalFormatting>
  <conditionalFormatting sqref="Q2437">
    <cfRule type="cellIs" dxfId="2145" priority="2632" operator="greaterThanOrEqual">
      <formula>300</formula>
    </cfRule>
  </conditionalFormatting>
  <conditionalFormatting sqref="L2024">
    <cfRule type="cellIs" dxfId="2144" priority="2528" operator="greaterThanOrEqual">
      <formula>5</formula>
    </cfRule>
  </conditionalFormatting>
  <conditionalFormatting sqref="L2024">
    <cfRule type="cellIs" dxfId="2143" priority="2529" operator="greaterThanOrEqual">
      <formula>2</formula>
    </cfRule>
  </conditionalFormatting>
  <conditionalFormatting sqref="M2024">
    <cfRule type="cellIs" dxfId="2142" priority="2530" operator="greaterThanOrEqual">
      <formula>60</formula>
    </cfRule>
  </conditionalFormatting>
  <conditionalFormatting sqref="M2024">
    <cfRule type="cellIs" dxfId="2141" priority="2531" operator="greaterThanOrEqual">
      <formula>30</formula>
    </cfRule>
  </conditionalFormatting>
  <conditionalFormatting sqref="R2024">
    <cfRule type="cellIs" dxfId="2140" priority="2532" operator="greaterThanOrEqual">
      <formula>600</formula>
    </cfRule>
  </conditionalFormatting>
  <conditionalFormatting sqref="R2024">
    <cfRule type="cellIs" dxfId="2139" priority="2533" operator="greaterThanOrEqual">
      <formula>260</formula>
    </cfRule>
  </conditionalFormatting>
  <conditionalFormatting sqref="S2024">
    <cfRule type="containsText" dxfId="2138" priority="2534" operator="containsText" text="&lt;">
      <formula>NOT(ISERROR(SEARCH(("&lt;"),(S2024))))</formula>
    </cfRule>
  </conditionalFormatting>
  <conditionalFormatting sqref="S2024">
    <cfRule type="containsText" dxfId="2137" priority="2535" operator="containsText" text="ND">
      <formula>NOT(ISERROR(SEARCH(("ND"),(S2024))))</formula>
    </cfRule>
  </conditionalFormatting>
  <conditionalFormatting sqref="S2024">
    <cfRule type="cellIs" dxfId="2136" priority="2536" operator="greaterThanOrEqual">
      <formula>200</formula>
    </cfRule>
  </conditionalFormatting>
  <conditionalFormatting sqref="S2024">
    <cfRule type="cellIs" dxfId="2135" priority="2537" operator="greaterThanOrEqual">
      <formula>130</formula>
    </cfRule>
  </conditionalFormatting>
  <conditionalFormatting sqref="N2024">
    <cfRule type="cellIs" dxfId="2134" priority="2538" operator="greaterThanOrEqual">
      <formula>200</formula>
    </cfRule>
  </conditionalFormatting>
  <conditionalFormatting sqref="N2024">
    <cfRule type="cellIs" dxfId="2133" priority="2539" operator="greaterThanOrEqual">
      <formula>120</formula>
    </cfRule>
  </conditionalFormatting>
  <conditionalFormatting sqref="O2024">
    <cfRule type="containsText" dxfId="2132" priority="2540" operator="containsText" text="ND">
      <formula>NOT(ISERROR(SEARCH(("ND"),(O2024))))</formula>
    </cfRule>
  </conditionalFormatting>
  <conditionalFormatting sqref="O2024">
    <cfRule type="cellIs" dxfId="2131" priority="2541" operator="greaterThanOrEqual">
      <formula>250</formula>
    </cfRule>
  </conditionalFormatting>
  <conditionalFormatting sqref="O2024">
    <cfRule type="cellIs" dxfId="2130" priority="2542" operator="greaterThanOrEqual">
      <formula>175</formula>
    </cfRule>
  </conditionalFormatting>
  <conditionalFormatting sqref="P2024">
    <cfRule type="containsText" dxfId="2129" priority="2543" operator="containsText" text="ND">
      <formula>NOT(ISERROR(SEARCH(("ND"),(P2024))))</formula>
    </cfRule>
  </conditionalFormatting>
  <conditionalFormatting sqref="P2024">
    <cfRule type="cellIs" dxfId="2128" priority="2544" operator="greaterThanOrEqual">
      <formula>5</formula>
    </cfRule>
  </conditionalFormatting>
  <conditionalFormatting sqref="P2024">
    <cfRule type="cellIs" dxfId="2127" priority="2545" operator="greaterThanOrEqual">
      <formula>2.5</formula>
    </cfRule>
  </conditionalFormatting>
  <conditionalFormatting sqref="Q2024">
    <cfRule type="containsText" dxfId="2126" priority="2546" operator="containsText" text="ND">
      <formula>NOT(ISERROR(SEARCH(("ND"),(Q2024))))</formula>
    </cfRule>
  </conditionalFormatting>
  <conditionalFormatting sqref="Q2024">
    <cfRule type="cellIs" dxfId="2125" priority="2547" operator="greaterThanOrEqual">
      <formula>500</formula>
    </cfRule>
  </conditionalFormatting>
  <conditionalFormatting sqref="Q2024">
    <cfRule type="cellIs" dxfId="2124" priority="2548" operator="greaterThanOrEqual">
      <formula>300</formula>
    </cfRule>
  </conditionalFormatting>
  <conditionalFormatting sqref="L2025">
    <cfRule type="cellIs" dxfId="2123" priority="2549" operator="greaterThanOrEqual">
      <formula>5</formula>
    </cfRule>
  </conditionalFormatting>
  <conditionalFormatting sqref="L2025">
    <cfRule type="cellIs" dxfId="2122" priority="2550" operator="greaterThanOrEqual">
      <formula>2</formula>
    </cfRule>
  </conditionalFormatting>
  <conditionalFormatting sqref="M2025">
    <cfRule type="cellIs" dxfId="2121" priority="2551" operator="greaterThanOrEqual">
      <formula>60</formula>
    </cfRule>
  </conditionalFormatting>
  <conditionalFormatting sqref="M2025">
    <cfRule type="cellIs" dxfId="2120" priority="2552" operator="greaterThanOrEqual">
      <formula>30</formula>
    </cfRule>
  </conditionalFormatting>
  <conditionalFormatting sqref="R2025">
    <cfRule type="cellIs" dxfId="2119" priority="2553" operator="greaterThanOrEqual">
      <formula>600</formula>
    </cfRule>
  </conditionalFormatting>
  <conditionalFormatting sqref="R2025">
    <cfRule type="cellIs" dxfId="2118" priority="2554" operator="greaterThanOrEqual">
      <formula>260</formula>
    </cfRule>
  </conditionalFormatting>
  <conditionalFormatting sqref="S2025">
    <cfRule type="containsText" dxfId="2117" priority="2555" operator="containsText" text="&lt;">
      <formula>NOT(ISERROR(SEARCH(("&lt;"),(S2025))))</formula>
    </cfRule>
  </conditionalFormatting>
  <conditionalFormatting sqref="S2025">
    <cfRule type="containsText" dxfId="2116" priority="2556" operator="containsText" text="ND">
      <formula>NOT(ISERROR(SEARCH(("ND"),(S2025))))</formula>
    </cfRule>
  </conditionalFormatting>
  <conditionalFormatting sqref="S2025">
    <cfRule type="cellIs" dxfId="2115" priority="2557" operator="greaterThanOrEqual">
      <formula>200</formula>
    </cfRule>
  </conditionalFormatting>
  <conditionalFormatting sqref="S2025">
    <cfRule type="cellIs" dxfId="2114" priority="2558" operator="greaterThanOrEqual">
      <formula>130</formula>
    </cfRule>
  </conditionalFormatting>
  <conditionalFormatting sqref="N2025">
    <cfRule type="cellIs" dxfId="2113" priority="2559" operator="greaterThanOrEqual">
      <formula>200</formula>
    </cfRule>
  </conditionalFormatting>
  <conditionalFormatting sqref="N2025">
    <cfRule type="cellIs" dxfId="2112" priority="2560" operator="greaterThanOrEqual">
      <formula>120</formula>
    </cfRule>
  </conditionalFormatting>
  <conditionalFormatting sqref="O2025">
    <cfRule type="containsText" dxfId="2111" priority="2561" operator="containsText" text="ND">
      <formula>NOT(ISERROR(SEARCH(("ND"),(O2025))))</formula>
    </cfRule>
  </conditionalFormatting>
  <conditionalFormatting sqref="O2025">
    <cfRule type="cellIs" dxfId="2110" priority="2562" operator="greaterThanOrEqual">
      <formula>250</formula>
    </cfRule>
  </conditionalFormatting>
  <conditionalFormatting sqref="O2025">
    <cfRule type="cellIs" dxfId="2109" priority="2563" operator="greaterThanOrEqual">
      <formula>175</formula>
    </cfRule>
  </conditionalFormatting>
  <conditionalFormatting sqref="P2025">
    <cfRule type="containsText" dxfId="2108" priority="2564" operator="containsText" text="ND">
      <formula>NOT(ISERROR(SEARCH(("ND"),(P2025))))</formula>
    </cfRule>
  </conditionalFormatting>
  <conditionalFormatting sqref="P2025">
    <cfRule type="cellIs" dxfId="2107" priority="2565" operator="greaterThanOrEqual">
      <formula>5</formula>
    </cfRule>
  </conditionalFormatting>
  <conditionalFormatting sqref="P2025">
    <cfRule type="cellIs" dxfId="2106" priority="2566" operator="greaterThanOrEqual">
      <formula>2.5</formula>
    </cfRule>
  </conditionalFormatting>
  <conditionalFormatting sqref="Q2025">
    <cfRule type="containsText" dxfId="2105" priority="2567" operator="containsText" text="ND">
      <formula>NOT(ISERROR(SEARCH(("ND"),(Q2025))))</formula>
    </cfRule>
  </conditionalFormatting>
  <conditionalFormatting sqref="Q2025">
    <cfRule type="cellIs" dxfId="2104" priority="2568" operator="greaterThanOrEqual">
      <formula>500</formula>
    </cfRule>
  </conditionalFormatting>
  <conditionalFormatting sqref="Q2025">
    <cfRule type="cellIs" dxfId="2103" priority="2569" operator="greaterThanOrEqual">
      <formula>300</formula>
    </cfRule>
  </conditionalFormatting>
  <conditionalFormatting sqref="L2026">
    <cfRule type="cellIs" dxfId="2102" priority="2570" operator="greaterThanOrEqual">
      <formula>5</formula>
    </cfRule>
  </conditionalFormatting>
  <conditionalFormatting sqref="L2026">
    <cfRule type="cellIs" dxfId="2101" priority="2571" operator="greaterThanOrEqual">
      <formula>2</formula>
    </cfRule>
  </conditionalFormatting>
  <conditionalFormatting sqref="M2026">
    <cfRule type="cellIs" dxfId="2100" priority="2572" operator="greaterThanOrEqual">
      <formula>60</formula>
    </cfRule>
  </conditionalFormatting>
  <conditionalFormatting sqref="M2026">
    <cfRule type="cellIs" dxfId="2099" priority="2573" operator="greaterThanOrEqual">
      <formula>30</formula>
    </cfRule>
  </conditionalFormatting>
  <conditionalFormatting sqref="R2026">
    <cfRule type="cellIs" dxfId="2098" priority="2574" operator="greaterThanOrEqual">
      <formula>600</formula>
    </cfRule>
  </conditionalFormatting>
  <conditionalFormatting sqref="R2026">
    <cfRule type="cellIs" dxfId="2097" priority="2575" operator="greaterThanOrEqual">
      <formula>260</formula>
    </cfRule>
  </conditionalFormatting>
  <conditionalFormatting sqref="S2026">
    <cfRule type="containsText" dxfId="2096" priority="2576" operator="containsText" text="&lt;">
      <formula>NOT(ISERROR(SEARCH(("&lt;"),(S2026))))</formula>
    </cfRule>
  </conditionalFormatting>
  <conditionalFormatting sqref="S2026">
    <cfRule type="containsText" dxfId="2095" priority="2577" operator="containsText" text="ND">
      <formula>NOT(ISERROR(SEARCH(("ND"),(S2026))))</formula>
    </cfRule>
  </conditionalFormatting>
  <conditionalFormatting sqref="S2026">
    <cfRule type="cellIs" dxfId="2094" priority="2578" operator="greaterThanOrEqual">
      <formula>200</formula>
    </cfRule>
  </conditionalFormatting>
  <conditionalFormatting sqref="S2026">
    <cfRule type="cellIs" dxfId="2093" priority="2579" operator="greaterThanOrEqual">
      <formula>130</formula>
    </cfRule>
  </conditionalFormatting>
  <conditionalFormatting sqref="N2026">
    <cfRule type="cellIs" dxfId="2092" priority="2580" operator="greaterThanOrEqual">
      <formula>200</formula>
    </cfRule>
  </conditionalFormatting>
  <conditionalFormatting sqref="N2026">
    <cfRule type="cellIs" dxfId="2091" priority="2581" operator="greaterThanOrEqual">
      <formula>120</formula>
    </cfRule>
  </conditionalFormatting>
  <conditionalFormatting sqref="O2026">
    <cfRule type="containsText" dxfId="2090" priority="2582" operator="containsText" text="ND">
      <formula>NOT(ISERROR(SEARCH(("ND"),(O2026))))</formula>
    </cfRule>
  </conditionalFormatting>
  <conditionalFormatting sqref="O2026">
    <cfRule type="cellIs" dxfId="2089" priority="2583" operator="greaterThanOrEqual">
      <formula>250</formula>
    </cfRule>
  </conditionalFormatting>
  <conditionalFormatting sqref="O2026">
    <cfRule type="cellIs" dxfId="2088" priority="2584" operator="greaterThanOrEqual">
      <formula>175</formula>
    </cfRule>
  </conditionalFormatting>
  <conditionalFormatting sqref="P2026">
    <cfRule type="containsText" dxfId="2087" priority="2585" operator="containsText" text="ND">
      <formula>NOT(ISERROR(SEARCH(("ND"),(P2026))))</formula>
    </cfRule>
  </conditionalFormatting>
  <conditionalFormatting sqref="P2026">
    <cfRule type="cellIs" dxfId="2086" priority="2586" operator="greaterThanOrEqual">
      <formula>5</formula>
    </cfRule>
  </conditionalFormatting>
  <conditionalFormatting sqref="P2026">
    <cfRule type="cellIs" dxfId="2085" priority="2587" operator="greaterThanOrEqual">
      <formula>2.5</formula>
    </cfRule>
  </conditionalFormatting>
  <conditionalFormatting sqref="Q2026">
    <cfRule type="containsText" dxfId="2084" priority="2588" operator="containsText" text="ND">
      <formula>NOT(ISERROR(SEARCH(("ND"),(Q2026))))</formula>
    </cfRule>
  </conditionalFormatting>
  <conditionalFormatting sqref="Q2026">
    <cfRule type="cellIs" dxfId="2083" priority="2589" operator="greaterThanOrEqual">
      <formula>500</formula>
    </cfRule>
  </conditionalFormatting>
  <conditionalFormatting sqref="Q2026">
    <cfRule type="cellIs" dxfId="2082" priority="2590" operator="greaterThanOrEqual">
      <formula>300</formula>
    </cfRule>
  </conditionalFormatting>
  <conditionalFormatting sqref="L2027">
    <cfRule type="cellIs" dxfId="2081" priority="2465" operator="greaterThanOrEqual">
      <formula>5</formula>
    </cfRule>
  </conditionalFormatting>
  <conditionalFormatting sqref="L2027">
    <cfRule type="cellIs" dxfId="2080" priority="2466" operator="greaterThanOrEqual">
      <formula>2</formula>
    </cfRule>
  </conditionalFormatting>
  <conditionalFormatting sqref="M2027">
    <cfRule type="cellIs" dxfId="2079" priority="2467" operator="greaterThanOrEqual">
      <formula>60</formula>
    </cfRule>
  </conditionalFormatting>
  <conditionalFormatting sqref="M2027">
    <cfRule type="cellIs" dxfId="2078" priority="2468" operator="greaterThanOrEqual">
      <formula>30</formula>
    </cfRule>
  </conditionalFormatting>
  <conditionalFormatting sqref="R2027">
    <cfRule type="cellIs" dxfId="2077" priority="2469" operator="greaterThanOrEqual">
      <formula>600</formula>
    </cfRule>
  </conditionalFormatting>
  <conditionalFormatting sqref="R2027">
    <cfRule type="cellIs" dxfId="2076" priority="2470" operator="greaterThanOrEqual">
      <formula>260</formula>
    </cfRule>
  </conditionalFormatting>
  <conditionalFormatting sqref="S2027">
    <cfRule type="containsText" dxfId="2075" priority="2471" operator="containsText" text="&lt;">
      <formula>NOT(ISERROR(SEARCH(("&lt;"),(S2027))))</formula>
    </cfRule>
  </conditionalFormatting>
  <conditionalFormatting sqref="S2027">
    <cfRule type="containsText" dxfId="2074" priority="2472" operator="containsText" text="ND">
      <formula>NOT(ISERROR(SEARCH(("ND"),(S2027))))</formula>
    </cfRule>
  </conditionalFormatting>
  <conditionalFormatting sqref="S2027">
    <cfRule type="cellIs" dxfId="2073" priority="2473" operator="greaterThanOrEqual">
      <formula>200</formula>
    </cfRule>
  </conditionalFormatting>
  <conditionalFormatting sqref="S2027">
    <cfRule type="cellIs" dxfId="2072" priority="2474" operator="greaterThanOrEqual">
      <formula>130</formula>
    </cfRule>
  </conditionalFormatting>
  <conditionalFormatting sqref="N2027">
    <cfRule type="cellIs" dxfId="2071" priority="2475" operator="greaterThanOrEqual">
      <formula>200</formula>
    </cfRule>
  </conditionalFormatting>
  <conditionalFormatting sqref="N2027">
    <cfRule type="cellIs" dxfId="2070" priority="2476" operator="greaterThanOrEqual">
      <formula>120</formula>
    </cfRule>
  </conditionalFormatting>
  <conditionalFormatting sqref="O2027">
    <cfRule type="containsText" dxfId="2069" priority="2477" operator="containsText" text="ND">
      <formula>NOT(ISERROR(SEARCH(("ND"),(O2027))))</formula>
    </cfRule>
  </conditionalFormatting>
  <conditionalFormatting sqref="O2027">
    <cfRule type="cellIs" dxfId="2068" priority="2478" operator="greaterThanOrEqual">
      <formula>250</formula>
    </cfRule>
  </conditionalFormatting>
  <conditionalFormatting sqref="O2027">
    <cfRule type="cellIs" dxfId="2067" priority="2479" operator="greaterThanOrEqual">
      <formula>175</formula>
    </cfRule>
  </conditionalFormatting>
  <conditionalFormatting sqref="P2027">
    <cfRule type="containsText" dxfId="2066" priority="2480" operator="containsText" text="ND">
      <formula>NOT(ISERROR(SEARCH(("ND"),(P2027))))</formula>
    </cfRule>
  </conditionalFormatting>
  <conditionalFormatting sqref="P2027">
    <cfRule type="cellIs" dxfId="2065" priority="2481" operator="greaterThanOrEqual">
      <formula>5</formula>
    </cfRule>
  </conditionalFormatting>
  <conditionalFormatting sqref="P2027">
    <cfRule type="cellIs" dxfId="2064" priority="2482" operator="greaterThanOrEqual">
      <formula>2.5</formula>
    </cfRule>
  </conditionalFormatting>
  <conditionalFormatting sqref="Q2027">
    <cfRule type="containsText" dxfId="2063" priority="2483" operator="containsText" text="ND">
      <formula>NOT(ISERROR(SEARCH(("ND"),(Q2027))))</formula>
    </cfRule>
  </conditionalFormatting>
  <conditionalFormatting sqref="Q2027">
    <cfRule type="cellIs" dxfId="2062" priority="2484" operator="greaterThanOrEqual">
      <formula>500</formula>
    </cfRule>
  </conditionalFormatting>
  <conditionalFormatting sqref="Q2027">
    <cfRule type="cellIs" dxfId="2061" priority="2485" operator="greaterThanOrEqual">
      <formula>300</formula>
    </cfRule>
  </conditionalFormatting>
  <conditionalFormatting sqref="L2128">
    <cfRule type="cellIs" dxfId="2060" priority="2486" operator="greaterThanOrEqual">
      <formula>5</formula>
    </cfRule>
  </conditionalFormatting>
  <conditionalFormatting sqref="L2128">
    <cfRule type="cellIs" dxfId="2059" priority="2487" operator="greaterThanOrEqual">
      <formula>2</formula>
    </cfRule>
  </conditionalFormatting>
  <conditionalFormatting sqref="M2128">
    <cfRule type="cellIs" dxfId="2058" priority="2488" operator="greaterThanOrEqual">
      <formula>60</formula>
    </cfRule>
  </conditionalFormatting>
  <conditionalFormatting sqref="M2128">
    <cfRule type="cellIs" dxfId="2057" priority="2489" operator="greaterThanOrEqual">
      <formula>30</formula>
    </cfRule>
  </conditionalFormatting>
  <conditionalFormatting sqref="R2128">
    <cfRule type="cellIs" dxfId="2056" priority="2490" operator="greaterThanOrEqual">
      <formula>600</formula>
    </cfRule>
  </conditionalFormatting>
  <conditionalFormatting sqref="R2128">
    <cfRule type="cellIs" dxfId="2055" priority="2491" operator="greaterThanOrEqual">
      <formula>260</formula>
    </cfRule>
  </conditionalFormatting>
  <conditionalFormatting sqref="S2128">
    <cfRule type="containsText" dxfId="2054" priority="2492" operator="containsText" text="&lt;">
      <formula>NOT(ISERROR(SEARCH(("&lt;"),(S2128))))</formula>
    </cfRule>
  </conditionalFormatting>
  <conditionalFormatting sqref="S2128">
    <cfRule type="containsText" dxfId="2053" priority="2493" operator="containsText" text="ND">
      <formula>NOT(ISERROR(SEARCH(("ND"),(S2128))))</formula>
    </cfRule>
  </conditionalFormatting>
  <conditionalFormatting sqref="S2128">
    <cfRule type="cellIs" dxfId="2052" priority="2494" operator="greaterThanOrEqual">
      <formula>200</formula>
    </cfRule>
  </conditionalFormatting>
  <conditionalFormatting sqref="S2128">
    <cfRule type="cellIs" dxfId="2051" priority="2495" operator="greaterThanOrEqual">
      <formula>130</formula>
    </cfRule>
  </conditionalFormatting>
  <conditionalFormatting sqref="N2128">
    <cfRule type="cellIs" dxfId="2050" priority="2496" operator="greaterThanOrEqual">
      <formula>200</formula>
    </cfRule>
  </conditionalFormatting>
  <conditionalFormatting sqref="N2128">
    <cfRule type="cellIs" dxfId="2049" priority="2497" operator="greaterThanOrEqual">
      <formula>120</formula>
    </cfRule>
  </conditionalFormatting>
  <conditionalFormatting sqref="O2128">
    <cfRule type="containsText" dxfId="2048" priority="2498" operator="containsText" text="ND">
      <formula>NOT(ISERROR(SEARCH(("ND"),(O2128))))</formula>
    </cfRule>
  </conditionalFormatting>
  <conditionalFormatting sqref="O2128">
    <cfRule type="cellIs" dxfId="2047" priority="2499" operator="greaterThanOrEqual">
      <formula>250</formula>
    </cfRule>
  </conditionalFormatting>
  <conditionalFormatting sqref="O2128">
    <cfRule type="cellIs" dxfId="2046" priority="2500" operator="greaterThanOrEqual">
      <formula>175</formula>
    </cfRule>
  </conditionalFormatting>
  <conditionalFormatting sqref="P2128">
    <cfRule type="containsText" dxfId="2045" priority="2501" operator="containsText" text="ND">
      <formula>NOT(ISERROR(SEARCH(("ND"),(P2128))))</formula>
    </cfRule>
  </conditionalFormatting>
  <conditionalFormatting sqref="P2128">
    <cfRule type="cellIs" dxfId="2044" priority="2502" operator="greaterThanOrEqual">
      <formula>5</formula>
    </cfRule>
  </conditionalFormatting>
  <conditionalFormatting sqref="P2128">
    <cfRule type="cellIs" dxfId="2043" priority="2503" operator="greaterThanOrEqual">
      <formula>2.5</formula>
    </cfRule>
  </conditionalFormatting>
  <conditionalFormatting sqref="Q2128">
    <cfRule type="containsText" dxfId="2042" priority="2504" operator="containsText" text="ND">
      <formula>NOT(ISERROR(SEARCH(("ND"),(Q2128))))</formula>
    </cfRule>
  </conditionalFormatting>
  <conditionalFormatting sqref="Q2128">
    <cfRule type="cellIs" dxfId="2041" priority="2505" operator="greaterThanOrEqual">
      <formula>500</formula>
    </cfRule>
  </conditionalFormatting>
  <conditionalFormatting sqref="Q2128">
    <cfRule type="cellIs" dxfId="2040" priority="2506" operator="greaterThanOrEqual">
      <formula>300</formula>
    </cfRule>
  </conditionalFormatting>
  <conditionalFormatting sqref="L2129">
    <cfRule type="cellIs" dxfId="2039" priority="2507" operator="greaterThanOrEqual">
      <formula>5</formula>
    </cfRule>
  </conditionalFormatting>
  <conditionalFormatting sqref="L2129">
    <cfRule type="cellIs" dxfId="2038" priority="2508" operator="greaterThanOrEqual">
      <formula>2</formula>
    </cfRule>
  </conditionalFormatting>
  <conditionalFormatting sqref="M2129">
    <cfRule type="cellIs" dxfId="2037" priority="2509" operator="greaterThanOrEqual">
      <formula>60</formula>
    </cfRule>
  </conditionalFormatting>
  <conditionalFormatting sqref="M2129">
    <cfRule type="cellIs" dxfId="2036" priority="2510" operator="greaterThanOrEqual">
      <formula>30</formula>
    </cfRule>
  </conditionalFormatting>
  <conditionalFormatting sqref="R2129">
    <cfRule type="cellIs" dxfId="2035" priority="2511" operator="greaterThanOrEqual">
      <formula>600</formula>
    </cfRule>
  </conditionalFormatting>
  <conditionalFormatting sqref="R2129">
    <cfRule type="cellIs" dxfId="2034" priority="2512" operator="greaterThanOrEqual">
      <formula>260</formula>
    </cfRule>
  </conditionalFormatting>
  <conditionalFormatting sqref="S2129">
    <cfRule type="containsText" dxfId="2033" priority="2513" operator="containsText" text="&lt;">
      <formula>NOT(ISERROR(SEARCH(("&lt;"),(S2129))))</formula>
    </cfRule>
  </conditionalFormatting>
  <conditionalFormatting sqref="S2129">
    <cfRule type="containsText" dxfId="2032" priority="2514" operator="containsText" text="ND">
      <formula>NOT(ISERROR(SEARCH(("ND"),(S2129))))</formula>
    </cfRule>
  </conditionalFormatting>
  <conditionalFormatting sqref="S2129">
    <cfRule type="cellIs" dxfId="2031" priority="2515" operator="greaterThanOrEqual">
      <formula>200</formula>
    </cfRule>
  </conditionalFormatting>
  <conditionalFormatting sqref="S2129">
    <cfRule type="cellIs" dxfId="2030" priority="2516" operator="greaterThanOrEqual">
      <formula>130</formula>
    </cfRule>
  </conditionalFormatting>
  <conditionalFormatting sqref="N2129">
    <cfRule type="cellIs" dxfId="2029" priority="2517" operator="greaterThanOrEqual">
      <formula>200</formula>
    </cfRule>
  </conditionalFormatting>
  <conditionalFormatting sqref="N2129">
    <cfRule type="cellIs" dxfId="2028" priority="2518" operator="greaterThanOrEqual">
      <formula>120</formula>
    </cfRule>
  </conditionalFormatting>
  <conditionalFormatting sqref="O2129">
    <cfRule type="containsText" dxfId="2027" priority="2519" operator="containsText" text="ND">
      <formula>NOT(ISERROR(SEARCH(("ND"),(O2129))))</formula>
    </cfRule>
  </conditionalFormatting>
  <conditionalFormatting sqref="O2129">
    <cfRule type="cellIs" dxfId="2026" priority="2520" operator="greaterThanOrEqual">
      <formula>250</formula>
    </cfRule>
  </conditionalFormatting>
  <conditionalFormatting sqref="O2129">
    <cfRule type="cellIs" dxfId="2025" priority="2521" operator="greaterThanOrEqual">
      <formula>175</formula>
    </cfRule>
  </conditionalFormatting>
  <conditionalFormatting sqref="P2129">
    <cfRule type="containsText" dxfId="2024" priority="2522" operator="containsText" text="ND">
      <formula>NOT(ISERROR(SEARCH(("ND"),(P2129))))</formula>
    </cfRule>
  </conditionalFormatting>
  <conditionalFormatting sqref="P2129">
    <cfRule type="cellIs" dxfId="2023" priority="2523" operator="greaterThanOrEqual">
      <formula>5</formula>
    </cfRule>
  </conditionalFormatting>
  <conditionalFormatting sqref="P2129">
    <cfRule type="cellIs" dxfId="2022" priority="2524" operator="greaterThanOrEqual">
      <formula>2.5</formula>
    </cfRule>
  </conditionalFormatting>
  <conditionalFormatting sqref="Q2129">
    <cfRule type="containsText" dxfId="2021" priority="2525" operator="containsText" text="ND">
      <formula>NOT(ISERROR(SEARCH(("ND"),(Q2129))))</formula>
    </cfRule>
  </conditionalFormatting>
  <conditionalFormatting sqref="Q2129">
    <cfRule type="cellIs" dxfId="2020" priority="2526" operator="greaterThanOrEqual">
      <formula>500</formula>
    </cfRule>
  </conditionalFormatting>
  <conditionalFormatting sqref="Q2129">
    <cfRule type="cellIs" dxfId="2019" priority="2527" operator="greaterThanOrEqual">
      <formula>300</formula>
    </cfRule>
  </conditionalFormatting>
  <conditionalFormatting sqref="L2300">
    <cfRule type="cellIs" dxfId="2018" priority="2444" operator="greaterThanOrEqual">
      <formula>5</formula>
    </cfRule>
  </conditionalFormatting>
  <conditionalFormatting sqref="L2300">
    <cfRule type="cellIs" dxfId="2017" priority="2445" operator="greaterThanOrEqual">
      <formula>2</formula>
    </cfRule>
  </conditionalFormatting>
  <conditionalFormatting sqref="M2300">
    <cfRule type="cellIs" dxfId="2016" priority="2446" operator="greaterThanOrEqual">
      <formula>60</formula>
    </cfRule>
  </conditionalFormatting>
  <conditionalFormatting sqref="M2300">
    <cfRule type="cellIs" dxfId="2015" priority="2447" operator="greaterThanOrEqual">
      <formula>30</formula>
    </cfRule>
  </conditionalFormatting>
  <conditionalFormatting sqref="R2300">
    <cfRule type="cellIs" dxfId="2014" priority="2448" operator="greaterThanOrEqual">
      <formula>600</formula>
    </cfRule>
  </conditionalFormatting>
  <conditionalFormatting sqref="R2300">
    <cfRule type="cellIs" dxfId="2013" priority="2449" operator="greaterThanOrEqual">
      <formula>260</formula>
    </cfRule>
  </conditionalFormatting>
  <conditionalFormatting sqref="S2300">
    <cfRule type="containsText" dxfId="2012" priority="2450" operator="containsText" text="&lt;">
      <formula>NOT(ISERROR(SEARCH(("&lt;"),(S2300))))</formula>
    </cfRule>
  </conditionalFormatting>
  <conditionalFormatting sqref="S2300">
    <cfRule type="containsText" dxfId="2011" priority="2451" operator="containsText" text="ND">
      <formula>NOT(ISERROR(SEARCH(("ND"),(S2300))))</formula>
    </cfRule>
  </conditionalFormatting>
  <conditionalFormatting sqref="S2300">
    <cfRule type="cellIs" dxfId="2010" priority="2452" operator="greaterThanOrEqual">
      <formula>200</formula>
    </cfRule>
  </conditionalFormatting>
  <conditionalFormatting sqref="S2300">
    <cfRule type="cellIs" dxfId="2009" priority="2453" operator="greaterThanOrEqual">
      <formula>130</formula>
    </cfRule>
  </conditionalFormatting>
  <conditionalFormatting sqref="N2300">
    <cfRule type="cellIs" dxfId="2008" priority="2454" operator="greaterThanOrEqual">
      <formula>200</formula>
    </cfRule>
  </conditionalFormatting>
  <conditionalFormatting sqref="N2300">
    <cfRule type="cellIs" dxfId="2007" priority="2455" operator="greaterThanOrEqual">
      <formula>120</formula>
    </cfRule>
  </conditionalFormatting>
  <conditionalFormatting sqref="O2300">
    <cfRule type="containsText" dxfId="2006" priority="2456" operator="containsText" text="ND">
      <formula>NOT(ISERROR(SEARCH(("ND"),(O2300))))</formula>
    </cfRule>
  </conditionalFormatting>
  <conditionalFormatting sqref="O2300">
    <cfRule type="cellIs" dxfId="2005" priority="2457" operator="greaterThanOrEqual">
      <formula>250</formula>
    </cfRule>
  </conditionalFormatting>
  <conditionalFormatting sqref="O2300">
    <cfRule type="cellIs" dxfId="2004" priority="2458" operator="greaterThanOrEqual">
      <formula>175</formula>
    </cfRule>
  </conditionalFormatting>
  <conditionalFormatting sqref="P2300">
    <cfRule type="containsText" dxfId="2003" priority="2459" operator="containsText" text="ND">
      <formula>NOT(ISERROR(SEARCH(("ND"),(P2300))))</formula>
    </cfRule>
  </conditionalFormatting>
  <conditionalFormatting sqref="P2300">
    <cfRule type="cellIs" dxfId="2002" priority="2460" operator="greaterThanOrEqual">
      <formula>5</formula>
    </cfRule>
  </conditionalFormatting>
  <conditionalFormatting sqref="P2300">
    <cfRule type="cellIs" dxfId="2001" priority="2461" operator="greaterThanOrEqual">
      <formula>2.5</formula>
    </cfRule>
  </conditionalFormatting>
  <conditionalFormatting sqref="Q2300">
    <cfRule type="containsText" dxfId="2000" priority="2462" operator="containsText" text="ND">
      <formula>NOT(ISERROR(SEARCH(("ND"),(Q2300))))</formula>
    </cfRule>
  </conditionalFormatting>
  <conditionalFormatting sqref="Q2300">
    <cfRule type="cellIs" dxfId="1999" priority="2463" operator="greaterThanOrEqual">
      <formula>500</formula>
    </cfRule>
  </conditionalFormatting>
  <conditionalFormatting sqref="Q2300">
    <cfRule type="cellIs" dxfId="1998" priority="2464" operator="greaterThanOrEqual">
      <formula>300</formula>
    </cfRule>
  </conditionalFormatting>
  <conditionalFormatting sqref="L1808">
    <cfRule type="cellIs" dxfId="1997" priority="2423" operator="greaterThanOrEqual">
      <formula>5</formula>
    </cfRule>
  </conditionalFormatting>
  <conditionalFormatting sqref="L1808">
    <cfRule type="cellIs" dxfId="1996" priority="2424" operator="greaterThanOrEqual">
      <formula>2</formula>
    </cfRule>
  </conditionalFormatting>
  <conditionalFormatting sqref="M1808">
    <cfRule type="cellIs" dxfId="1995" priority="2425" operator="greaterThanOrEqual">
      <formula>60</formula>
    </cfRule>
  </conditionalFormatting>
  <conditionalFormatting sqref="M1808">
    <cfRule type="cellIs" dxfId="1994" priority="2426" operator="greaterThanOrEqual">
      <formula>30</formula>
    </cfRule>
  </conditionalFormatting>
  <conditionalFormatting sqref="R1808">
    <cfRule type="cellIs" dxfId="1993" priority="2427" operator="greaterThanOrEqual">
      <formula>600</formula>
    </cfRule>
  </conditionalFormatting>
  <conditionalFormatting sqref="R1808">
    <cfRule type="cellIs" dxfId="1992" priority="2428" operator="greaterThanOrEqual">
      <formula>260</formula>
    </cfRule>
  </conditionalFormatting>
  <conditionalFormatting sqref="S1808">
    <cfRule type="containsText" dxfId="1991" priority="2429" operator="containsText" text="&lt;">
      <formula>NOT(ISERROR(SEARCH(("&lt;"),(S1808))))</formula>
    </cfRule>
  </conditionalFormatting>
  <conditionalFormatting sqref="S1808">
    <cfRule type="containsText" dxfId="1990" priority="2430" operator="containsText" text="ND">
      <formula>NOT(ISERROR(SEARCH(("ND"),(S1808))))</formula>
    </cfRule>
  </conditionalFormatting>
  <conditionalFormatting sqref="S1808">
    <cfRule type="cellIs" dxfId="1989" priority="2431" operator="greaterThanOrEqual">
      <formula>200</formula>
    </cfRule>
  </conditionalFormatting>
  <conditionalFormatting sqref="S1808">
    <cfRule type="cellIs" dxfId="1988" priority="2432" operator="greaterThanOrEqual">
      <formula>130</formula>
    </cfRule>
  </conditionalFormatting>
  <conditionalFormatting sqref="N1808">
    <cfRule type="cellIs" dxfId="1987" priority="2433" operator="greaterThanOrEqual">
      <formula>200</formula>
    </cfRule>
  </conditionalFormatting>
  <conditionalFormatting sqref="N1808">
    <cfRule type="cellIs" dxfId="1986" priority="2434" operator="greaterThanOrEqual">
      <formula>120</formula>
    </cfRule>
  </conditionalFormatting>
  <conditionalFormatting sqref="O1808">
    <cfRule type="containsText" dxfId="1985" priority="2435" operator="containsText" text="ND">
      <formula>NOT(ISERROR(SEARCH(("ND"),(O1808))))</formula>
    </cfRule>
  </conditionalFormatting>
  <conditionalFormatting sqref="O1808">
    <cfRule type="cellIs" dxfId="1984" priority="2436" operator="greaterThanOrEqual">
      <formula>250</formula>
    </cfRule>
  </conditionalFormatting>
  <conditionalFormatting sqref="O1808">
    <cfRule type="cellIs" dxfId="1983" priority="2437" operator="greaterThanOrEqual">
      <formula>175</formula>
    </cfRule>
  </conditionalFormatting>
  <conditionalFormatting sqref="P1808">
    <cfRule type="containsText" dxfId="1982" priority="2438" operator="containsText" text="ND">
      <formula>NOT(ISERROR(SEARCH(("ND"),(P1808))))</formula>
    </cfRule>
  </conditionalFormatting>
  <conditionalFormatting sqref="P1808">
    <cfRule type="cellIs" dxfId="1981" priority="2439" operator="greaterThanOrEqual">
      <formula>5</formula>
    </cfRule>
  </conditionalFormatting>
  <conditionalFormatting sqref="P1808">
    <cfRule type="cellIs" dxfId="1980" priority="2440" operator="greaterThanOrEqual">
      <formula>2.5</formula>
    </cfRule>
  </conditionalFormatting>
  <conditionalFormatting sqref="Q1808">
    <cfRule type="containsText" dxfId="1979" priority="2441" operator="containsText" text="ND">
      <formula>NOT(ISERROR(SEARCH(("ND"),(Q1808))))</formula>
    </cfRule>
  </conditionalFormatting>
  <conditionalFormatting sqref="Q1808">
    <cfRule type="cellIs" dxfId="1978" priority="2442" operator="greaterThanOrEqual">
      <formula>500</formula>
    </cfRule>
  </conditionalFormatting>
  <conditionalFormatting sqref="Q1808">
    <cfRule type="cellIs" dxfId="1977" priority="2443" operator="greaterThanOrEqual">
      <formula>300</formula>
    </cfRule>
  </conditionalFormatting>
  <conditionalFormatting sqref="P2130 L2130">
    <cfRule type="cellIs" dxfId="1976" priority="2406" operator="greaterThanOrEqual">
      <formula>5</formula>
    </cfRule>
  </conditionalFormatting>
  <conditionalFormatting sqref="L2130">
    <cfRule type="cellIs" dxfId="1975" priority="2407" operator="greaterThanOrEqual">
      <formula>2</formula>
    </cfRule>
  </conditionalFormatting>
  <conditionalFormatting sqref="M2130">
    <cfRule type="cellIs" dxfId="1974" priority="2408" operator="greaterThanOrEqual">
      <formula>60</formula>
    </cfRule>
  </conditionalFormatting>
  <conditionalFormatting sqref="M2130">
    <cfRule type="cellIs" dxfId="1973" priority="2409" operator="greaterThanOrEqual">
      <formula>30</formula>
    </cfRule>
  </conditionalFormatting>
  <conditionalFormatting sqref="R2130">
    <cfRule type="cellIs" dxfId="1972" priority="2410" operator="greaterThanOrEqual">
      <formula>600</formula>
    </cfRule>
  </conditionalFormatting>
  <conditionalFormatting sqref="R2130">
    <cfRule type="cellIs" dxfId="1971" priority="2411" operator="greaterThanOrEqual">
      <formula>260</formula>
    </cfRule>
  </conditionalFormatting>
  <conditionalFormatting sqref="S2130 N2130">
    <cfRule type="cellIs" dxfId="1970" priority="2414" operator="greaterThanOrEqual">
      <formula>200</formula>
    </cfRule>
  </conditionalFormatting>
  <conditionalFormatting sqref="S2130">
    <cfRule type="cellIs" dxfId="1969" priority="2415" operator="greaterThanOrEqual">
      <formula>130</formula>
    </cfRule>
  </conditionalFormatting>
  <conditionalFormatting sqref="N2130">
    <cfRule type="cellIs" dxfId="1968" priority="2416" operator="greaterThanOrEqual">
      <formula>120</formula>
    </cfRule>
  </conditionalFormatting>
  <conditionalFormatting sqref="O2130">
    <cfRule type="cellIs" dxfId="1967" priority="2418" operator="greaterThanOrEqual">
      <formula>250</formula>
    </cfRule>
  </conditionalFormatting>
  <conditionalFormatting sqref="O2130">
    <cfRule type="cellIs" dxfId="1966" priority="2419" operator="greaterThanOrEqual">
      <formula>175</formula>
    </cfRule>
  </conditionalFormatting>
  <conditionalFormatting sqref="P2130">
    <cfRule type="cellIs" dxfId="1965" priority="2420" operator="greaterThanOrEqual">
      <formula>2.5</formula>
    </cfRule>
  </conditionalFormatting>
  <conditionalFormatting sqref="Q2130">
    <cfRule type="cellIs" dxfId="1964" priority="2421" operator="greaterThanOrEqual">
      <formula>500</formula>
    </cfRule>
  </conditionalFormatting>
  <conditionalFormatting sqref="Q2130">
    <cfRule type="cellIs" dxfId="1963" priority="2422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962" priority="2398">
      <formula>LEN(TRIM(W1626))=0</formula>
    </cfRule>
    <cfRule type="cellIs" dxfId="1961" priority="6312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960" priority="2393" operator="equal">
      <formula>"建物"</formula>
    </cfRule>
    <cfRule type="cellIs" dxfId="1959" priority="2394" operator="equal">
      <formula>"難以採樣"</formula>
    </cfRule>
    <cfRule type="cellIs" dxfId="1958" priority="2395" operator="equal">
      <formula>"管制"</formula>
    </cfRule>
    <cfRule type="cellIs" dxfId="1957" priority="2396" operator="equal">
      <formula>"正常"</formula>
    </cfRule>
    <cfRule type="cellIs" dxfId="1956" priority="2397" operator="equal">
      <formula>"監測"</formula>
    </cfRule>
  </conditionalFormatting>
  <conditionalFormatting sqref="P2254 L2254">
    <cfRule type="cellIs" dxfId="1955" priority="2378" operator="greaterThanOrEqual">
      <formula>5</formula>
    </cfRule>
  </conditionalFormatting>
  <conditionalFormatting sqref="L2254">
    <cfRule type="cellIs" dxfId="1954" priority="2379" operator="greaterThanOrEqual">
      <formula>2</formula>
    </cfRule>
  </conditionalFormatting>
  <conditionalFormatting sqref="M2254">
    <cfRule type="cellIs" dxfId="1953" priority="2380" operator="greaterThanOrEqual">
      <formula>60</formula>
    </cfRule>
  </conditionalFormatting>
  <conditionalFormatting sqref="M2254">
    <cfRule type="cellIs" dxfId="1952" priority="2381" operator="greaterThanOrEqual">
      <formula>30</formula>
    </cfRule>
  </conditionalFormatting>
  <conditionalFormatting sqref="R2254">
    <cfRule type="cellIs" dxfId="1951" priority="2382" operator="greaterThanOrEqual">
      <formula>600</formula>
    </cfRule>
  </conditionalFormatting>
  <conditionalFormatting sqref="R2254">
    <cfRule type="cellIs" dxfId="1950" priority="2383" operator="greaterThanOrEqual">
      <formula>260</formula>
    </cfRule>
  </conditionalFormatting>
  <conditionalFormatting sqref="N2254 S2254">
    <cfRule type="cellIs" dxfId="1949" priority="2384" operator="greaterThanOrEqual">
      <formula>200</formula>
    </cfRule>
  </conditionalFormatting>
  <conditionalFormatting sqref="S2254">
    <cfRule type="cellIs" dxfId="1948" priority="2385" operator="greaterThanOrEqual">
      <formula>130</formula>
    </cfRule>
  </conditionalFormatting>
  <conditionalFormatting sqref="N2254">
    <cfRule type="cellIs" dxfId="1947" priority="2386" operator="greaterThanOrEqual">
      <formula>120</formula>
    </cfRule>
  </conditionalFormatting>
  <conditionalFormatting sqref="O2254">
    <cfRule type="cellIs" dxfId="1946" priority="2387" operator="greaterThanOrEqual">
      <formula>250</formula>
    </cfRule>
  </conditionalFormatting>
  <conditionalFormatting sqref="O2254">
    <cfRule type="cellIs" dxfId="1945" priority="2388" operator="greaterThanOrEqual">
      <formula>175</formula>
    </cfRule>
  </conditionalFormatting>
  <conditionalFormatting sqref="P2254">
    <cfRule type="cellIs" dxfId="1944" priority="2389" operator="greaterThanOrEqual">
      <formula>2.5</formula>
    </cfRule>
  </conditionalFormatting>
  <conditionalFormatting sqref="Q2254">
    <cfRule type="cellIs" dxfId="1943" priority="2390" operator="greaterThanOrEqual">
      <formula>500</formula>
    </cfRule>
  </conditionalFormatting>
  <conditionalFormatting sqref="Q2254">
    <cfRule type="cellIs" dxfId="1942" priority="2391" operator="greaterThanOrEqual">
      <formula>300</formula>
    </cfRule>
  </conditionalFormatting>
  <conditionalFormatting sqref="W2254:W2255 W2045 W1831">
    <cfRule type="cellIs" dxfId="1941" priority="2392" operator="lessThan">
      <formula>109</formula>
    </cfRule>
  </conditionalFormatting>
  <conditionalFormatting sqref="X2254:AK2254 X2045:AK2045 X1831:AK1831">
    <cfRule type="cellIs" dxfId="1940" priority="2375" operator="equal">
      <formula>"管制"</formula>
    </cfRule>
    <cfRule type="cellIs" dxfId="1939" priority="2376" operator="equal">
      <formula>"正常"</formula>
    </cfRule>
    <cfRule type="cellIs" dxfId="1938" priority="2377" operator="equal">
      <formula>"監測"</formula>
    </cfRule>
  </conditionalFormatting>
  <conditionalFormatting sqref="P2255 L2255">
    <cfRule type="cellIs" dxfId="1937" priority="2361" operator="greaterThanOrEqual">
      <formula>5</formula>
    </cfRule>
  </conditionalFormatting>
  <conditionalFormatting sqref="L2255">
    <cfRule type="cellIs" dxfId="1936" priority="2362" operator="greaterThanOrEqual">
      <formula>2</formula>
    </cfRule>
  </conditionalFormatting>
  <conditionalFormatting sqref="M2255">
    <cfRule type="cellIs" dxfId="1935" priority="2363" operator="greaterThanOrEqual">
      <formula>60</formula>
    </cfRule>
  </conditionalFormatting>
  <conditionalFormatting sqref="M2255">
    <cfRule type="cellIs" dxfId="1934" priority="2364" operator="greaterThanOrEqual">
      <formula>30</formula>
    </cfRule>
  </conditionalFormatting>
  <conditionalFormatting sqref="R2255">
    <cfRule type="cellIs" dxfId="1933" priority="2365" operator="greaterThanOrEqual">
      <formula>600</formula>
    </cfRule>
  </conditionalFormatting>
  <conditionalFormatting sqref="R2255">
    <cfRule type="cellIs" dxfId="1932" priority="2366" operator="greaterThanOrEqual">
      <formula>260</formula>
    </cfRule>
  </conditionalFormatting>
  <conditionalFormatting sqref="N2255 S2255">
    <cfRule type="cellIs" dxfId="1931" priority="2367" operator="greaterThanOrEqual">
      <formula>200</formula>
    </cfRule>
  </conditionalFormatting>
  <conditionalFormatting sqref="S2255">
    <cfRule type="cellIs" dxfId="1930" priority="2368" operator="greaterThanOrEqual">
      <formula>130</formula>
    </cfRule>
  </conditionalFormatting>
  <conditionalFormatting sqref="N2255">
    <cfRule type="cellIs" dxfId="1929" priority="2369" operator="greaterThanOrEqual">
      <formula>120</formula>
    </cfRule>
  </conditionalFormatting>
  <conditionalFormatting sqref="O2255">
    <cfRule type="cellIs" dxfId="1928" priority="2370" operator="greaterThanOrEqual">
      <formula>250</formula>
    </cfRule>
  </conditionalFormatting>
  <conditionalFormatting sqref="O2255">
    <cfRule type="cellIs" dxfId="1927" priority="2371" operator="greaterThanOrEqual">
      <formula>175</formula>
    </cfRule>
  </conditionalFormatting>
  <conditionalFormatting sqref="P2255">
    <cfRule type="cellIs" dxfId="1926" priority="2372" operator="greaterThanOrEqual">
      <formula>2.5</formula>
    </cfRule>
  </conditionalFormatting>
  <conditionalFormatting sqref="Q2255">
    <cfRule type="cellIs" dxfId="1925" priority="2373" operator="greaterThanOrEqual">
      <formula>500</formula>
    </cfRule>
  </conditionalFormatting>
  <conditionalFormatting sqref="Q2255">
    <cfRule type="cellIs" dxfId="1924" priority="2374" operator="greaterThanOrEqual">
      <formula>300</formula>
    </cfRule>
  </conditionalFormatting>
  <conditionalFormatting sqref="X2255:AE2255 AG2255:AK2255">
    <cfRule type="cellIs" dxfId="1923" priority="2358" operator="equal">
      <formula>"管制"</formula>
    </cfRule>
    <cfRule type="cellIs" dxfId="1922" priority="2359" operator="equal">
      <formula>"正常"</formula>
    </cfRule>
    <cfRule type="cellIs" dxfId="1921" priority="2360" operator="equal">
      <formula>"監測"</formula>
    </cfRule>
  </conditionalFormatting>
  <conditionalFormatting sqref="AF2255">
    <cfRule type="cellIs" dxfId="1920" priority="2355" operator="equal">
      <formula>"管制"</formula>
    </cfRule>
    <cfRule type="cellIs" dxfId="1919" priority="2356" operator="equal">
      <formula>"正常"</formula>
    </cfRule>
    <cfRule type="cellIs" dxfId="1918" priority="2357" operator="equal">
      <formula>"監測"</formula>
    </cfRule>
  </conditionalFormatting>
  <conditionalFormatting sqref="L2028 P2028">
    <cfRule type="cellIs" dxfId="1917" priority="2340" operator="greaterThanOrEqual">
      <formula>5</formula>
    </cfRule>
  </conditionalFormatting>
  <conditionalFormatting sqref="L2028">
    <cfRule type="cellIs" dxfId="1916" priority="2341" operator="greaterThanOrEqual">
      <formula>2</formula>
    </cfRule>
  </conditionalFormatting>
  <conditionalFormatting sqref="M2028">
    <cfRule type="cellIs" dxfId="1915" priority="2342" operator="greaterThanOrEqual">
      <formula>60</formula>
    </cfRule>
  </conditionalFormatting>
  <conditionalFormatting sqref="M2028">
    <cfRule type="cellIs" dxfId="1914" priority="2343" operator="greaterThanOrEqual">
      <formula>30</formula>
    </cfRule>
  </conditionalFormatting>
  <conditionalFormatting sqref="R2028">
    <cfRule type="cellIs" dxfId="1913" priority="2344" operator="greaterThanOrEqual">
      <formula>600</formula>
    </cfRule>
  </conditionalFormatting>
  <conditionalFormatting sqref="R2028">
    <cfRule type="cellIs" dxfId="1912" priority="2345" operator="greaterThanOrEqual">
      <formula>260</formula>
    </cfRule>
  </conditionalFormatting>
  <conditionalFormatting sqref="S2028 N2028">
    <cfRule type="cellIs" dxfId="1911" priority="2346" operator="greaterThanOrEqual">
      <formula>200</formula>
    </cfRule>
  </conditionalFormatting>
  <conditionalFormatting sqref="S2028">
    <cfRule type="cellIs" dxfId="1910" priority="2347" operator="greaterThanOrEqual">
      <formula>130</formula>
    </cfRule>
  </conditionalFormatting>
  <conditionalFormatting sqref="N2028">
    <cfRule type="cellIs" dxfId="1909" priority="2348" operator="greaterThanOrEqual">
      <formula>120</formula>
    </cfRule>
  </conditionalFormatting>
  <conditionalFormatting sqref="O2028">
    <cfRule type="cellIs" dxfId="1908" priority="2349" operator="greaterThanOrEqual">
      <formula>250</formula>
    </cfRule>
  </conditionalFormatting>
  <conditionalFormatting sqref="O2028">
    <cfRule type="cellIs" dxfId="1907" priority="2350" operator="greaterThanOrEqual">
      <formula>175</formula>
    </cfRule>
  </conditionalFormatting>
  <conditionalFormatting sqref="P2028">
    <cfRule type="cellIs" dxfId="1906" priority="2351" operator="greaterThanOrEqual">
      <formula>2.5</formula>
    </cfRule>
  </conditionalFormatting>
  <conditionalFormatting sqref="Q2028">
    <cfRule type="cellIs" dxfId="1905" priority="2352" operator="greaterThanOrEqual">
      <formula>500</formula>
    </cfRule>
  </conditionalFormatting>
  <conditionalFormatting sqref="Q2028">
    <cfRule type="cellIs" dxfId="1904" priority="2353" operator="greaterThanOrEqual">
      <formula>300</formula>
    </cfRule>
  </conditionalFormatting>
  <conditionalFormatting sqref="W2028">
    <cfRule type="cellIs" dxfId="1903" priority="2354" operator="lessThan">
      <formula>109</formula>
    </cfRule>
  </conditionalFormatting>
  <conditionalFormatting sqref="X2028:AK2028">
    <cfRule type="cellIs" dxfId="1902" priority="2337" operator="equal">
      <formula>"管制"</formula>
    </cfRule>
    <cfRule type="cellIs" dxfId="1901" priority="2338" operator="equal">
      <formula>"正常"</formula>
    </cfRule>
    <cfRule type="cellIs" dxfId="1900" priority="2339" operator="equal">
      <formula>"監測"</formula>
    </cfRule>
  </conditionalFormatting>
  <conditionalFormatting sqref="P2199 L2199">
    <cfRule type="cellIs" dxfId="1899" priority="2322" operator="greaterThanOrEqual">
      <formula>5</formula>
    </cfRule>
  </conditionalFormatting>
  <conditionalFormatting sqref="L2199">
    <cfRule type="cellIs" dxfId="1898" priority="2323" operator="greaterThanOrEqual">
      <formula>2</formula>
    </cfRule>
  </conditionalFormatting>
  <conditionalFormatting sqref="M2199">
    <cfRule type="cellIs" dxfId="1897" priority="2324" operator="greaterThanOrEqual">
      <formula>60</formula>
    </cfRule>
  </conditionalFormatting>
  <conditionalFormatting sqref="M2199">
    <cfRule type="cellIs" dxfId="1896" priority="2325" operator="greaterThanOrEqual">
      <formula>30</formula>
    </cfRule>
  </conditionalFormatting>
  <conditionalFormatting sqref="R2199">
    <cfRule type="cellIs" dxfId="1895" priority="2326" operator="greaterThanOrEqual">
      <formula>600</formula>
    </cfRule>
  </conditionalFormatting>
  <conditionalFormatting sqref="R2199">
    <cfRule type="cellIs" dxfId="1894" priority="2327" operator="greaterThanOrEqual">
      <formula>260</formula>
    </cfRule>
  </conditionalFormatting>
  <conditionalFormatting sqref="N2199 S2199">
    <cfRule type="cellIs" dxfId="1893" priority="2328" operator="greaterThanOrEqual">
      <formula>200</formula>
    </cfRule>
  </conditionalFormatting>
  <conditionalFormatting sqref="S2199">
    <cfRule type="cellIs" dxfId="1892" priority="2329" operator="greaterThanOrEqual">
      <formula>130</formula>
    </cfRule>
  </conditionalFormatting>
  <conditionalFormatting sqref="N2199">
    <cfRule type="cellIs" dxfId="1891" priority="2330" operator="greaterThanOrEqual">
      <formula>120</formula>
    </cfRule>
  </conditionalFormatting>
  <conditionalFormatting sqref="O2199">
    <cfRule type="cellIs" dxfId="1890" priority="2331" operator="greaterThanOrEqual">
      <formula>250</formula>
    </cfRule>
  </conditionalFormatting>
  <conditionalFormatting sqref="O2199">
    <cfRule type="cellIs" dxfId="1889" priority="2332" operator="greaterThanOrEqual">
      <formula>175</formula>
    </cfRule>
  </conditionalFormatting>
  <conditionalFormatting sqref="P2199">
    <cfRule type="cellIs" dxfId="1888" priority="2333" operator="greaterThanOrEqual">
      <formula>2.5</formula>
    </cfRule>
  </conditionalFormatting>
  <conditionalFormatting sqref="Q2199">
    <cfRule type="cellIs" dxfId="1887" priority="2334" operator="greaterThanOrEqual">
      <formula>500</formula>
    </cfRule>
  </conditionalFormatting>
  <conditionalFormatting sqref="Q2199">
    <cfRule type="cellIs" dxfId="1886" priority="2335" operator="greaterThanOrEqual">
      <formula>300</formula>
    </cfRule>
  </conditionalFormatting>
  <conditionalFormatting sqref="W2199">
    <cfRule type="cellIs" dxfId="1885" priority="2336" operator="lessThan">
      <formula>109</formula>
    </cfRule>
  </conditionalFormatting>
  <conditionalFormatting sqref="X2199:AG2199 AI2199:AK2199">
    <cfRule type="cellIs" dxfId="1884" priority="2319" operator="equal">
      <formula>"管制"</formula>
    </cfRule>
    <cfRule type="cellIs" dxfId="1883" priority="2320" operator="equal">
      <formula>"正常"</formula>
    </cfRule>
    <cfRule type="cellIs" dxfId="1882" priority="2321" operator="equal">
      <formula>"監測"</formula>
    </cfRule>
  </conditionalFormatting>
  <conditionalFormatting sqref="AH2199">
    <cfRule type="cellIs" dxfId="1881" priority="2314" operator="equal">
      <formula>"建物"</formula>
    </cfRule>
    <cfRule type="cellIs" dxfId="1880" priority="2315" operator="equal">
      <formula>"難以採樣"</formula>
    </cfRule>
    <cfRule type="cellIs" dxfId="1879" priority="2316" operator="equal">
      <formula>"管制"</formula>
    </cfRule>
    <cfRule type="cellIs" dxfId="1878" priority="2317" operator="equal">
      <formula>"正常"</formula>
    </cfRule>
    <cfRule type="cellIs" dxfId="1877" priority="2318" operator="equal">
      <formula>"監測"</formula>
    </cfRule>
  </conditionalFormatting>
  <conditionalFormatting sqref="L2201 P2201">
    <cfRule type="cellIs" dxfId="1876" priority="2299" operator="greaterThanOrEqual">
      <formula>5</formula>
    </cfRule>
  </conditionalFormatting>
  <conditionalFormatting sqref="L2201">
    <cfRule type="cellIs" dxfId="1875" priority="2300" operator="greaterThanOrEqual">
      <formula>2</formula>
    </cfRule>
  </conditionalFormatting>
  <conditionalFormatting sqref="M2201">
    <cfRule type="cellIs" dxfId="1874" priority="2301" operator="greaterThanOrEqual">
      <formula>60</formula>
    </cfRule>
  </conditionalFormatting>
  <conditionalFormatting sqref="M2201">
    <cfRule type="cellIs" dxfId="1873" priority="2302" operator="greaterThanOrEqual">
      <formula>30</formula>
    </cfRule>
  </conditionalFormatting>
  <conditionalFormatting sqref="R2201">
    <cfRule type="cellIs" dxfId="1872" priority="2303" operator="greaterThanOrEqual">
      <formula>600</formula>
    </cfRule>
  </conditionalFormatting>
  <conditionalFormatting sqref="R2201">
    <cfRule type="cellIs" dxfId="1871" priority="2304" operator="greaterThanOrEqual">
      <formula>260</formula>
    </cfRule>
  </conditionalFormatting>
  <conditionalFormatting sqref="S2201 N2201">
    <cfRule type="cellIs" dxfId="1870" priority="2305" operator="greaterThanOrEqual">
      <formula>200</formula>
    </cfRule>
  </conditionalFormatting>
  <conditionalFormatting sqref="S2201">
    <cfRule type="cellIs" dxfId="1869" priority="2306" operator="greaterThanOrEqual">
      <formula>130</formula>
    </cfRule>
  </conditionalFormatting>
  <conditionalFormatting sqref="N2201">
    <cfRule type="cellIs" dxfId="1868" priority="2307" operator="greaterThanOrEqual">
      <formula>120</formula>
    </cfRule>
  </conditionalFormatting>
  <conditionalFormatting sqref="O2201">
    <cfRule type="cellIs" dxfId="1867" priority="2308" operator="greaterThanOrEqual">
      <formula>250</formula>
    </cfRule>
  </conditionalFormatting>
  <conditionalFormatting sqref="O2201">
    <cfRule type="cellIs" dxfId="1866" priority="2309" operator="greaterThanOrEqual">
      <formula>175</formula>
    </cfRule>
  </conditionalFormatting>
  <conditionalFormatting sqref="P2201">
    <cfRule type="cellIs" dxfId="1865" priority="2310" operator="greaterThanOrEqual">
      <formula>2.5</formula>
    </cfRule>
  </conditionalFormatting>
  <conditionalFormatting sqref="Q2201">
    <cfRule type="cellIs" dxfId="1864" priority="2311" operator="greaterThanOrEqual">
      <formula>500</formula>
    </cfRule>
  </conditionalFormatting>
  <conditionalFormatting sqref="Q2201">
    <cfRule type="cellIs" dxfId="1863" priority="2312" operator="greaterThanOrEqual">
      <formula>300</formula>
    </cfRule>
  </conditionalFormatting>
  <conditionalFormatting sqref="W2201">
    <cfRule type="cellIs" dxfId="1862" priority="2313" operator="lessThan">
      <formula>109</formula>
    </cfRule>
  </conditionalFormatting>
  <conditionalFormatting sqref="X2201:AG2201 AI2201:AK2201">
    <cfRule type="cellIs" dxfId="1861" priority="2296" operator="equal">
      <formula>"管制"</formula>
    </cfRule>
    <cfRule type="cellIs" dxfId="1860" priority="2297" operator="equal">
      <formula>"正常"</formula>
    </cfRule>
    <cfRule type="cellIs" dxfId="1859" priority="2298" operator="equal">
      <formula>"監測"</formula>
    </cfRule>
  </conditionalFormatting>
  <conditionalFormatting sqref="AH2201">
    <cfRule type="cellIs" dxfId="1858" priority="2291" operator="equal">
      <formula>"建物"</formula>
    </cfRule>
    <cfRule type="cellIs" dxfId="1857" priority="2292" operator="equal">
      <formula>"難以採樣"</formula>
    </cfRule>
    <cfRule type="cellIs" dxfId="1856" priority="2293" operator="equal">
      <formula>"管制"</formula>
    </cfRule>
    <cfRule type="cellIs" dxfId="1855" priority="2294" operator="equal">
      <formula>"正常"</formula>
    </cfRule>
    <cfRule type="cellIs" dxfId="1854" priority="2295" operator="equal">
      <formula>"監測"</formula>
    </cfRule>
  </conditionalFormatting>
  <conditionalFormatting sqref="AJ2131:AK2143">
    <cfRule type="cellIs" dxfId="1853" priority="2286" operator="equal">
      <formula>"建物"</formula>
    </cfRule>
    <cfRule type="cellIs" dxfId="1852" priority="2287" operator="equal">
      <formula>"難以採樣"</formula>
    </cfRule>
    <cfRule type="cellIs" dxfId="1851" priority="2288" operator="equal">
      <formula>"管制"</formula>
    </cfRule>
    <cfRule type="cellIs" dxfId="1850" priority="2289" operator="equal">
      <formula>"正常"</formula>
    </cfRule>
    <cfRule type="cellIs" dxfId="1849" priority="2290" operator="equal">
      <formula>"監測"</formula>
    </cfRule>
  </conditionalFormatting>
  <conditionalFormatting sqref="L2132:L2139 P2132:P2139">
    <cfRule type="cellIs" dxfId="1848" priority="2263" operator="greaterThanOrEqual">
      <formula>5</formula>
    </cfRule>
  </conditionalFormatting>
  <conditionalFormatting sqref="L2132:L2139">
    <cfRule type="cellIs" dxfId="1847" priority="2264" operator="greaterThanOrEqual">
      <formula>2</formula>
    </cfRule>
  </conditionalFormatting>
  <conditionalFormatting sqref="M2132:M2139">
    <cfRule type="cellIs" dxfId="1846" priority="2265" operator="greaterThanOrEqual">
      <formula>60</formula>
    </cfRule>
  </conditionalFormatting>
  <conditionalFormatting sqref="M2132:M2139">
    <cfRule type="cellIs" dxfId="1845" priority="2266" operator="greaterThanOrEqual">
      <formula>30</formula>
    </cfRule>
  </conditionalFormatting>
  <conditionalFormatting sqref="R2132:R2139">
    <cfRule type="cellIs" dxfId="1844" priority="2267" operator="greaterThanOrEqual">
      <formula>600</formula>
    </cfRule>
  </conditionalFormatting>
  <conditionalFormatting sqref="R2132:R2139">
    <cfRule type="cellIs" dxfId="1843" priority="2268" operator="greaterThanOrEqual">
      <formula>260</formula>
    </cfRule>
  </conditionalFormatting>
  <conditionalFormatting sqref="S2132:S2139">
    <cfRule type="containsText" dxfId="1842" priority="2269" operator="containsText" text="&lt;">
      <formula>NOT(ISERROR(SEARCH(("&lt;"),(S2132))))</formula>
    </cfRule>
  </conditionalFormatting>
  <conditionalFormatting sqref="S2132:S2139">
    <cfRule type="containsText" dxfId="1841" priority="2270" operator="containsText" text="ND">
      <formula>NOT(ISERROR(SEARCH(("ND"),(S2132))))</formula>
    </cfRule>
  </conditionalFormatting>
  <conditionalFormatting sqref="S2132:S2139 N2132:N2139">
    <cfRule type="cellIs" dxfId="1840" priority="2271" operator="greaterThanOrEqual">
      <formula>200</formula>
    </cfRule>
  </conditionalFormatting>
  <conditionalFormatting sqref="S2132:S2139">
    <cfRule type="cellIs" dxfId="1839" priority="2272" operator="greaterThanOrEqual">
      <formula>130</formula>
    </cfRule>
  </conditionalFormatting>
  <conditionalFormatting sqref="N2132:N2139">
    <cfRule type="cellIs" dxfId="1838" priority="2273" operator="greaterThanOrEqual">
      <formula>120</formula>
    </cfRule>
  </conditionalFormatting>
  <conditionalFormatting sqref="O2132:Q2139">
    <cfRule type="containsText" dxfId="1837" priority="2274" operator="containsText" text="ND">
      <formula>NOT(ISERROR(SEARCH(("ND"),(O2132))))</formula>
    </cfRule>
  </conditionalFormatting>
  <conditionalFormatting sqref="O2132:O2139">
    <cfRule type="cellIs" dxfId="1836" priority="2275" operator="greaterThanOrEqual">
      <formula>250</formula>
    </cfRule>
  </conditionalFormatting>
  <conditionalFormatting sqref="O2132:O2139">
    <cfRule type="cellIs" dxfId="1835" priority="2276" operator="greaterThanOrEqual">
      <formula>175</formula>
    </cfRule>
  </conditionalFormatting>
  <conditionalFormatting sqref="P2132:P2139">
    <cfRule type="cellIs" dxfId="1834" priority="2277" operator="greaterThanOrEqual">
      <formula>2.5</formula>
    </cfRule>
  </conditionalFormatting>
  <conditionalFormatting sqref="Q2132:Q2139">
    <cfRule type="cellIs" dxfId="1833" priority="2278" operator="greaterThanOrEqual">
      <formula>500</formula>
    </cfRule>
  </conditionalFormatting>
  <conditionalFormatting sqref="Q2132:Q2139">
    <cfRule type="cellIs" dxfId="1832" priority="2279" operator="greaterThanOrEqual">
      <formula>300</formula>
    </cfRule>
  </conditionalFormatting>
  <conditionalFormatting sqref="W2132:W2139">
    <cfRule type="containsBlanks" dxfId="1831" priority="2262">
      <formula>LEN(TRIM(W2132))=0</formula>
    </cfRule>
    <cfRule type="cellIs" dxfId="1830" priority="2280" operator="lessThan">
      <formula>109</formula>
    </cfRule>
  </conditionalFormatting>
  <conditionalFormatting sqref="X2132:AI2139">
    <cfRule type="cellIs" dxfId="1829" priority="2259" operator="equal">
      <formula>"管制"</formula>
    </cfRule>
    <cfRule type="cellIs" dxfId="1828" priority="2260" operator="equal">
      <formula>"正常"</formula>
    </cfRule>
    <cfRule type="cellIs" dxfId="1827" priority="2261" operator="equal">
      <formula>"監測"</formula>
    </cfRule>
  </conditionalFormatting>
  <conditionalFormatting sqref="L2140">
    <cfRule type="cellIs" dxfId="1826" priority="2242" operator="greaterThanOrEqual">
      <formula>5</formula>
    </cfRule>
  </conditionalFormatting>
  <conditionalFormatting sqref="L2140">
    <cfRule type="cellIs" dxfId="1825" priority="2243" operator="greaterThanOrEqual">
      <formula>2</formula>
    </cfRule>
  </conditionalFormatting>
  <conditionalFormatting sqref="M2140">
    <cfRule type="cellIs" dxfId="1824" priority="2244" operator="greaterThanOrEqual">
      <formula>60</formula>
    </cfRule>
  </conditionalFormatting>
  <conditionalFormatting sqref="M2140">
    <cfRule type="cellIs" dxfId="1823" priority="2245" operator="greaterThanOrEqual">
      <formula>30</formula>
    </cfRule>
  </conditionalFormatting>
  <conditionalFormatting sqref="R2140">
    <cfRule type="cellIs" dxfId="1822" priority="2246" operator="greaterThanOrEqual">
      <formula>600</formula>
    </cfRule>
  </conditionalFormatting>
  <conditionalFormatting sqref="R2140">
    <cfRule type="cellIs" dxfId="1821" priority="2247" operator="greaterThanOrEqual">
      <formula>260</formula>
    </cfRule>
  </conditionalFormatting>
  <conditionalFormatting sqref="S2140">
    <cfRule type="cellIs" dxfId="1820" priority="2248" operator="greaterThanOrEqual">
      <formula>200</formula>
    </cfRule>
  </conditionalFormatting>
  <conditionalFormatting sqref="S2140">
    <cfRule type="cellIs" dxfId="1819" priority="2249" operator="greaterThanOrEqual">
      <formula>130</formula>
    </cfRule>
  </conditionalFormatting>
  <conditionalFormatting sqref="N2140">
    <cfRule type="cellIs" dxfId="1818" priority="2250" operator="greaterThanOrEqual">
      <formula>200</formula>
    </cfRule>
  </conditionalFormatting>
  <conditionalFormatting sqref="N2140">
    <cfRule type="cellIs" dxfId="1817" priority="2251" operator="greaterThanOrEqual">
      <formula>120</formula>
    </cfRule>
  </conditionalFormatting>
  <conditionalFormatting sqref="O2140">
    <cfRule type="cellIs" dxfId="1816" priority="2252" operator="greaterThanOrEqual">
      <formula>250</formula>
    </cfRule>
  </conditionalFormatting>
  <conditionalFormatting sqref="O2140">
    <cfRule type="cellIs" dxfId="1815" priority="2253" operator="greaterThanOrEqual">
      <formula>175</formula>
    </cfRule>
  </conditionalFormatting>
  <conditionalFormatting sqref="P2140">
    <cfRule type="cellIs" dxfId="1814" priority="2254" operator="greaterThanOrEqual">
      <formula>5</formula>
    </cfRule>
  </conditionalFormatting>
  <conditionalFormatting sqref="P2140">
    <cfRule type="cellIs" dxfId="1813" priority="2255" operator="greaterThanOrEqual">
      <formula>2.5</formula>
    </cfRule>
  </conditionalFormatting>
  <conditionalFormatting sqref="Q2140">
    <cfRule type="cellIs" dxfId="1812" priority="2256" operator="greaterThanOrEqual">
      <formula>500</formula>
    </cfRule>
  </conditionalFormatting>
  <conditionalFormatting sqref="Q2140">
    <cfRule type="cellIs" dxfId="1811" priority="2257" operator="greaterThanOrEqual">
      <formula>300</formula>
    </cfRule>
  </conditionalFormatting>
  <conditionalFormatting sqref="W2140">
    <cfRule type="cellIs" dxfId="1810" priority="2258" operator="lessThan">
      <formula>109</formula>
    </cfRule>
  </conditionalFormatting>
  <conditionalFormatting sqref="X2140:AI2140">
    <cfRule type="cellIs" dxfId="1809" priority="2237" operator="equal">
      <formula>"建物"</formula>
    </cfRule>
    <cfRule type="cellIs" dxfId="1808" priority="2238" operator="equal">
      <formula>"難以採樣"</formula>
    </cfRule>
    <cfRule type="cellIs" dxfId="1807" priority="2239" operator="equal">
      <formula>"管制"</formula>
    </cfRule>
    <cfRule type="cellIs" dxfId="1806" priority="2240" operator="equal">
      <formula>"正常"</formula>
    </cfRule>
    <cfRule type="cellIs" dxfId="1805" priority="2241" operator="equal">
      <formula>"監測"</formula>
    </cfRule>
  </conditionalFormatting>
  <conditionalFormatting sqref="S2140">
    <cfRule type="containsText" dxfId="1804" priority="6321" operator="containsText" text="&lt;">
      <formula>NOT(ISERROR(SEARCH(("&lt;"),(Q473))))</formula>
    </cfRule>
  </conditionalFormatting>
  <conditionalFormatting sqref="S2140">
    <cfRule type="containsText" dxfId="1803" priority="6322" operator="containsText" text="ND">
      <formula>NOT(ISERROR(SEARCH(("ND"),(Q473))))</formula>
    </cfRule>
  </conditionalFormatting>
  <conditionalFormatting sqref="O2140:Q2140">
    <cfRule type="containsText" dxfId="1802" priority="6323" operator="containsText" text="ND">
      <formula>NOT(ISERROR(SEARCH(("ND"),(M473))))</formula>
    </cfRule>
  </conditionalFormatting>
  <conditionalFormatting sqref="L2141:L2142">
    <cfRule type="cellIs" dxfId="1801" priority="2215" operator="greaterThanOrEqual">
      <formula>5</formula>
    </cfRule>
  </conditionalFormatting>
  <conditionalFormatting sqref="L2141:L2142">
    <cfRule type="cellIs" dxfId="1800" priority="2216" operator="greaterThanOrEqual">
      <formula>2</formula>
    </cfRule>
  </conditionalFormatting>
  <conditionalFormatting sqref="M2141:M2142">
    <cfRule type="cellIs" dxfId="1799" priority="2217" operator="greaterThanOrEqual">
      <formula>60</formula>
    </cfRule>
  </conditionalFormatting>
  <conditionalFormatting sqref="M2141:M2142">
    <cfRule type="cellIs" dxfId="1798" priority="2218" operator="greaterThanOrEqual">
      <formula>30</formula>
    </cfRule>
  </conditionalFormatting>
  <conditionalFormatting sqref="R2141:R2142">
    <cfRule type="cellIs" dxfId="1797" priority="2219" operator="greaterThanOrEqual">
      <formula>600</formula>
    </cfRule>
  </conditionalFormatting>
  <conditionalFormatting sqref="R2141:R2142">
    <cfRule type="cellIs" dxfId="1796" priority="2220" operator="greaterThanOrEqual">
      <formula>260</formula>
    </cfRule>
  </conditionalFormatting>
  <conditionalFormatting sqref="S2141:S2142">
    <cfRule type="containsText" dxfId="1795" priority="2221" operator="containsText" text="&lt;">
      <formula>NOT(ISERROR(SEARCH(("&lt;"),(S2141))))</formula>
    </cfRule>
  </conditionalFormatting>
  <conditionalFormatting sqref="S2141:S2142">
    <cfRule type="containsText" dxfId="1794" priority="2222" operator="containsText" text="ND">
      <formula>NOT(ISERROR(SEARCH(("ND"),(S2141))))</formula>
    </cfRule>
  </conditionalFormatting>
  <conditionalFormatting sqref="S2141:S2142">
    <cfRule type="cellIs" dxfId="1793" priority="2223" operator="greaterThanOrEqual">
      <formula>200</formula>
    </cfRule>
  </conditionalFormatting>
  <conditionalFormatting sqref="S2141:S2142">
    <cfRule type="cellIs" dxfId="1792" priority="2224" operator="greaterThanOrEqual">
      <formula>130</formula>
    </cfRule>
  </conditionalFormatting>
  <conditionalFormatting sqref="N2141:N2142">
    <cfRule type="cellIs" dxfId="1791" priority="2225" operator="greaterThanOrEqual">
      <formula>200</formula>
    </cfRule>
  </conditionalFormatting>
  <conditionalFormatting sqref="N2141:N2142">
    <cfRule type="cellIs" dxfId="1790" priority="2226" operator="greaterThanOrEqual">
      <formula>120</formula>
    </cfRule>
  </conditionalFormatting>
  <conditionalFormatting sqref="O2141:O2142">
    <cfRule type="containsText" dxfId="1789" priority="2227" operator="containsText" text="ND">
      <formula>NOT(ISERROR(SEARCH(("ND"),(O2141))))</formula>
    </cfRule>
  </conditionalFormatting>
  <conditionalFormatting sqref="O2141:O2142">
    <cfRule type="cellIs" dxfId="1788" priority="2228" operator="greaterThanOrEqual">
      <formula>250</formula>
    </cfRule>
  </conditionalFormatting>
  <conditionalFormatting sqref="O2141:O2142">
    <cfRule type="cellIs" dxfId="1787" priority="2229" operator="greaterThanOrEqual">
      <formula>175</formula>
    </cfRule>
  </conditionalFormatting>
  <conditionalFormatting sqref="P2141:P2142">
    <cfRule type="containsText" dxfId="1786" priority="2230" operator="containsText" text="ND">
      <formula>NOT(ISERROR(SEARCH(("ND"),(P2141))))</formula>
    </cfRule>
  </conditionalFormatting>
  <conditionalFormatting sqref="P2141:P2142">
    <cfRule type="cellIs" dxfId="1785" priority="2231" operator="greaterThanOrEqual">
      <formula>5</formula>
    </cfRule>
  </conditionalFormatting>
  <conditionalFormatting sqref="P2141:P2142">
    <cfRule type="cellIs" dxfId="1784" priority="2232" operator="greaterThanOrEqual">
      <formula>2.5</formula>
    </cfRule>
  </conditionalFormatting>
  <conditionalFormatting sqref="Q2141:Q2142">
    <cfRule type="containsText" dxfId="1783" priority="2233" operator="containsText" text="ND">
      <formula>NOT(ISERROR(SEARCH(("ND"),(Q2141))))</formula>
    </cfRule>
  </conditionalFormatting>
  <conditionalFormatting sqref="Q2141:Q2142">
    <cfRule type="cellIs" dxfId="1782" priority="2234" operator="greaterThanOrEqual">
      <formula>500</formula>
    </cfRule>
  </conditionalFormatting>
  <conditionalFormatting sqref="Q2141:Q2142">
    <cfRule type="cellIs" dxfId="1781" priority="2235" operator="greaterThanOrEqual">
      <formula>300</formula>
    </cfRule>
  </conditionalFormatting>
  <conditionalFormatting sqref="W2141:W2142">
    <cfRule type="containsBlanks" dxfId="1780" priority="2214">
      <formula>LEN(TRIM(W2141))=0</formula>
    </cfRule>
    <cfRule type="cellIs" dxfId="1779" priority="2236" operator="lessThan">
      <formula>109</formula>
    </cfRule>
  </conditionalFormatting>
  <conditionalFormatting sqref="X2141:AI2142">
    <cfRule type="cellIs" dxfId="1778" priority="2211" operator="equal">
      <formula>"管制"</formula>
    </cfRule>
    <cfRule type="cellIs" dxfId="1777" priority="2212" operator="equal">
      <formula>"正常"</formula>
    </cfRule>
    <cfRule type="cellIs" dxfId="1776" priority="2213" operator="equal">
      <formula>"監測"</formula>
    </cfRule>
  </conditionalFormatting>
  <conditionalFormatting sqref="L2029">
    <cfRule type="cellIs" dxfId="1775" priority="2189" operator="greaterThanOrEqual">
      <formula>5</formula>
    </cfRule>
  </conditionalFormatting>
  <conditionalFormatting sqref="L2029">
    <cfRule type="cellIs" dxfId="1774" priority="2190" operator="greaterThanOrEqual">
      <formula>2</formula>
    </cfRule>
  </conditionalFormatting>
  <conditionalFormatting sqref="M2029">
    <cfRule type="cellIs" dxfId="1773" priority="2191" operator="greaterThanOrEqual">
      <formula>60</formula>
    </cfRule>
  </conditionalFormatting>
  <conditionalFormatting sqref="M2029">
    <cfRule type="cellIs" dxfId="1772" priority="2192" operator="greaterThanOrEqual">
      <formula>30</formula>
    </cfRule>
  </conditionalFormatting>
  <conditionalFormatting sqref="R2029">
    <cfRule type="cellIs" dxfId="1771" priority="2193" operator="greaterThanOrEqual">
      <formula>600</formula>
    </cfRule>
  </conditionalFormatting>
  <conditionalFormatting sqref="R2029">
    <cfRule type="cellIs" dxfId="1770" priority="2194" operator="greaterThanOrEqual">
      <formula>260</formula>
    </cfRule>
  </conditionalFormatting>
  <conditionalFormatting sqref="S2029">
    <cfRule type="containsText" dxfId="1769" priority="2195" operator="containsText" text="&lt;">
      <formula>NOT(ISERROR(SEARCH(("&lt;"),(S2029))))</formula>
    </cfRule>
  </conditionalFormatting>
  <conditionalFormatting sqref="S2029">
    <cfRule type="containsText" dxfId="1768" priority="2196" operator="containsText" text="ND">
      <formula>NOT(ISERROR(SEARCH(("ND"),(S2029))))</formula>
    </cfRule>
  </conditionalFormatting>
  <conditionalFormatting sqref="S2029">
    <cfRule type="cellIs" dxfId="1767" priority="2197" operator="greaterThanOrEqual">
      <formula>200</formula>
    </cfRule>
  </conditionalFormatting>
  <conditionalFormatting sqref="S2029">
    <cfRule type="cellIs" dxfId="1766" priority="2198" operator="greaterThanOrEqual">
      <formula>130</formula>
    </cfRule>
  </conditionalFormatting>
  <conditionalFormatting sqref="N2029">
    <cfRule type="cellIs" dxfId="1765" priority="2199" operator="greaterThanOrEqual">
      <formula>200</formula>
    </cfRule>
  </conditionalFormatting>
  <conditionalFormatting sqref="N2029">
    <cfRule type="cellIs" dxfId="1764" priority="2200" operator="greaterThanOrEqual">
      <formula>120</formula>
    </cfRule>
  </conditionalFormatting>
  <conditionalFormatting sqref="O2029">
    <cfRule type="containsText" dxfId="1763" priority="2201" operator="containsText" text="ND">
      <formula>NOT(ISERROR(SEARCH(("ND"),(O2029))))</formula>
    </cfRule>
  </conditionalFormatting>
  <conditionalFormatting sqref="O2029">
    <cfRule type="cellIs" dxfId="1762" priority="2202" operator="greaterThanOrEqual">
      <formula>250</formula>
    </cfRule>
  </conditionalFormatting>
  <conditionalFormatting sqref="O2029">
    <cfRule type="cellIs" dxfId="1761" priority="2203" operator="greaterThanOrEqual">
      <formula>175</formula>
    </cfRule>
  </conditionalFormatting>
  <conditionalFormatting sqref="P2029">
    <cfRule type="containsText" dxfId="1760" priority="2204" operator="containsText" text="ND">
      <formula>NOT(ISERROR(SEARCH(("ND"),(P2029))))</formula>
    </cfRule>
  </conditionalFormatting>
  <conditionalFormatting sqref="P2029">
    <cfRule type="cellIs" dxfId="1759" priority="2205" operator="greaterThanOrEqual">
      <formula>5</formula>
    </cfRule>
  </conditionalFormatting>
  <conditionalFormatting sqref="P2029">
    <cfRule type="cellIs" dxfId="1758" priority="2206" operator="greaterThanOrEqual">
      <formula>2.5</formula>
    </cfRule>
  </conditionalFormatting>
  <conditionalFormatting sqref="Q2029">
    <cfRule type="containsText" dxfId="1757" priority="2207" operator="containsText" text="ND">
      <formula>NOT(ISERROR(SEARCH(("ND"),(Q2029))))</formula>
    </cfRule>
  </conditionalFormatting>
  <conditionalFormatting sqref="Q2029">
    <cfRule type="cellIs" dxfId="1756" priority="2208" operator="greaterThanOrEqual">
      <formula>500</formula>
    </cfRule>
  </conditionalFormatting>
  <conditionalFormatting sqref="Q2029">
    <cfRule type="cellIs" dxfId="1755" priority="2209" operator="greaterThanOrEqual">
      <formula>300</formula>
    </cfRule>
  </conditionalFormatting>
  <conditionalFormatting sqref="W2029">
    <cfRule type="containsBlanks" dxfId="1754" priority="2188">
      <formula>LEN(TRIM(W2029))=0</formula>
    </cfRule>
    <cfRule type="cellIs" dxfId="1753" priority="2210" operator="lessThan">
      <formula>109</formula>
    </cfRule>
  </conditionalFormatting>
  <conditionalFormatting sqref="X2029:AK2029">
    <cfRule type="cellIs" dxfId="1752" priority="2185" operator="equal">
      <formula>"管制"</formula>
    </cfRule>
    <cfRule type="cellIs" dxfId="1751" priority="2186" operator="equal">
      <formula>"正常"</formula>
    </cfRule>
    <cfRule type="cellIs" dxfId="1750" priority="2187" operator="equal">
      <formula>"監測"</formula>
    </cfRule>
  </conditionalFormatting>
  <conditionalFormatting sqref="L1809">
    <cfRule type="cellIs" dxfId="1749" priority="2163" operator="greaterThanOrEqual">
      <formula>5</formula>
    </cfRule>
  </conditionalFormatting>
  <conditionalFormatting sqref="L1809">
    <cfRule type="cellIs" dxfId="1748" priority="2164" operator="greaterThanOrEqual">
      <formula>2</formula>
    </cfRule>
  </conditionalFormatting>
  <conditionalFormatting sqref="M1809">
    <cfRule type="cellIs" dxfId="1747" priority="2165" operator="greaterThanOrEqual">
      <formula>60</formula>
    </cfRule>
  </conditionalFormatting>
  <conditionalFormatting sqref="M1809">
    <cfRule type="cellIs" dxfId="1746" priority="2166" operator="greaterThanOrEqual">
      <formula>30</formula>
    </cfRule>
  </conditionalFormatting>
  <conditionalFormatting sqref="R1809">
    <cfRule type="cellIs" dxfId="1745" priority="2167" operator="greaterThanOrEqual">
      <formula>600</formula>
    </cfRule>
  </conditionalFormatting>
  <conditionalFormatting sqref="R1809">
    <cfRule type="cellIs" dxfId="1744" priority="2168" operator="greaterThanOrEqual">
      <formula>260</formula>
    </cfRule>
  </conditionalFormatting>
  <conditionalFormatting sqref="S1809">
    <cfRule type="containsText" dxfId="1743" priority="2169" operator="containsText" text="&lt;">
      <formula>NOT(ISERROR(SEARCH(("&lt;"),(S1809))))</formula>
    </cfRule>
  </conditionalFormatting>
  <conditionalFormatting sqref="S1809">
    <cfRule type="containsText" dxfId="1742" priority="2170" operator="containsText" text="ND">
      <formula>NOT(ISERROR(SEARCH(("ND"),(S1809))))</formula>
    </cfRule>
  </conditionalFormatting>
  <conditionalFormatting sqref="S1809">
    <cfRule type="cellIs" dxfId="1741" priority="2171" operator="greaterThanOrEqual">
      <formula>200</formula>
    </cfRule>
  </conditionalFormatting>
  <conditionalFormatting sqref="S1809">
    <cfRule type="cellIs" dxfId="1740" priority="2172" operator="greaterThanOrEqual">
      <formula>130</formula>
    </cfRule>
  </conditionalFormatting>
  <conditionalFormatting sqref="N1809">
    <cfRule type="cellIs" dxfId="1739" priority="2173" operator="greaterThanOrEqual">
      <formula>200</formula>
    </cfRule>
  </conditionalFormatting>
  <conditionalFormatting sqref="N1809">
    <cfRule type="cellIs" dxfId="1738" priority="2174" operator="greaterThanOrEqual">
      <formula>120</formula>
    </cfRule>
  </conditionalFormatting>
  <conditionalFormatting sqref="O1809">
    <cfRule type="containsText" dxfId="1737" priority="2175" operator="containsText" text="ND">
      <formula>NOT(ISERROR(SEARCH(("ND"),(O1809))))</formula>
    </cfRule>
  </conditionalFormatting>
  <conditionalFormatting sqref="O1809">
    <cfRule type="cellIs" dxfId="1736" priority="2176" operator="greaterThanOrEqual">
      <formula>250</formula>
    </cfRule>
  </conditionalFormatting>
  <conditionalFormatting sqref="O1809">
    <cfRule type="cellIs" dxfId="1735" priority="2177" operator="greaterThanOrEqual">
      <formula>175</formula>
    </cfRule>
  </conditionalFormatting>
  <conditionalFormatting sqref="P1809">
    <cfRule type="containsText" dxfId="1734" priority="2178" operator="containsText" text="ND">
      <formula>NOT(ISERROR(SEARCH(("ND"),(P1809))))</formula>
    </cfRule>
  </conditionalFormatting>
  <conditionalFormatting sqref="P1809">
    <cfRule type="cellIs" dxfId="1733" priority="2179" operator="greaterThanOrEqual">
      <formula>5</formula>
    </cfRule>
  </conditionalFormatting>
  <conditionalFormatting sqref="P1809">
    <cfRule type="cellIs" dxfId="1732" priority="2180" operator="greaterThanOrEqual">
      <formula>2.5</formula>
    </cfRule>
  </conditionalFormatting>
  <conditionalFormatting sqref="Q1809">
    <cfRule type="containsText" dxfId="1731" priority="2181" operator="containsText" text="ND">
      <formula>NOT(ISERROR(SEARCH(("ND"),(Q1809))))</formula>
    </cfRule>
  </conditionalFormatting>
  <conditionalFormatting sqref="Q1809">
    <cfRule type="cellIs" dxfId="1730" priority="2182" operator="greaterThanOrEqual">
      <formula>500</formula>
    </cfRule>
  </conditionalFormatting>
  <conditionalFormatting sqref="Q1809">
    <cfRule type="cellIs" dxfId="1729" priority="2183" operator="greaterThanOrEqual">
      <formula>300</formula>
    </cfRule>
  </conditionalFormatting>
  <conditionalFormatting sqref="W1809">
    <cfRule type="containsBlanks" dxfId="1728" priority="2162">
      <formula>LEN(TRIM(W1809))=0</formula>
    </cfRule>
    <cfRule type="cellIs" dxfId="1727" priority="2184" operator="lessThan">
      <formula>109</formula>
    </cfRule>
  </conditionalFormatting>
  <conditionalFormatting sqref="X1809:AI1809">
    <cfRule type="cellIs" dxfId="1726" priority="2159" operator="equal">
      <formula>"管制"</formula>
    </cfRule>
    <cfRule type="cellIs" dxfId="1725" priority="2160" operator="equal">
      <formula>"正常"</formula>
    </cfRule>
    <cfRule type="cellIs" dxfId="1724" priority="2161" operator="equal">
      <formula>"監測"</formula>
    </cfRule>
  </conditionalFormatting>
  <conditionalFormatting sqref="AJ1809:AK1809">
    <cfRule type="cellIs" dxfId="1723" priority="2156" operator="equal">
      <formula>"管制"</formula>
    </cfRule>
    <cfRule type="cellIs" dxfId="1722" priority="2157" operator="equal">
      <formula>"正常"</formula>
    </cfRule>
    <cfRule type="cellIs" dxfId="1721" priority="2158" operator="equal">
      <formula>"監測"</formula>
    </cfRule>
  </conditionalFormatting>
  <conditionalFormatting sqref="L1810:L1811">
    <cfRule type="cellIs" dxfId="1720" priority="2134" operator="greaterThanOrEqual">
      <formula>5</formula>
    </cfRule>
  </conditionalFormatting>
  <conditionalFormatting sqref="L1810:L1811">
    <cfRule type="cellIs" dxfId="1719" priority="2135" operator="greaterThanOrEqual">
      <formula>2</formula>
    </cfRule>
  </conditionalFormatting>
  <conditionalFormatting sqref="M1810:M1811">
    <cfRule type="cellIs" dxfId="1718" priority="2136" operator="greaterThanOrEqual">
      <formula>60</formula>
    </cfRule>
  </conditionalFormatting>
  <conditionalFormatting sqref="M1810:M1811">
    <cfRule type="cellIs" dxfId="1717" priority="2137" operator="greaterThanOrEqual">
      <formula>30</formula>
    </cfRule>
  </conditionalFormatting>
  <conditionalFormatting sqref="R1810:R1811">
    <cfRule type="cellIs" dxfId="1716" priority="2138" operator="greaterThanOrEqual">
      <formula>600</formula>
    </cfRule>
  </conditionalFormatting>
  <conditionalFormatting sqref="R1810:R1811">
    <cfRule type="cellIs" dxfId="1715" priority="2139" operator="greaterThanOrEqual">
      <formula>260</formula>
    </cfRule>
  </conditionalFormatting>
  <conditionalFormatting sqref="S1810:S1811">
    <cfRule type="containsText" dxfId="1714" priority="2140" operator="containsText" text="&lt;">
      <formula>NOT(ISERROR(SEARCH(("&lt;"),(S1810))))</formula>
    </cfRule>
  </conditionalFormatting>
  <conditionalFormatting sqref="S1810:S1811">
    <cfRule type="containsText" dxfId="1713" priority="2141" operator="containsText" text="ND">
      <formula>NOT(ISERROR(SEARCH(("ND"),(S1810))))</formula>
    </cfRule>
  </conditionalFormatting>
  <conditionalFormatting sqref="S1810:S1811">
    <cfRule type="cellIs" dxfId="1712" priority="2142" operator="greaterThanOrEqual">
      <formula>200</formula>
    </cfRule>
  </conditionalFormatting>
  <conditionalFormatting sqref="S1810:S1811">
    <cfRule type="cellIs" dxfId="1711" priority="2143" operator="greaterThanOrEqual">
      <formula>130</formula>
    </cfRule>
  </conditionalFormatting>
  <conditionalFormatting sqref="N1810:N1811">
    <cfRule type="cellIs" dxfId="1710" priority="2144" operator="greaterThanOrEqual">
      <formula>200</formula>
    </cfRule>
  </conditionalFormatting>
  <conditionalFormatting sqref="N1810:N1811">
    <cfRule type="cellIs" dxfId="1709" priority="2145" operator="greaterThanOrEqual">
      <formula>120</formula>
    </cfRule>
  </conditionalFormatting>
  <conditionalFormatting sqref="O1810:O1811">
    <cfRule type="containsText" dxfId="1708" priority="2146" operator="containsText" text="ND">
      <formula>NOT(ISERROR(SEARCH(("ND"),(O1810))))</formula>
    </cfRule>
  </conditionalFormatting>
  <conditionalFormatting sqref="O1810:O1811">
    <cfRule type="cellIs" dxfId="1707" priority="2147" operator="greaterThanOrEqual">
      <formula>250</formula>
    </cfRule>
  </conditionalFormatting>
  <conditionalFormatting sqref="O1810:O1811">
    <cfRule type="cellIs" dxfId="1706" priority="2148" operator="greaterThanOrEqual">
      <formula>175</formula>
    </cfRule>
  </conditionalFormatting>
  <conditionalFormatting sqref="P1810:P1811">
    <cfRule type="containsText" dxfId="1705" priority="2149" operator="containsText" text="ND">
      <formula>NOT(ISERROR(SEARCH(("ND"),(P1810))))</formula>
    </cfRule>
  </conditionalFormatting>
  <conditionalFormatting sqref="P1810:P1811">
    <cfRule type="cellIs" dxfId="1704" priority="2150" operator="greaterThanOrEqual">
      <formula>5</formula>
    </cfRule>
  </conditionalFormatting>
  <conditionalFormatting sqref="P1810:P1811">
    <cfRule type="cellIs" dxfId="1703" priority="2151" operator="greaterThanOrEqual">
      <formula>2.5</formula>
    </cfRule>
  </conditionalFormatting>
  <conditionalFormatting sqref="Q1810:Q1811">
    <cfRule type="containsText" dxfId="1702" priority="2152" operator="containsText" text="ND">
      <formula>NOT(ISERROR(SEARCH(("ND"),(Q1810))))</formula>
    </cfRule>
  </conditionalFormatting>
  <conditionalFormatting sqref="Q1810:Q1811">
    <cfRule type="cellIs" dxfId="1701" priority="2153" operator="greaterThanOrEqual">
      <formula>500</formula>
    </cfRule>
  </conditionalFormatting>
  <conditionalFormatting sqref="Q1810:Q1811">
    <cfRule type="cellIs" dxfId="1700" priority="2154" operator="greaterThanOrEqual">
      <formula>300</formula>
    </cfRule>
  </conditionalFormatting>
  <conditionalFormatting sqref="W1810:W1811">
    <cfRule type="containsBlanks" dxfId="1699" priority="2133">
      <formula>LEN(TRIM(W1810))=0</formula>
    </cfRule>
    <cfRule type="cellIs" dxfId="1698" priority="2155" operator="lessThan">
      <formula>109</formula>
    </cfRule>
  </conditionalFormatting>
  <conditionalFormatting sqref="X1810:AI1811">
    <cfRule type="cellIs" dxfId="1697" priority="2130" operator="equal">
      <formula>"管制"</formula>
    </cfRule>
    <cfRule type="cellIs" dxfId="1696" priority="2131" operator="equal">
      <formula>"正常"</formula>
    </cfRule>
    <cfRule type="cellIs" dxfId="1695" priority="2132" operator="equal">
      <formula>"監測"</formula>
    </cfRule>
  </conditionalFormatting>
  <conditionalFormatting sqref="AJ1810:AK1810">
    <cfRule type="cellIs" dxfId="1694" priority="2127" operator="equal">
      <formula>"管制"</formula>
    </cfRule>
    <cfRule type="cellIs" dxfId="1693" priority="2128" operator="equal">
      <formula>"正常"</formula>
    </cfRule>
    <cfRule type="cellIs" dxfId="1692" priority="2129" operator="equal">
      <formula>"監測"</formula>
    </cfRule>
  </conditionalFormatting>
  <conditionalFormatting sqref="AJ1811:AK1811">
    <cfRule type="cellIs" dxfId="1691" priority="2124" operator="equal">
      <formula>"管制"</formula>
    </cfRule>
    <cfRule type="cellIs" dxfId="1690" priority="2125" operator="equal">
      <formula>"正常"</formula>
    </cfRule>
    <cfRule type="cellIs" dxfId="1689" priority="2126" operator="equal">
      <formula>"監測"</formula>
    </cfRule>
  </conditionalFormatting>
  <conditionalFormatting sqref="L2441">
    <cfRule type="cellIs" dxfId="1688" priority="2099" operator="greaterThanOrEqual">
      <formula>5</formula>
    </cfRule>
  </conditionalFormatting>
  <conditionalFormatting sqref="L2441">
    <cfRule type="cellIs" dxfId="1687" priority="2100" operator="greaterThanOrEqual">
      <formula>2</formula>
    </cfRule>
  </conditionalFormatting>
  <conditionalFormatting sqref="M2441">
    <cfRule type="cellIs" dxfId="1686" priority="2101" operator="greaterThanOrEqual">
      <formula>60</formula>
    </cfRule>
  </conditionalFormatting>
  <conditionalFormatting sqref="M2441">
    <cfRule type="cellIs" dxfId="1685" priority="2102" operator="greaterThanOrEqual">
      <formula>30</formula>
    </cfRule>
  </conditionalFormatting>
  <conditionalFormatting sqref="R2441">
    <cfRule type="cellIs" dxfId="1684" priority="2103" operator="greaterThanOrEqual">
      <formula>600</formula>
    </cfRule>
  </conditionalFormatting>
  <conditionalFormatting sqref="R2441">
    <cfRule type="cellIs" dxfId="1683" priority="2104" operator="greaterThanOrEqual">
      <formula>260</formula>
    </cfRule>
  </conditionalFormatting>
  <conditionalFormatting sqref="S2441">
    <cfRule type="containsText" dxfId="1682" priority="2105" operator="containsText" text="&lt;">
      <formula>NOT(ISERROR(SEARCH(("&lt;"),(S2441))))</formula>
    </cfRule>
  </conditionalFormatting>
  <conditionalFormatting sqref="S2441">
    <cfRule type="containsText" dxfId="1681" priority="2106" operator="containsText" text="ND">
      <formula>NOT(ISERROR(SEARCH(("ND"),(S2441))))</formula>
    </cfRule>
  </conditionalFormatting>
  <conditionalFormatting sqref="S2441">
    <cfRule type="cellIs" dxfId="1680" priority="2107" operator="greaterThanOrEqual">
      <formula>200</formula>
    </cfRule>
  </conditionalFormatting>
  <conditionalFormatting sqref="S2441">
    <cfRule type="cellIs" dxfId="1679" priority="2108" operator="greaterThanOrEqual">
      <formula>130</formula>
    </cfRule>
  </conditionalFormatting>
  <conditionalFormatting sqref="N2441">
    <cfRule type="cellIs" dxfId="1678" priority="2109" operator="greaterThanOrEqual">
      <formula>200</formula>
    </cfRule>
  </conditionalFormatting>
  <conditionalFormatting sqref="N2441">
    <cfRule type="cellIs" dxfId="1677" priority="2110" operator="greaterThanOrEqual">
      <formula>120</formula>
    </cfRule>
  </conditionalFormatting>
  <conditionalFormatting sqref="O2441">
    <cfRule type="containsText" dxfId="1676" priority="2111" operator="containsText" text="ND">
      <formula>NOT(ISERROR(SEARCH(("ND"),(O2441))))</formula>
    </cfRule>
  </conditionalFormatting>
  <conditionalFormatting sqref="O2441">
    <cfRule type="cellIs" dxfId="1675" priority="2112" operator="greaterThanOrEqual">
      <formula>250</formula>
    </cfRule>
  </conditionalFormatting>
  <conditionalFormatting sqref="O2441">
    <cfRule type="cellIs" dxfId="1674" priority="2113" operator="greaterThanOrEqual">
      <formula>175</formula>
    </cfRule>
  </conditionalFormatting>
  <conditionalFormatting sqref="P2441">
    <cfRule type="containsText" dxfId="1673" priority="2114" operator="containsText" text="ND">
      <formula>NOT(ISERROR(SEARCH(("ND"),(P2441))))</formula>
    </cfRule>
  </conditionalFormatting>
  <conditionalFormatting sqref="P2441">
    <cfRule type="cellIs" dxfId="1672" priority="2115" operator="greaterThanOrEqual">
      <formula>5</formula>
    </cfRule>
  </conditionalFormatting>
  <conditionalFormatting sqref="P2441">
    <cfRule type="cellIs" dxfId="1671" priority="2116" operator="greaterThanOrEqual">
      <formula>2.5</formula>
    </cfRule>
  </conditionalFormatting>
  <conditionalFormatting sqref="Q2441">
    <cfRule type="containsText" dxfId="1670" priority="2117" operator="containsText" text="ND">
      <formula>NOT(ISERROR(SEARCH(("ND"),(Q2441))))</formula>
    </cfRule>
  </conditionalFormatting>
  <conditionalFormatting sqref="Q2441">
    <cfRule type="cellIs" dxfId="1669" priority="2118" operator="greaterThanOrEqual">
      <formula>500</formula>
    </cfRule>
  </conditionalFormatting>
  <conditionalFormatting sqref="Q2441">
    <cfRule type="cellIs" dxfId="1668" priority="2119" operator="greaterThanOrEqual">
      <formula>300</formula>
    </cfRule>
  </conditionalFormatting>
  <conditionalFormatting sqref="W2441">
    <cfRule type="containsBlanks" dxfId="1667" priority="2098">
      <formula>LEN(TRIM(W2441))=0</formula>
    </cfRule>
    <cfRule type="cellIs" dxfId="1666" priority="2123" operator="lessThan">
      <formula>109</formula>
    </cfRule>
  </conditionalFormatting>
  <conditionalFormatting sqref="X2441:AI2441">
    <cfRule type="cellIs" dxfId="1665" priority="2095" operator="equal">
      <formula>"管制"</formula>
    </cfRule>
    <cfRule type="cellIs" dxfId="1664" priority="2096" operator="equal">
      <formula>"正常"</formula>
    </cfRule>
    <cfRule type="cellIs" dxfId="1663" priority="2097" operator="equal">
      <formula>"監測"</formula>
    </cfRule>
  </conditionalFormatting>
  <conditionalFormatting sqref="L2301">
    <cfRule type="cellIs" dxfId="1662" priority="2073" operator="greaterThanOrEqual">
      <formula>5</formula>
    </cfRule>
  </conditionalFormatting>
  <conditionalFormatting sqref="L2301">
    <cfRule type="cellIs" dxfId="1661" priority="2074" operator="greaterThanOrEqual">
      <formula>2</formula>
    </cfRule>
  </conditionalFormatting>
  <conditionalFormatting sqref="M2301">
    <cfRule type="cellIs" dxfId="1660" priority="2075" operator="greaterThanOrEqual">
      <formula>60</formula>
    </cfRule>
  </conditionalFormatting>
  <conditionalFormatting sqref="M2301">
    <cfRule type="cellIs" dxfId="1659" priority="2076" operator="greaterThanOrEqual">
      <formula>30</formula>
    </cfRule>
  </conditionalFormatting>
  <conditionalFormatting sqref="R2301">
    <cfRule type="cellIs" dxfId="1658" priority="2077" operator="greaterThanOrEqual">
      <formula>600</formula>
    </cfRule>
  </conditionalFormatting>
  <conditionalFormatting sqref="R2301">
    <cfRule type="cellIs" dxfId="1657" priority="2078" operator="greaterThanOrEqual">
      <formula>260</formula>
    </cfRule>
  </conditionalFormatting>
  <conditionalFormatting sqref="S2301">
    <cfRule type="containsText" dxfId="1656" priority="2079" operator="containsText" text="&lt;">
      <formula>NOT(ISERROR(SEARCH(("&lt;"),(S2301))))</formula>
    </cfRule>
  </conditionalFormatting>
  <conditionalFormatting sqref="S2301">
    <cfRule type="containsText" dxfId="1655" priority="2080" operator="containsText" text="ND">
      <formula>NOT(ISERROR(SEARCH(("ND"),(S2301))))</formula>
    </cfRule>
  </conditionalFormatting>
  <conditionalFormatting sqref="S2301">
    <cfRule type="cellIs" dxfId="1654" priority="2081" operator="greaterThanOrEqual">
      <formula>200</formula>
    </cfRule>
  </conditionalFormatting>
  <conditionalFormatting sqref="S2301">
    <cfRule type="cellIs" dxfId="1653" priority="2082" operator="greaterThanOrEqual">
      <formula>130</formula>
    </cfRule>
  </conditionalFormatting>
  <conditionalFormatting sqref="N2301">
    <cfRule type="cellIs" dxfId="1652" priority="2083" operator="greaterThanOrEqual">
      <formula>200</formula>
    </cfRule>
  </conditionalFormatting>
  <conditionalFormatting sqref="N2301">
    <cfRule type="cellIs" dxfId="1651" priority="2084" operator="greaterThanOrEqual">
      <formula>120</formula>
    </cfRule>
  </conditionalFormatting>
  <conditionalFormatting sqref="O2301">
    <cfRule type="containsText" dxfId="1650" priority="2085" operator="containsText" text="ND">
      <formula>NOT(ISERROR(SEARCH(("ND"),(O2301))))</formula>
    </cfRule>
  </conditionalFormatting>
  <conditionalFormatting sqref="O2301">
    <cfRule type="cellIs" dxfId="1649" priority="2086" operator="greaterThanOrEqual">
      <formula>250</formula>
    </cfRule>
  </conditionalFormatting>
  <conditionalFormatting sqref="O2301">
    <cfRule type="cellIs" dxfId="1648" priority="2087" operator="greaterThanOrEqual">
      <formula>175</formula>
    </cfRule>
  </conditionalFormatting>
  <conditionalFormatting sqref="P2301">
    <cfRule type="containsText" dxfId="1647" priority="2088" operator="containsText" text="ND">
      <formula>NOT(ISERROR(SEARCH(("ND"),(P2301))))</formula>
    </cfRule>
  </conditionalFormatting>
  <conditionalFormatting sqref="P2301">
    <cfRule type="cellIs" dxfId="1646" priority="2089" operator="greaterThanOrEqual">
      <formula>5</formula>
    </cfRule>
  </conditionalFormatting>
  <conditionalFormatting sqref="P2301">
    <cfRule type="cellIs" dxfId="1645" priority="2090" operator="greaterThanOrEqual">
      <formula>2.5</formula>
    </cfRule>
  </conditionalFormatting>
  <conditionalFormatting sqref="Q2301">
    <cfRule type="containsText" dxfId="1644" priority="2091" operator="containsText" text="ND">
      <formula>NOT(ISERROR(SEARCH(("ND"),(Q2301))))</formula>
    </cfRule>
  </conditionalFormatting>
  <conditionalFormatting sqref="Q2301">
    <cfRule type="cellIs" dxfId="1643" priority="2092" operator="greaterThanOrEqual">
      <formula>500</formula>
    </cfRule>
  </conditionalFormatting>
  <conditionalFormatting sqref="Q2301">
    <cfRule type="cellIs" dxfId="1642" priority="2093" operator="greaterThanOrEqual">
      <formula>300</formula>
    </cfRule>
  </conditionalFormatting>
  <conditionalFormatting sqref="W2301">
    <cfRule type="containsBlanks" dxfId="1641" priority="2072">
      <formula>LEN(TRIM(W2301))=0</formula>
    </cfRule>
    <cfRule type="cellIs" dxfId="1640" priority="2094" operator="lessThan">
      <formula>109</formula>
    </cfRule>
  </conditionalFormatting>
  <conditionalFormatting sqref="X2301:AI2301">
    <cfRule type="cellIs" dxfId="1639" priority="2069" operator="equal">
      <formula>"管制"</formula>
    </cfRule>
    <cfRule type="cellIs" dxfId="1638" priority="2070" operator="equal">
      <formula>"正常"</formula>
    </cfRule>
    <cfRule type="cellIs" dxfId="1637" priority="2071" operator="equal">
      <formula>"監測"</formula>
    </cfRule>
  </conditionalFormatting>
  <conditionalFormatting sqref="AJ2301:AK2301">
    <cfRule type="cellIs" dxfId="1636" priority="2066" operator="equal">
      <formula>"管制"</formula>
    </cfRule>
    <cfRule type="cellIs" dxfId="1635" priority="2067" operator="equal">
      <formula>"正常"</formula>
    </cfRule>
    <cfRule type="cellIs" dxfId="1634" priority="2068" operator="equal">
      <formula>"監測"</formula>
    </cfRule>
  </conditionalFormatting>
  <conditionalFormatting sqref="AJ2441:AK2441">
    <cfRule type="cellIs" dxfId="1633" priority="2061" operator="equal">
      <formula>"建物"</formula>
    </cfRule>
    <cfRule type="cellIs" dxfId="1632" priority="2062" operator="equal">
      <formula>"難以採樣"</formula>
    </cfRule>
    <cfRule type="cellIs" dxfId="1631" priority="2063" operator="equal">
      <formula>"管制"</formula>
    </cfRule>
    <cfRule type="cellIs" dxfId="1630" priority="2064" operator="equal">
      <formula>"正常"</formula>
    </cfRule>
    <cfRule type="cellIs" dxfId="1629" priority="2065" operator="equal">
      <formula>"監測"</formula>
    </cfRule>
  </conditionalFormatting>
  <conditionalFormatting sqref="AJ2442:AK2442">
    <cfRule type="cellIs" dxfId="1628" priority="2056" operator="equal">
      <formula>"建物"</formula>
    </cfRule>
    <cfRule type="cellIs" dxfId="1627" priority="2057" operator="equal">
      <formula>"難以採樣"</formula>
    </cfRule>
    <cfRule type="cellIs" dxfId="1626" priority="2058" operator="equal">
      <formula>"管制"</formula>
    </cfRule>
    <cfRule type="cellIs" dxfId="1625" priority="2059" operator="equal">
      <formula>"正常"</formula>
    </cfRule>
    <cfRule type="cellIs" dxfId="1624" priority="2060" operator="equal">
      <formula>"監測"</formula>
    </cfRule>
  </conditionalFormatting>
  <conditionalFormatting sqref="L2144 P2144">
    <cfRule type="cellIs" dxfId="1623" priority="2041" operator="greaterThanOrEqual">
      <formula>5</formula>
    </cfRule>
  </conditionalFormatting>
  <conditionalFormatting sqref="L2144">
    <cfRule type="cellIs" dxfId="1622" priority="2042" operator="greaterThanOrEqual">
      <formula>2</formula>
    </cfRule>
  </conditionalFormatting>
  <conditionalFormatting sqref="M2144">
    <cfRule type="cellIs" dxfId="1621" priority="2043" operator="greaterThanOrEqual">
      <formula>60</formula>
    </cfRule>
  </conditionalFormatting>
  <conditionalFormatting sqref="M2144">
    <cfRule type="cellIs" dxfId="1620" priority="2044" operator="greaterThanOrEqual">
      <formula>30</formula>
    </cfRule>
  </conditionalFormatting>
  <conditionalFormatting sqref="R2144">
    <cfRule type="cellIs" dxfId="1619" priority="2045" operator="greaterThanOrEqual">
      <formula>600</formula>
    </cfRule>
  </conditionalFormatting>
  <conditionalFormatting sqref="R2144">
    <cfRule type="cellIs" dxfId="1618" priority="2046" operator="greaterThanOrEqual">
      <formula>260</formula>
    </cfRule>
  </conditionalFormatting>
  <conditionalFormatting sqref="S2144 N2144">
    <cfRule type="cellIs" dxfId="1617" priority="2047" operator="greaterThanOrEqual">
      <formula>200</formula>
    </cfRule>
  </conditionalFormatting>
  <conditionalFormatting sqref="S2144">
    <cfRule type="cellIs" dxfId="1616" priority="2048" operator="greaterThanOrEqual">
      <formula>130</formula>
    </cfRule>
  </conditionalFormatting>
  <conditionalFormatting sqref="N2144">
    <cfRule type="cellIs" dxfId="1615" priority="2049" operator="greaterThanOrEqual">
      <formula>120</formula>
    </cfRule>
  </conditionalFormatting>
  <conditionalFormatting sqref="O2144">
    <cfRule type="cellIs" dxfId="1614" priority="2050" operator="greaterThanOrEqual">
      <formula>250</formula>
    </cfRule>
  </conditionalFormatting>
  <conditionalFormatting sqref="O2144">
    <cfRule type="cellIs" dxfId="1613" priority="2051" operator="greaterThanOrEqual">
      <formula>175</formula>
    </cfRule>
  </conditionalFormatting>
  <conditionalFormatting sqref="P2144">
    <cfRule type="cellIs" dxfId="1612" priority="2052" operator="greaterThanOrEqual">
      <formula>2.5</formula>
    </cfRule>
  </conditionalFormatting>
  <conditionalFormatting sqref="Q2144">
    <cfRule type="cellIs" dxfId="1611" priority="2053" operator="greaterThanOrEqual">
      <formula>500</formula>
    </cfRule>
  </conditionalFormatting>
  <conditionalFormatting sqref="Q2144">
    <cfRule type="cellIs" dxfId="1610" priority="2054" operator="greaterThanOrEqual">
      <formula>300</formula>
    </cfRule>
  </conditionalFormatting>
  <conditionalFormatting sqref="W2444:W2445">
    <cfRule type="cellIs" dxfId="1609" priority="2055" operator="lessThan">
      <formula>109</formula>
    </cfRule>
  </conditionalFormatting>
  <conditionalFormatting sqref="X2144:AI2144">
    <cfRule type="cellIs" dxfId="1608" priority="2038" operator="equal">
      <formula>"管制"</formula>
    </cfRule>
    <cfRule type="cellIs" dxfId="1607" priority="2039" operator="equal">
      <formula>"正常"</formula>
    </cfRule>
    <cfRule type="cellIs" dxfId="1606" priority="2040" operator="equal">
      <formula>"監測"</formula>
    </cfRule>
  </conditionalFormatting>
  <conditionalFormatting sqref="AJ2144:AK2144">
    <cfRule type="cellIs" dxfId="1605" priority="2033" operator="equal">
      <formula>"難以採樣"</formula>
    </cfRule>
    <cfRule type="cellIs" dxfId="1604" priority="2034" operator="equal">
      <formula>"建物"</formula>
    </cfRule>
    <cfRule type="cellIs" dxfId="1603" priority="2035" operator="equal">
      <formula>"管制"</formula>
    </cfRule>
    <cfRule type="cellIs" dxfId="1602" priority="2036" operator="equal">
      <formula>"監測"</formula>
    </cfRule>
    <cfRule type="cellIs" dxfId="1601" priority="2037" operator="equal">
      <formula>"正常"</formula>
    </cfRule>
  </conditionalFormatting>
  <conditionalFormatting sqref="L2302:L2303 P2302:P2303">
    <cfRule type="cellIs" dxfId="1600" priority="2010" operator="greaterThanOrEqual">
      <formula>5</formula>
    </cfRule>
  </conditionalFormatting>
  <conditionalFormatting sqref="L2302:L2303">
    <cfRule type="cellIs" dxfId="1599" priority="2011" operator="greaterThanOrEqual">
      <formula>2</formula>
    </cfRule>
  </conditionalFormatting>
  <conditionalFormatting sqref="M2302:M2303">
    <cfRule type="cellIs" dxfId="1598" priority="2012" operator="greaterThanOrEqual">
      <formula>60</formula>
    </cfRule>
  </conditionalFormatting>
  <conditionalFormatting sqref="M2302:M2303">
    <cfRule type="cellIs" dxfId="1597" priority="2013" operator="greaterThanOrEqual">
      <formula>30</formula>
    </cfRule>
  </conditionalFormatting>
  <conditionalFormatting sqref="R2302:R2303">
    <cfRule type="cellIs" dxfId="1596" priority="2014" operator="greaterThanOrEqual">
      <formula>600</formula>
    </cfRule>
  </conditionalFormatting>
  <conditionalFormatting sqref="R2302:R2303">
    <cfRule type="cellIs" dxfId="1595" priority="2015" operator="greaterThanOrEqual">
      <formula>260</formula>
    </cfRule>
  </conditionalFormatting>
  <conditionalFormatting sqref="S2302:S2303">
    <cfRule type="containsText" dxfId="1594" priority="2016" operator="containsText" text="&lt;">
      <formula>NOT(ISERROR(SEARCH(("&lt;"),(S2302))))</formula>
    </cfRule>
  </conditionalFormatting>
  <conditionalFormatting sqref="S2302:S2303">
    <cfRule type="containsText" dxfId="1593" priority="2017" operator="containsText" text="ND">
      <formula>NOT(ISERROR(SEARCH(("ND"),(S2302))))</formula>
    </cfRule>
  </conditionalFormatting>
  <conditionalFormatting sqref="N2302:N2303 S2302:S2303">
    <cfRule type="cellIs" dxfId="1592" priority="2018" operator="greaterThanOrEqual">
      <formula>200</formula>
    </cfRule>
  </conditionalFormatting>
  <conditionalFormatting sqref="S2302:S2303">
    <cfRule type="cellIs" dxfId="1591" priority="2019" operator="greaterThanOrEqual">
      <formula>130</formula>
    </cfRule>
  </conditionalFormatting>
  <conditionalFormatting sqref="N2302:N2303">
    <cfRule type="cellIs" dxfId="1590" priority="2020" operator="greaterThanOrEqual">
      <formula>120</formula>
    </cfRule>
  </conditionalFormatting>
  <conditionalFormatting sqref="O2302:Q2303">
    <cfRule type="containsText" dxfId="1589" priority="2021" operator="containsText" text="ND">
      <formula>NOT(ISERROR(SEARCH(("ND"),(O2302))))</formula>
    </cfRule>
  </conditionalFormatting>
  <conditionalFormatting sqref="O2302:O2303">
    <cfRule type="cellIs" dxfId="1588" priority="2022" operator="greaterThanOrEqual">
      <formula>250</formula>
    </cfRule>
  </conditionalFormatting>
  <conditionalFormatting sqref="O2302:O2303">
    <cfRule type="cellIs" dxfId="1587" priority="2023" operator="greaterThanOrEqual">
      <formula>175</formula>
    </cfRule>
  </conditionalFormatting>
  <conditionalFormatting sqref="P2302:P2303">
    <cfRule type="cellIs" dxfId="1586" priority="2024" operator="greaterThanOrEqual">
      <formula>2.5</formula>
    </cfRule>
  </conditionalFormatting>
  <conditionalFormatting sqref="Q2302:Q2303">
    <cfRule type="cellIs" dxfId="1585" priority="2025" operator="greaterThanOrEqual">
      <formula>500</formula>
    </cfRule>
  </conditionalFormatting>
  <conditionalFormatting sqref="Q2302:Q2303">
    <cfRule type="cellIs" dxfId="1584" priority="2026" operator="greaterThanOrEqual">
      <formula>300</formula>
    </cfRule>
  </conditionalFormatting>
  <conditionalFormatting sqref="W2302:W2303">
    <cfRule type="containsBlanks" dxfId="1583" priority="2009">
      <formula>LEN(TRIM(W2302))=0</formula>
    </cfRule>
    <cfRule type="cellIs" dxfId="1582" priority="2027" operator="lessThan">
      <formula>109</formula>
    </cfRule>
  </conditionalFormatting>
  <conditionalFormatting sqref="X2302:AK2303">
    <cfRule type="cellIs" dxfId="1581" priority="2006" operator="equal">
      <formula>"管制"</formula>
    </cfRule>
    <cfRule type="cellIs" dxfId="1580" priority="2007" operator="equal">
      <formula>"正常"</formula>
    </cfRule>
    <cfRule type="cellIs" dxfId="1579" priority="2008" operator="equal">
      <formula>"監測"</formula>
    </cfRule>
  </conditionalFormatting>
  <conditionalFormatting sqref="P2304 L2304">
    <cfRule type="cellIs" dxfId="1578" priority="1980" operator="greaterThanOrEqual">
      <formula>5</formula>
    </cfRule>
  </conditionalFormatting>
  <conditionalFormatting sqref="L2304">
    <cfRule type="cellIs" dxfId="1577" priority="1981" operator="greaterThanOrEqual">
      <formula>2</formula>
    </cfRule>
  </conditionalFormatting>
  <conditionalFormatting sqref="M2304">
    <cfRule type="cellIs" dxfId="1576" priority="1982" operator="greaterThanOrEqual">
      <formula>60</formula>
    </cfRule>
  </conditionalFormatting>
  <conditionalFormatting sqref="M2304">
    <cfRule type="cellIs" dxfId="1575" priority="1983" operator="greaterThanOrEqual">
      <formula>30</formula>
    </cfRule>
  </conditionalFormatting>
  <conditionalFormatting sqref="R2304">
    <cfRule type="cellIs" dxfId="1574" priority="1984" operator="greaterThanOrEqual">
      <formula>600</formula>
    </cfRule>
  </conditionalFormatting>
  <conditionalFormatting sqref="R2304">
    <cfRule type="cellIs" dxfId="1573" priority="1985" operator="greaterThanOrEqual">
      <formula>260</formula>
    </cfRule>
  </conditionalFormatting>
  <conditionalFormatting sqref="S2304">
    <cfRule type="containsText" dxfId="1572" priority="1986" operator="containsText" text="&lt;">
      <formula>NOT(ISERROR(SEARCH(("&lt;"),(S2304))))</formula>
    </cfRule>
  </conditionalFormatting>
  <conditionalFormatting sqref="S2304">
    <cfRule type="containsText" dxfId="1571" priority="1987" operator="containsText" text="ND">
      <formula>NOT(ISERROR(SEARCH(("ND"),(S2304))))</formula>
    </cfRule>
  </conditionalFormatting>
  <conditionalFormatting sqref="N2304 S2304">
    <cfRule type="cellIs" dxfId="1570" priority="1988" operator="greaterThanOrEqual">
      <formula>200</formula>
    </cfRule>
  </conditionalFormatting>
  <conditionalFormatting sqref="S2304">
    <cfRule type="cellIs" dxfId="1569" priority="1989" operator="greaterThanOrEqual">
      <formula>130</formula>
    </cfRule>
  </conditionalFormatting>
  <conditionalFormatting sqref="N2304">
    <cfRule type="cellIs" dxfId="1568" priority="1990" operator="greaterThanOrEqual">
      <formula>120</formula>
    </cfRule>
  </conditionalFormatting>
  <conditionalFormatting sqref="O2304:Q2304">
    <cfRule type="containsText" dxfId="1567" priority="1991" operator="containsText" text="ND">
      <formula>NOT(ISERROR(SEARCH(("ND"),(O2304))))</formula>
    </cfRule>
  </conditionalFormatting>
  <conditionalFormatting sqref="O2304">
    <cfRule type="cellIs" dxfId="1566" priority="1992" operator="greaterThanOrEqual">
      <formula>250</formula>
    </cfRule>
  </conditionalFormatting>
  <conditionalFormatting sqref="O2304">
    <cfRule type="cellIs" dxfId="1565" priority="1993" operator="greaterThanOrEqual">
      <formula>175</formula>
    </cfRule>
  </conditionalFormatting>
  <conditionalFormatting sqref="P2304">
    <cfRule type="cellIs" dxfId="1564" priority="1994" operator="greaterThanOrEqual">
      <formula>2.5</formula>
    </cfRule>
  </conditionalFormatting>
  <conditionalFormatting sqref="Q2304">
    <cfRule type="cellIs" dxfId="1563" priority="1995" operator="greaterThanOrEqual">
      <formula>500</formula>
    </cfRule>
  </conditionalFormatting>
  <conditionalFormatting sqref="Q2304">
    <cfRule type="cellIs" dxfId="1562" priority="1996" operator="greaterThanOrEqual">
      <formula>300</formula>
    </cfRule>
  </conditionalFormatting>
  <conditionalFormatting sqref="W2304">
    <cfRule type="containsBlanks" dxfId="1561" priority="1979">
      <formula>LEN(TRIM(W2304))=0</formula>
    </cfRule>
    <cfRule type="cellIs" dxfId="1560" priority="1997" operator="lessThan">
      <formula>109</formula>
    </cfRule>
  </conditionalFormatting>
  <conditionalFormatting sqref="X2304:AK2304">
    <cfRule type="cellIs" dxfId="1559" priority="1976" operator="equal">
      <formula>"管制"</formula>
    </cfRule>
    <cfRule type="cellIs" dxfId="1558" priority="1977" operator="equal">
      <formula>"正常"</formula>
    </cfRule>
    <cfRule type="cellIs" dxfId="1557" priority="1978" operator="equal">
      <formula>"監測"</formula>
    </cfRule>
  </conditionalFormatting>
  <conditionalFormatting sqref="P2443 L2443">
    <cfRule type="cellIs" dxfId="1556" priority="1954" operator="greaterThanOrEqual">
      <formula>5</formula>
    </cfRule>
  </conditionalFormatting>
  <conditionalFormatting sqref="L2443">
    <cfRule type="cellIs" dxfId="1555" priority="1955" operator="greaterThanOrEqual">
      <formula>2</formula>
    </cfRule>
  </conditionalFormatting>
  <conditionalFormatting sqref="M2443">
    <cfRule type="cellIs" dxfId="1554" priority="1956" operator="greaterThanOrEqual">
      <formula>60</formula>
    </cfRule>
  </conditionalFormatting>
  <conditionalFormatting sqref="M2443">
    <cfRule type="cellIs" dxfId="1553" priority="1957" operator="greaterThanOrEqual">
      <formula>30</formula>
    </cfRule>
  </conditionalFormatting>
  <conditionalFormatting sqref="R2443">
    <cfRule type="cellIs" dxfId="1552" priority="1958" operator="greaterThanOrEqual">
      <formula>600</formula>
    </cfRule>
  </conditionalFormatting>
  <conditionalFormatting sqref="R2443">
    <cfRule type="cellIs" dxfId="1551" priority="1959" operator="greaterThanOrEqual">
      <formula>260</formula>
    </cfRule>
  </conditionalFormatting>
  <conditionalFormatting sqref="S2443">
    <cfRule type="containsText" dxfId="1550" priority="1960" operator="containsText" text="&lt;">
      <formula>NOT(ISERROR(SEARCH(("&lt;"),(S2443))))</formula>
    </cfRule>
  </conditionalFormatting>
  <conditionalFormatting sqref="S2443">
    <cfRule type="containsText" dxfId="1549" priority="1961" operator="containsText" text="ND">
      <formula>NOT(ISERROR(SEARCH(("ND"),(S2443))))</formula>
    </cfRule>
  </conditionalFormatting>
  <conditionalFormatting sqref="S2443 N2443">
    <cfRule type="cellIs" dxfId="1548" priority="1962" operator="greaterThanOrEqual">
      <formula>200</formula>
    </cfRule>
  </conditionalFormatting>
  <conditionalFormatting sqref="S2443">
    <cfRule type="cellIs" dxfId="1547" priority="1963" operator="greaterThanOrEqual">
      <formula>130</formula>
    </cfRule>
  </conditionalFormatting>
  <conditionalFormatting sqref="N2443">
    <cfRule type="cellIs" dxfId="1546" priority="1964" operator="greaterThanOrEqual">
      <formula>120</formula>
    </cfRule>
  </conditionalFormatting>
  <conditionalFormatting sqref="O2443:Q2443">
    <cfRule type="containsText" dxfId="1545" priority="1965" operator="containsText" text="ND">
      <formula>NOT(ISERROR(SEARCH(("ND"),(O2443))))</formula>
    </cfRule>
  </conditionalFormatting>
  <conditionalFormatting sqref="O2443">
    <cfRule type="cellIs" dxfId="1544" priority="1966" operator="greaterThanOrEqual">
      <formula>250</formula>
    </cfRule>
  </conditionalFormatting>
  <conditionalFormatting sqref="O2443">
    <cfRule type="cellIs" dxfId="1543" priority="1967" operator="greaterThanOrEqual">
      <formula>175</formula>
    </cfRule>
  </conditionalFormatting>
  <conditionalFormatting sqref="P2443">
    <cfRule type="cellIs" dxfId="1542" priority="1968" operator="greaterThanOrEqual">
      <formula>2.5</formula>
    </cfRule>
  </conditionalFormatting>
  <conditionalFormatting sqref="Q2443">
    <cfRule type="cellIs" dxfId="1541" priority="1969" operator="greaterThanOrEqual">
      <formula>500</formula>
    </cfRule>
  </conditionalFormatting>
  <conditionalFormatting sqref="Q2443">
    <cfRule type="cellIs" dxfId="1540" priority="1970" operator="greaterThanOrEqual">
      <formula>300</formula>
    </cfRule>
  </conditionalFormatting>
  <conditionalFormatting sqref="W2443">
    <cfRule type="containsBlanks" dxfId="1539" priority="1953">
      <formula>LEN(TRIM(W2443))=0</formula>
    </cfRule>
    <cfRule type="cellIs" dxfId="1538" priority="1971" operator="lessThan">
      <formula>109</formula>
    </cfRule>
  </conditionalFormatting>
  <conditionalFormatting sqref="X2443:AI2443">
    <cfRule type="cellIs" dxfId="1537" priority="1950" operator="equal">
      <formula>"管制"</formula>
    </cfRule>
    <cfRule type="cellIs" dxfId="1536" priority="1951" operator="equal">
      <formula>"正常"</formula>
    </cfRule>
    <cfRule type="cellIs" dxfId="1535" priority="1952" operator="equal">
      <formula>"監測"</formula>
    </cfRule>
  </conditionalFormatting>
  <conditionalFormatting sqref="AJ2443:AK2443">
    <cfRule type="cellIs" dxfId="1534" priority="1945" operator="equal">
      <formula>"建物"</formula>
    </cfRule>
    <cfRule type="cellIs" dxfId="1533" priority="1946" operator="equal">
      <formula>"難以採樣"</formula>
    </cfRule>
    <cfRule type="cellIs" dxfId="1532" priority="1947" operator="equal">
      <formula>"管制"</formula>
    </cfRule>
    <cfRule type="cellIs" dxfId="1531" priority="1948" operator="equal">
      <formula>"正常"</formula>
    </cfRule>
    <cfRule type="cellIs" dxfId="1530" priority="1949" operator="equal">
      <formula>"監測"</formula>
    </cfRule>
  </conditionalFormatting>
  <conditionalFormatting sqref="P2145 L2145">
    <cfRule type="cellIs" dxfId="1529" priority="1927" operator="greaterThanOrEqual">
      <formula>5</formula>
    </cfRule>
  </conditionalFormatting>
  <conditionalFormatting sqref="L2145">
    <cfRule type="cellIs" dxfId="1528" priority="1928" operator="greaterThanOrEqual">
      <formula>2</formula>
    </cfRule>
  </conditionalFormatting>
  <conditionalFormatting sqref="M2145">
    <cfRule type="cellIs" dxfId="1527" priority="1929" operator="greaterThanOrEqual">
      <formula>60</formula>
    </cfRule>
  </conditionalFormatting>
  <conditionalFormatting sqref="M2145">
    <cfRule type="cellIs" dxfId="1526" priority="1930" operator="greaterThanOrEqual">
      <formula>30</formula>
    </cfRule>
  </conditionalFormatting>
  <conditionalFormatting sqref="R2145">
    <cfRule type="cellIs" dxfId="1525" priority="1931" operator="greaterThanOrEqual">
      <formula>600</formula>
    </cfRule>
  </conditionalFormatting>
  <conditionalFormatting sqref="R2145">
    <cfRule type="cellIs" dxfId="1524" priority="1932" operator="greaterThanOrEqual">
      <formula>260</formula>
    </cfRule>
  </conditionalFormatting>
  <conditionalFormatting sqref="S2145">
    <cfRule type="containsText" dxfId="1523" priority="1933" operator="containsText" text="&lt;">
      <formula>NOT(ISERROR(SEARCH(("&lt;"),(S2145))))</formula>
    </cfRule>
  </conditionalFormatting>
  <conditionalFormatting sqref="S2145">
    <cfRule type="containsText" dxfId="1522" priority="1934" operator="containsText" text="ND">
      <formula>NOT(ISERROR(SEARCH(("ND"),(S2145))))</formula>
    </cfRule>
  </conditionalFormatting>
  <conditionalFormatting sqref="S2145 N2145">
    <cfRule type="cellIs" dxfId="1521" priority="1935" operator="greaterThanOrEqual">
      <formula>200</formula>
    </cfRule>
  </conditionalFormatting>
  <conditionalFormatting sqref="S2145">
    <cfRule type="cellIs" dxfId="1520" priority="1936" operator="greaterThanOrEqual">
      <formula>130</formula>
    </cfRule>
  </conditionalFormatting>
  <conditionalFormatting sqref="N2145">
    <cfRule type="cellIs" dxfId="1519" priority="1937" operator="greaterThanOrEqual">
      <formula>120</formula>
    </cfRule>
  </conditionalFormatting>
  <conditionalFormatting sqref="O2145:Q2145">
    <cfRule type="containsText" dxfId="1518" priority="1938" operator="containsText" text="ND">
      <formula>NOT(ISERROR(SEARCH(("ND"),(O2145))))</formula>
    </cfRule>
  </conditionalFormatting>
  <conditionalFormatting sqref="O2145">
    <cfRule type="cellIs" dxfId="1517" priority="1939" operator="greaterThanOrEqual">
      <formula>250</formula>
    </cfRule>
  </conditionalFormatting>
  <conditionalFormatting sqref="O2145">
    <cfRule type="cellIs" dxfId="1516" priority="1940" operator="greaterThanOrEqual">
      <formula>175</formula>
    </cfRule>
  </conditionalFormatting>
  <conditionalFormatting sqref="P2145">
    <cfRule type="cellIs" dxfId="1515" priority="1941" operator="greaterThanOrEqual">
      <formula>2.5</formula>
    </cfRule>
  </conditionalFormatting>
  <conditionalFormatting sqref="Q2145">
    <cfRule type="cellIs" dxfId="1514" priority="1942" operator="greaterThanOrEqual">
      <formula>500</formula>
    </cfRule>
  </conditionalFormatting>
  <conditionalFormatting sqref="Q2145">
    <cfRule type="cellIs" dxfId="1513" priority="1943" operator="greaterThanOrEqual">
      <formula>300</formula>
    </cfRule>
  </conditionalFormatting>
  <conditionalFormatting sqref="W2145">
    <cfRule type="containsBlanks" dxfId="1512" priority="1926">
      <formula>LEN(TRIM(W2145))=0</formula>
    </cfRule>
    <cfRule type="cellIs" dxfId="1511" priority="1944" operator="lessThan">
      <formula>109</formula>
    </cfRule>
  </conditionalFormatting>
  <conditionalFormatting sqref="X2145:AI2145">
    <cfRule type="cellIs" dxfId="1510" priority="1923" operator="equal">
      <formula>"管制"</formula>
    </cfRule>
    <cfRule type="cellIs" dxfId="1509" priority="1924" operator="equal">
      <formula>"正常"</formula>
    </cfRule>
    <cfRule type="cellIs" dxfId="1508" priority="1925" operator="equal">
      <formula>"監測"</formula>
    </cfRule>
  </conditionalFormatting>
  <conditionalFormatting sqref="AJ2145:AK2145">
    <cfRule type="cellIs" dxfId="1507" priority="1918" operator="equal">
      <formula>"難以採樣"</formula>
    </cfRule>
    <cfRule type="cellIs" dxfId="1506" priority="1919" operator="equal">
      <formula>"建物"</formula>
    </cfRule>
    <cfRule type="cellIs" dxfId="1505" priority="1920" operator="equal">
      <formula>"管制"</formula>
    </cfRule>
    <cfRule type="cellIs" dxfId="1504" priority="1921" operator="equal">
      <formula>"監測"</formula>
    </cfRule>
    <cfRule type="cellIs" dxfId="1503" priority="1922" operator="equal">
      <formula>"正常"</formula>
    </cfRule>
  </conditionalFormatting>
  <conditionalFormatting sqref="L2146 P2146">
    <cfRule type="cellIs" dxfId="1502" priority="1899" operator="greaterThanOrEqual">
      <formula>5</formula>
    </cfRule>
  </conditionalFormatting>
  <conditionalFormatting sqref="L2146">
    <cfRule type="cellIs" dxfId="1501" priority="1900" operator="greaterThanOrEqual">
      <formula>2</formula>
    </cfRule>
  </conditionalFormatting>
  <conditionalFormatting sqref="M2146">
    <cfRule type="cellIs" dxfId="1500" priority="1901" operator="greaterThanOrEqual">
      <formula>60</formula>
    </cfRule>
  </conditionalFormatting>
  <conditionalFormatting sqref="M2146">
    <cfRule type="cellIs" dxfId="1499" priority="1902" operator="greaterThanOrEqual">
      <formula>30</formula>
    </cfRule>
  </conditionalFormatting>
  <conditionalFormatting sqref="R2146">
    <cfRule type="cellIs" dxfId="1498" priority="1903" operator="greaterThanOrEqual">
      <formula>600</formula>
    </cfRule>
  </conditionalFormatting>
  <conditionalFormatting sqref="R2146">
    <cfRule type="cellIs" dxfId="1497" priority="1904" operator="greaterThanOrEqual">
      <formula>260</formula>
    </cfRule>
  </conditionalFormatting>
  <conditionalFormatting sqref="S2146 N2146">
    <cfRule type="cellIs" dxfId="1496" priority="1905" operator="greaterThanOrEqual">
      <formula>200</formula>
    </cfRule>
  </conditionalFormatting>
  <conditionalFormatting sqref="S2146">
    <cfRule type="cellIs" dxfId="1495" priority="1906" operator="greaterThanOrEqual">
      <formula>130</formula>
    </cfRule>
  </conditionalFormatting>
  <conditionalFormatting sqref="N2146">
    <cfRule type="cellIs" dxfId="1494" priority="1907" operator="greaterThanOrEqual">
      <formula>120</formula>
    </cfRule>
  </conditionalFormatting>
  <conditionalFormatting sqref="O2146">
    <cfRule type="cellIs" dxfId="1493" priority="1908" operator="greaterThanOrEqual">
      <formula>250</formula>
    </cfRule>
  </conditionalFormatting>
  <conditionalFormatting sqref="O2146">
    <cfRule type="cellIs" dxfId="1492" priority="1909" operator="greaterThanOrEqual">
      <formula>175</formula>
    </cfRule>
  </conditionalFormatting>
  <conditionalFormatting sqref="P2146">
    <cfRule type="cellIs" dxfId="1491" priority="1910" operator="greaterThanOrEqual">
      <formula>2.5</formula>
    </cfRule>
  </conditionalFormatting>
  <conditionalFormatting sqref="Q2146">
    <cfRule type="cellIs" dxfId="1490" priority="1911" operator="greaterThanOrEqual">
      <formula>500</formula>
    </cfRule>
  </conditionalFormatting>
  <conditionalFormatting sqref="Q2146">
    <cfRule type="cellIs" dxfId="1489" priority="1912" operator="greaterThanOrEqual">
      <formula>300</formula>
    </cfRule>
  </conditionalFormatting>
  <conditionalFormatting sqref="X2146:AI2146">
    <cfRule type="cellIs" dxfId="1488" priority="1896" operator="equal">
      <formula>"管制"</formula>
    </cfRule>
    <cfRule type="cellIs" dxfId="1487" priority="1897" operator="equal">
      <formula>"正常"</formula>
    </cfRule>
    <cfRule type="cellIs" dxfId="1486" priority="1898" operator="equal">
      <formula>"監測"</formula>
    </cfRule>
  </conditionalFormatting>
  <conditionalFormatting sqref="AJ2146:AK2146">
    <cfRule type="cellIs" dxfId="1485" priority="1891" operator="equal">
      <formula>"難以採樣"</formula>
    </cfRule>
    <cfRule type="cellIs" dxfId="1484" priority="1892" operator="equal">
      <formula>"建物"</formula>
    </cfRule>
    <cfRule type="cellIs" dxfId="1483" priority="1893" operator="equal">
      <formula>"管制"</formula>
    </cfRule>
    <cfRule type="cellIs" dxfId="1482" priority="1894" operator="equal">
      <formula>"監測"</formula>
    </cfRule>
    <cfRule type="cellIs" dxfId="1481" priority="1895" operator="equal">
      <formula>"正常"</formula>
    </cfRule>
  </conditionalFormatting>
  <conditionalFormatting sqref="L2305 P2305">
    <cfRule type="cellIs" dxfId="1480" priority="1872" operator="greaterThanOrEqual">
      <formula>5</formula>
    </cfRule>
  </conditionalFormatting>
  <conditionalFormatting sqref="L2305">
    <cfRule type="cellIs" dxfId="1479" priority="1873" operator="greaterThanOrEqual">
      <formula>2</formula>
    </cfRule>
  </conditionalFormatting>
  <conditionalFormatting sqref="M2305">
    <cfRule type="cellIs" dxfId="1478" priority="1874" operator="greaterThanOrEqual">
      <formula>60</formula>
    </cfRule>
  </conditionalFormatting>
  <conditionalFormatting sqref="M2305">
    <cfRule type="cellIs" dxfId="1477" priority="1875" operator="greaterThanOrEqual">
      <formula>30</formula>
    </cfRule>
  </conditionalFormatting>
  <conditionalFormatting sqref="R2305">
    <cfRule type="cellIs" dxfId="1476" priority="1876" operator="greaterThanOrEqual">
      <formula>600</formula>
    </cfRule>
  </conditionalFormatting>
  <conditionalFormatting sqref="R2305">
    <cfRule type="cellIs" dxfId="1475" priority="1877" operator="greaterThanOrEqual">
      <formula>260</formula>
    </cfRule>
  </conditionalFormatting>
  <conditionalFormatting sqref="S2305 N2305">
    <cfRule type="cellIs" dxfId="1474" priority="1878" operator="greaterThanOrEqual">
      <formula>200</formula>
    </cfRule>
  </conditionalFormatting>
  <conditionalFormatting sqref="S2305">
    <cfRule type="cellIs" dxfId="1473" priority="1879" operator="greaterThanOrEqual">
      <formula>130</formula>
    </cfRule>
  </conditionalFormatting>
  <conditionalFormatting sqref="N2305">
    <cfRule type="cellIs" dxfId="1472" priority="1880" operator="greaterThanOrEqual">
      <formula>120</formula>
    </cfRule>
  </conditionalFormatting>
  <conditionalFormatting sqref="O2305">
    <cfRule type="cellIs" dxfId="1471" priority="1881" operator="greaterThanOrEqual">
      <formula>250</formula>
    </cfRule>
  </conditionalFormatting>
  <conditionalFormatting sqref="O2305">
    <cfRule type="cellIs" dxfId="1470" priority="1882" operator="greaterThanOrEqual">
      <formula>175</formula>
    </cfRule>
  </conditionalFormatting>
  <conditionalFormatting sqref="P2305">
    <cfRule type="cellIs" dxfId="1469" priority="1883" operator="greaterThanOrEqual">
      <formula>2.5</formula>
    </cfRule>
  </conditionalFormatting>
  <conditionalFormatting sqref="Q2305">
    <cfRule type="cellIs" dxfId="1468" priority="1884" operator="greaterThanOrEqual">
      <formula>500</formula>
    </cfRule>
  </conditionalFormatting>
  <conditionalFormatting sqref="Q2305">
    <cfRule type="cellIs" dxfId="1467" priority="1885" operator="greaterThanOrEqual">
      <formula>300</formula>
    </cfRule>
  </conditionalFormatting>
  <conditionalFormatting sqref="X2305:AI2305">
    <cfRule type="cellIs" dxfId="1466" priority="1869" operator="equal">
      <formula>"管制"</formula>
    </cfRule>
    <cfRule type="cellIs" dxfId="1465" priority="1870" operator="equal">
      <formula>"正常"</formula>
    </cfRule>
    <cfRule type="cellIs" dxfId="1464" priority="1871" operator="equal">
      <formula>"監測"</formula>
    </cfRule>
  </conditionalFormatting>
  <conditionalFormatting sqref="AJ2305:AK2305">
    <cfRule type="cellIs" dxfId="1463" priority="1866" operator="equal">
      <formula>"管制"</formula>
    </cfRule>
    <cfRule type="cellIs" dxfId="1462" priority="1867" operator="equal">
      <formula>"正常"</formula>
    </cfRule>
    <cfRule type="cellIs" dxfId="1461" priority="1868" operator="equal">
      <formula>"監測"</formula>
    </cfRule>
  </conditionalFormatting>
  <conditionalFormatting sqref="L2325 P2325">
    <cfRule type="cellIs" dxfId="1460" priority="1848" operator="greaterThanOrEqual">
      <formula>5</formula>
    </cfRule>
  </conditionalFormatting>
  <conditionalFormatting sqref="L2325">
    <cfRule type="cellIs" dxfId="1459" priority="1849" operator="greaterThanOrEqual">
      <formula>2</formula>
    </cfRule>
  </conditionalFormatting>
  <conditionalFormatting sqref="M2325">
    <cfRule type="cellIs" dxfId="1458" priority="1850" operator="greaterThanOrEqual">
      <formula>60</formula>
    </cfRule>
  </conditionalFormatting>
  <conditionalFormatting sqref="M2325">
    <cfRule type="cellIs" dxfId="1457" priority="1851" operator="greaterThanOrEqual">
      <formula>30</formula>
    </cfRule>
  </conditionalFormatting>
  <conditionalFormatting sqref="R2325">
    <cfRule type="cellIs" dxfId="1456" priority="1852" operator="greaterThanOrEqual">
      <formula>600</formula>
    </cfRule>
  </conditionalFormatting>
  <conditionalFormatting sqref="R2325">
    <cfRule type="cellIs" dxfId="1455" priority="1853" operator="greaterThanOrEqual">
      <formula>260</formula>
    </cfRule>
  </conditionalFormatting>
  <conditionalFormatting sqref="S2325 N2325">
    <cfRule type="cellIs" dxfId="1454" priority="1854" operator="greaterThanOrEqual">
      <formula>200</formula>
    </cfRule>
  </conditionalFormatting>
  <conditionalFormatting sqref="S2325">
    <cfRule type="cellIs" dxfId="1453" priority="1855" operator="greaterThanOrEqual">
      <formula>130</formula>
    </cfRule>
  </conditionalFormatting>
  <conditionalFormatting sqref="N2325">
    <cfRule type="cellIs" dxfId="1452" priority="1856" operator="greaterThanOrEqual">
      <formula>120</formula>
    </cfRule>
  </conditionalFormatting>
  <conditionalFormatting sqref="O2325">
    <cfRule type="cellIs" dxfId="1451" priority="1857" operator="greaterThanOrEqual">
      <formula>250</formula>
    </cfRule>
  </conditionalFormatting>
  <conditionalFormatting sqref="O2325">
    <cfRule type="cellIs" dxfId="1450" priority="1858" operator="greaterThanOrEqual">
      <formula>175</formula>
    </cfRule>
  </conditionalFormatting>
  <conditionalFormatting sqref="P2325">
    <cfRule type="cellIs" dxfId="1449" priority="1859" operator="greaterThanOrEqual">
      <formula>2.5</formula>
    </cfRule>
  </conditionalFormatting>
  <conditionalFormatting sqref="Q2325">
    <cfRule type="cellIs" dxfId="1448" priority="1860" operator="greaterThanOrEqual">
      <formula>500</formula>
    </cfRule>
  </conditionalFormatting>
  <conditionalFormatting sqref="Q2325">
    <cfRule type="cellIs" dxfId="1447" priority="1861" operator="greaterThanOrEqual">
      <formula>300</formula>
    </cfRule>
  </conditionalFormatting>
  <conditionalFormatting sqref="X2325:AK2325">
    <cfRule type="cellIs" dxfId="1446" priority="1845" operator="equal">
      <formula>"管制"</formula>
    </cfRule>
    <cfRule type="cellIs" dxfId="1445" priority="1846" operator="equal">
      <formula>"正常"</formula>
    </cfRule>
    <cfRule type="cellIs" dxfId="1444" priority="1847" operator="equal">
      <formula>"監測"</formula>
    </cfRule>
  </conditionalFormatting>
  <conditionalFormatting sqref="P2306 L2306">
    <cfRule type="cellIs" dxfId="1443" priority="1831" operator="greaterThanOrEqual">
      <formula>5</formula>
    </cfRule>
  </conditionalFormatting>
  <conditionalFormatting sqref="L2306">
    <cfRule type="cellIs" dxfId="1442" priority="1832" operator="greaterThanOrEqual">
      <formula>2</formula>
    </cfRule>
  </conditionalFormatting>
  <conditionalFormatting sqref="M2306">
    <cfRule type="cellIs" dxfId="1441" priority="1833" operator="greaterThanOrEqual">
      <formula>60</formula>
    </cfRule>
  </conditionalFormatting>
  <conditionalFormatting sqref="M2306">
    <cfRule type="cellIs" dxfId="1440" priority="1834" operator="greaterThanOrEqual">
      <formula>30</formula>
    </cfRule>
  </conditionalFormatting>
  <conditionalFormatting sqref="R2306">
    <cfRule type="cellIs" dxfId="1439" priority="1835" operator="greaterThanOrEqual">
      <formula>600</formula>
    </cfRule>
  </conditionalFormatting>
  <conditionalFormatting sqref="R2306">
    <cfRule type="cellIs" dxfId="1438" priority="1836" operator="greaterThanOrEqual">
      <formula>260</formula>
    </cfRule>
  </conditionalFormatting>
  <conditionalFormatting sqref="N2306 S2306">
    <cfRule type="cellIs" dxfId="1437" priority="1837" operator="greaterThanOrEqual">
      <formula>200</formula>
    </cfRule>
  </conditionalFormatting>
  <conditionalFormatting sqref="S2306">
    <cfRule type="cellIs" dxfId="1436" priority="1838" operator="greaterThanOrEqual">
      <formula>130</formula>
    </cfRule>
  </conditionalFormatting>
  <conditionalFormatting sqref="N2306">
    <cfRule type="cellIs" dxfId="1435" priority="1839" operator="greaterThanOrEqual">
      <formula>120</formula>
    </cfRule>
  </conditionalFormatting>
  <conditionalFormatting sqref="O2306">
    <cfRule type="cellIs" dxfId="1434" priority="1840" operator="greaterThanOrEqual">
      <formula>250</formula>
    </cfRule>
  </conditionalFormatting>
  <conditionalFormatting sqref="O2306">
    <cfRule type="cellIs" dxfId="1433" priority="1841" operator="greaterThanOrEqual">
      <formula>175</formula>
    </cfRule>
  </conditionalFormatting>
  <conditionalFormatting sqref="P2306">
    <cfRule type="cellIs" dxfId="1432" priority="1842" operator="greaterThanOrEqual">
      <formula>2.5</formula>
    </cfRule>
  </conditionalFormatting>
  <conditionalFormatting sqref="Q2306">
    <cfRule type="cellIs" dxfId="1431" priority="1843" operator="greaterThanOrEqual">
      <formula>500</formula>
    </cfRule>
  </conditionalFormatting>
  <conditionalFormatting sqref="Q2306">
    <cfRule type="cellIs" dxfId="1430" priority="1844" operator="greaterThanOrEqual">
      <formula>300</formula>
    </cfRule>
  </conditionalFormatting>
  <conditionalFormatting sqref="X2306:AK2306">
    <cfRule type="cellIs" dxfId="1429" priority="1828" operator="equal">
      <formula>"管制"</formula>
    </cfRule>
    <cfRule type="cellIs" dxfId="1428" priority="1829" operator="equal">
      <formula>"正常"</formula>
    </cfRule>
    <cfRule type="cellIs" dxfId="1427" priority="1830" operator="equal">
      <formula>"監測"</formula>
    </cfRule>
  </conditionalFormatting>
  <conditionalFormatting sqref="L2307 P2307">
    <cfRule type="cellIs" dxfId="1426" priority="1810" operator="greaterThanOrEqual">
      <formula>5</formula>
    </cfRule>
  </conditionalFormatting>
  <conditionalFormatting sqref="L2307">
    <cfRule type="cellIs" dxfId="1425" priority="1811" operator="greaterThanOrEqual">
      <formula>2</formula>
    </cfRule>
  </conditionalFormatting>
  <conditionalFormatting sqref="M2307">
    <cfRule type="cellIs" dxfId="1424" priority="1812" operator="greaterThanOrEqual">
      <formula>60</formula>
    </cfRule>
  </conditionalFormatting>
  <conditionalFormatting sqref="M2307">
    <cfRule type="cellIs" dxfId="1423" priority="1813" operator="greaterThanOrEqual">
      <formula>30</formula>
    </cfRule>
  </conditionalFormatting>
  <conditionalFormatting sqref="R2307">
    <cfRule type="cellIs" dxfId="1422" priority="1814" operator="greaterThanOrEqual">
      <formula>600</formula>
    </cfRule>
  </conditionalFormatting>
  <conditionalFormatting sqref="R2307">
    <cfRule type="cellIs" dxfId="1421" priority="1815" operator="greaterThanOrEqual">
      <formula>260</formula>
    </cfRule>
  </conditionalFormatting>
  <conditionalFormatting sqref="S2307 N2307">
    <cfRule type="cellIs" dxfId="1420" priority="1816" operator="greaterThanOrEqual">
      <formula>200</formula>
    </cfRule>
  </conditionalFormatting>
  <conditionalFormatting sqref="S2307">
    <cfRule type="cellIs" dxfId="1419" priority="1817" operator="greaterThanOrEqual">
      <formula>130</formula>
    </cfRule>
  </conditionalFormatting>
  <conditionalFormatting sqref="N2307">
    <cfRule type="cellIs" dxfId="1418" priority="1818" operator="greaterThanOrEqual">
      <formula>120</formula>
    </cfRule>
  </conditionalFormatting>
  <conditionalFormatting sqref="O2307">
    <cfRule type="cellIs" dxfId="1417" priority="1819" operator="greaterThanOrEqual">
      <formula>250</formula>
    </cfRule>
  </conditionalFormatting>
  <conditionalFormatting sqref="O2307">
    <cfRule type="cellIs" dxfId="1416" priority="1820" operator="greaterThanOrEqual">
      <formula>175</formula>
    </cfRule>
  </conditionalFormatting>
  <conditionalFormatting sqref="P2307">
    <cfRule type="cellIs" dxfId="1415" priority="1821" operator="greaterThanOrEqual">
      <formula>2.5</formula>
    </cfRule>
  </conditionalFormatting>
  <conditionalFormatting sqref="Q2307">
    <cfRule type="cellIs" dxfId="1414" priority="1822" operator="greaterThanOrEqual">
      <formula>500</formula>
    </cfRule>
  </conditionalFormatting>
  <conditionalFormatting sqref="Q2307">
    <cfRule type="cellIs" dxfId="1413" priority="1823" operator="greaterThanOrEqual">
      <formula>300</formula>
    </cfRule>
  </conditionalFormatting>
  <conditionalFormatting sqref="X2307:AK2307">
    <cfRule type="cellIs" dxfId="1412" priority="1807" operator="equal">
      <formula>"管制"</formula>
    </cfRule>
    <cfRule type="cellIs" dxfId="1411" priority="1808" operator="equal">
      <formula>"正常"</formula>
    </cfRule>
    <cfRule type="cellIs" dxfId="1410" priority="1809" operator="equal">
      <formula>"監測"</formula>
    </cfRule>
  </conditionalFormatting>
  <conditionalFormatting sqref="P2444 L2444">
    <cfRule type="cellIs" dxfId="1409" priority="1789" operator="greaterThanOrEqual">
      <formula>5</formula>
    </cfRule>
  </conditionalFormatting>
  <conditionalFormatting sqref="L2444">
    <cfRule type="cellIs" dxfId="1408" priority="1790" operator="greaterThanOrEqual">
      <formula>2</formula>
    </cfRule>
  </conditionalFormatting>
  <conditionalFormatting sqref="M2444">
    <cfRule type="cellIs" dxfId="1407" priority="1791" operator="greaterThanOrEqual">
      <formula>60</formula>
    </cfRule>
  </conditionalFormatting>
  <conditionalFormatting sqref="M2444">
    <cfRule type="cellIs" dxfId="1406" priority="1792" operator="greaterThanOrEqual">
      <formula>30</formula>
    </cfRule>
  </conditionalFormatting>
  <conditionalFormatting sqref="R2444">
    <cfRule type="cellIs" dxfId="1405" priority="1793" operator="greaterThanOrEqual">
      <formula>600</formula>
    </cfRule>
  </conditionalFormatting>
  <conditionalFormatting sqref="R2444">
    <cfRule type="cellIs" dxfId="1404" priority="1794" operator="greaterThanOrEqual">
      <formula>260</formula>
    </cfRule>
  </conditionalFormatting>
  <conditionalFormatting sqref="N2444 S2444">
    <cfRule type="cellIs" dxfId="1403" priority="1795" operator="greaterThanOrEqual">
      <formula>200</formula>
    </cfRule>
  </conditionalFormatting>
  <conditionalFormatting sqref="S2444">
    <cfRule type="cellIs" dxfId="1402" priority="1796" operator="greaterThanOrEqual">
      <formula>130</formula>
    </cfRule>
  </conditionalFormatting>
  <conditionalFormatting sqref="N2444">
    <cfRule type="cellIs" dxfId="1401" priority="1797" operator="greaterThanOrEqual">
      <formula>120</formula>
    </cfRule>
  </conditionalFormatting>
  <conditionalFormatting sqref="O2444">
    <cfRule type="cellIs" dxfId="1400" priority="1798" operator="greaterThanOrEqual">
      <formula>250</formula>
    </cfRule>
  </conditionalFormatting>
  <conditionalFormatting sqref="O2444">
    <cfRule type="cellIs" dxfId="1399" priority="1799" operator="greaterThanOrEqual">
      <formula>175</formula>
    </cfRule>
  </conditionalFormatting>
  <conditionalFormatting sqref="P2444">
    <cfRule type="cellIs" dxfId="1398" priority="1800" operator="greaterThanOrEqual">
      <formula>2.5</formula>
    </cfRule>
  </conditionalFormatting>
  <conditionalFormatting sqref="Q2444">
    <cfRule type="cellIs" dxfId="1397" priority="1801" operator="greaterThanOrEqual">
      <formula>500</formula>
    </cfRule>
  </conditionalFormatting>
  <conditionalFormatting sqref="Q2444">
    <cfRule type="cellIs" dxfId="1396" priority="1802" operator="greaterThanOrEqual">
      <formula>300</formula>
    </cfRule>
  </conditionalFormatting>
  <conditionalFormatting sqref="X2444:AI2444">
    <cfRule type="cellIs" dxfId="1395" priority="1786" operator="equal">
      <formula>"管制"</formula>
    </cfRule>
    <cfRule type="cellIs" dxfId="1394" priority="1787" operator="equal">
      <formula>"正常"</formula>
    </cfRule>
    <cfRule type="cellIs" dxfId="1393" priority="1788" operator="equal">
      <formula>"監測"</formula>
    </cfRule>
  </conditionalFormatting>
  <conditionalFormatting sqref="L2445 P2445">
    <cfRule type="cellIs" dxfId="1392" priority="1772" operator="greaterThanOrEqual">
      <formula>5</formula>
    </cfRule>
  </conditionalFormatting>
  <conditionalFormatting sqref="L2445">
    <cfRule type="cellIs" dxfId="1391" priority="1773" operator="greaterThanOrEqual">
      <formula>2</formula>
    </cfRule>
  </conditionalFormatting>
  <conditionalFormatting sqref="M2445">
    <cfRule type="cellIs" dxfId="1390" priority="1774" operator="greaterThanOrEqual">
      <formula>60</formula>
    </cfRule>
  </conditionalFormatting>
  <conditionalFormatting sqref="M2445">
    <cfRule type="cellIs" dxfId="1389" priority="1775" operator="greaterThanOrEqual">
      <formula>30</formula>
    </cfRule>
  </conditionalFormatting>
  <conditionalFormatting sqref="R2445">
    <cfRule type="cellIs" dxfId="1388" priority="1776" operator="greaterThanOrEqual">
      <formula>600</formula>
    </cfRule>
  </conditionalFormatting>
  <conditionalFormatting sqref="R2445">
    <cfRule type="cellIs" dxfId="1387" priority="1777" operator="greaterThanOrEqual">
      <formula>260</formula>
    </cfRule>
  </conditionalFormatting>
  <conditionalFormatting sqref="S2445 N2445">
    <cfRule type="cellIs" dxfId="1386" priority="1778" operator="greaterThanOrEqual">
      <formula>200</formula>
    </cfRule>
  </conditionalFormatting>
  <conditionalFormatting sqref="S2445">
    <cfRule type="cellIs" dxfId="1385" priority="1779" operator="greaterThanOrEqual">
      <formula>130</formula>
    </cfRule>
  </conditionalFormatting>
  <conditionalFormatting sqref="N2445">
    <cfRule type="cellIs" dxfId="1384" priority="1780" operator="greaterThanOrEqual">
      <formula>120</formula>
    </cfRule>
  </conditionalFormatting>
  <conditionalFormatting sqref="O2445">
    <cfRule type="cellIs" dxfId="1383" priority="1781" operator="greaterThanOrEqual">
      <formula>250</formula>
    </cfRule>
  </conditionalFormatting>
  <conditionalFormatting sqref="O2445">
    <cfRule type="cellIs" dxfId="1382" priority="1782" operator="greaterThanOrEqual">
      <formula>175</formula>
    </cfRule>
  </conditionalFormatting>
  <conditionalFormatting sqref="P2445">
    <cfRule type="cellIs" dxfId="1381" priority="1783" operator="greaterThanOrEqual">
      <formula>2.5</formula>
    </cfRule>
  </conditionalFormatting>
  <conditionalFormatting sqref="Q2445">
    <cfRule type="cellIs" dxfId="1380" priority="1784" operator="greaterThanOrEqual">
      <formula>500</formula>
    </cfRule>
  </conditionalFormatting>
  <conditionalFormatting sqref="Q2445">
    <cfRule type="cellIs" dxfId="1379" priority="1785" operator="greaterThanOrEqual">
      <formula>300</formula>
    </cfRule>
  </conditionalFormatting>
  <conditionalFormatting sqref="X2445:AI2445">
    <cfRule type="cellIs" dxfId="1378" priority="1769" operator="equal">
      <formula>"管制"</formula>
    </cfRule>
    <cfRule type="cellIs" dxfId="1377" priority="1770" operator="equal">
      <formula>"正常"</formula>
    </cfRule>
    <cfRule type="cellIs" dxfId="1376" priority="1771" operator="equal">
      <formula>"監測"</formula>
    </cfRule>
  </conditionalFormatting>
  <conditionalFormatting sqref="AJ2444:AK2445">
    <cfRule type="cellIs" dxfId="1375" priority="1764" operator="equal">
      <formula>"建物"</formula>
    </cfRule>
    <cfRule type="cellIs" dxfId="1374" priority="1765" operator="equal">
      <formula>"難以採樣"</formula>
    </cfRule>
    <cfRule type="cellIs" dxfId="1373" priority="1766" operator="equal">
      <formula>"管制"</formula>
    </cfRule>
    <cfRule type="cellIs" dxfId="1372" priority="1767" operator="equal">
      <formula>"正常"</formula>
    </cfRule>
    <cfRule type="cellIs" dxfId="1371" priority="1768" operator="equal">
      <formula>"監測"</formula>
    </cfRule>
  </conditionalFormatting>
  <conditionalFormatting sqref="L1812 P1812">
    <cfRule type="cellIs" dxfId="1370" priority="1746" operator="greaterThanOrEqual">
      <formula>5</formula>
    </cfRule>
  </conditionalFormatting>
  <conditionalFormatting sqref="L1812">
    <cfRule type="cellIs" dxfId="1369" priority="1747" operator="greaterThanOrEqual">
      <formula>2</formula>
    </cfRule>
  </conditionalFormatting>
  <conditionalFormatting sqref="M1812">
    <cfRule type="cellIs" dxfId="1368" priority="1748" operator="greaterThanOrEqual">
      <formula>60</formula>
    </cfRule>
  </conditionalFormatting>
  <conditionalFormatting sqref="M1812">
    <cfRule type="cellIs" dxfId="1367" priority="1749" operator="greaterThanOrEqual">
      <formula>30</formula>
    </cfRule>
  </conditionalFormatting>
  <conditionalFormatting sqref="R1812">
    <cfRule type="cellIs" dxfId="1366" priority="1750" operator="greaterThanOrEqual">
      <formula>600</formula>
    </cfRule>
  </conditionalFormatting>
  <conditionalFormatting sqref="R1812">
    <cfRule type="cellIs" dxfId="1365" priority="1751" operator="greaterThanOrEqual">
      <formula>260</formula>
    </cfRule>
  </conditionalFormatting>
  <conditionalFormatting sqref="S1812 N1812">
    <cfRule type="cellIs" dxfId="1364" priority="1754" operator="greaterThanOrEqual">
      <formula>200</formula>
    </cfRule>
  </conditionalFormatting>
  <conditionalFormatting sqref="S1812">
    <cfRule type="cellIs" dxfId="1363" priority="1755" operator="greaterThanOrEqual">
      <formula>130</formula>
    </cfRule>
  </conditionalFormatting>
  <conditionalFormatting sqref="N1812">
    <cfRule type="cellIs" dxfId="1362" priority="1756" operator="greaterThanOrEqual">
      <formula>120</formula>
    </cfRule>
  </conditionalFormatting>
  <conditionalFormatting sqref="O1812">
    <cfRule type="cellIs" dxfId="1361" priority="1758" operator="greaterThanOrEqual">
      <formula>250</formula>
    </cfRule>
  </conditionalFormatting>
  <conditionalFormatting sqref="O1812">
    <cfRule type="cellIs" dxfId="1360" priority="1759" operator="greaterThanOrEqual">
      <formula>175</formula>
    </cfRule>
  </conditionalFormatting>
  <conditionalFormatting sqref="P1812">
    <cfRule type="cellIs" dxfId="1359" priority="1760" operator="greaterThanOrEqual">
      <formula>2.5</formula>
    </cfRule>
  </conditionalFormatting>
  <conditionalFormatting sqref="Q1812">
    <cfRule type="cellIs" dxfId="1358" priority="1761" operator="greaterThanOrEqual">
      <formula>500</formula>
    </cfRule>
  </conditionalFormatting>
  <conditionalFormatting sqref="Q1812">
    <cfRule type="cellIs" dxfId="1357" priority="1762" operator="greaterThanOrEqual">
      <formula>300</formula>
    </cfRule>
  </conditionalFormatting>
  <conditionalFormatting sqref="W1812:W1815">
    <cfRule type="cellIs" dxfId="1356" priority="1763" operator="lessThan">
      <formula>109</formula>
    </cfRule>
  </conditionalFormatting>
  <conditionalFormatting sqref="X1812:AK1812">
    <cfRule type="cellIs" dxfId="1355" priority="1742" operator="equal">
      <formula>"管制"</formula>
    </cfRule>
    <cfRule type="cellIs" dxfId="1354" priority="1743" operator="equal">
      <formula>"正常"</formula>
    </cfRule>
    <cfRule type="cellIs" dxfId="1353" priority="1744" operator="equal">
      <formula>"監測"</formula>
    </cfRule>
  </conditionalFormatting>
  <conditionalFormatting sqref="W2325">
    <cfRule type="cellIs" dxfId="1352" priority="6325" operator="lessThan">
      <formula>109</formula>
    </cfRule>
  </conditionalFormatting>
  <conditionalFormatting sqref="W2306:W2307">
    <cfRule type="cellIs" dxfId="1351" priority="6330" operator="lessThan">
      <formula>109</formula>
    </cfRule>
  </conditionalFormatting>
  <conditionalFormatting sqref="L2308 P2308">
    <cfRule type="cellIs" dxfId="1350" priority="1727" operator="greaterThanOrEqual">
      <formula>5</formula>
    </cfRule>
  </conditionalFormatting>
  <conditionalFormatting sqref="L2308">
    <cfRule type="cellIs" dxfId="1349" priority="1728" operator="greaterThanOrEqual">
      <formula>2</formula>
    </cfRule>
  </conditionalFormatting>
  <conditionalFormatting sqref="M2308">
    <cfRule type="cellIs" dxfId="1348" priority="1729" operator="greaterThanOrEqual">
      <formula>60</formula>
    </cfRule>
  </conditionalFormatting>
  <conditionalFormatting sqref="M2308">
    <cfRule type="cellIs" dxfId="1347" priority="1730" operator="greaterThanOrEqual">
      <formula>30</formula>
    </cfRule>
  </conditionalFormatting>
  <conditionalFormatting sqref="R2308">
    <cfRule type="cellIs" dxfId="1346" priority="1731" operator="greaterThanOrEqual">
      <formula>600</formula>
    </cfRule>
  </conditionalFormatting>
  <conditionalFormatting sqref="R2308">
    <cfRule type="cellIs" dxfId="1345" priority="1732" operator="greaterThanOrEqual">
      <formula>260</formula>
    </cfRule>
  </conditionalFormatting>
  <conditionalFormatting sqref="S2308 N2308">
    <cfRule type="cellIs" dxfId="1344" priority="1733" operator="greaterThanOrEqual">
      <formula>200</formula>
    </cfRule>
  </conditionalFormatting>
  <conditionalFormatting sqref="S2308">
    <cfRule type="cellIs" dxfId="1343" priority="1734" operator="greaterThanOrEqual">
      <formula>130</formula>
    </cfRule>
  </conditionalFormatting>
  <conditionalFormatting sqref="N2308">
    <cfRule type="cellIs" dxfId="1342" priority="1735" operator="greaterThanOrEqual">
      <formula>120</formula>
    </cfRule>
  </conditionalFormatting>
  <conditionalFormatting sqref="O2308">
    <cfRule type="cellIs" dxfId="1341" priority="1736" operator="greaterThanOrEqual">
      <formula>250</formula>
    </cfRule>
  </conditionalFormatting>
  <conditionalFormatting sqref="O2308">
    <cfRule type="cellIs" dxfId="1340" priority="1737" operator="greaterThanOrEqual">
      <formula>175</formula>
    </cfRule>
  </conditionalFormatting>
  <conditionalFormatting sqref="P2308">
    <cfRule type="cellIs" dxfId="1339" priority="1738" operator="greaterThanOrEqual">
      <formula>2.5</formula>
    </cfRule>
  </conditionalFormatting>
  <conditionalFormatting sqref="Q2308">
    <cfRule type="cellIs" dxfId="1338" priority="1739" operator="greaterThanOrEqual">
      <formula>500</formula>
    </cfRule>
  </conditionalFormatting>
  <conditionalFormatting sqref="Q2308">
    <cfRule type="cellIs" dxfId="1337" priority="1740" operator="greaterThanOrEqual">
      <formula>300</formula>
    </cfRule>
  </conditionalFormatting>
  <conditionalFormatting sqref="W2308:W2309">
    <cfRule type="cellIs" dxfId="1336" priority="1741" operator="lessThan">
      <formula>109</formula>
    </cfRule>
  </conditionalFormatting>
  <conditionalFormatting sqref="X2308:AI2308">
    <cfRule type="cellIs" dxfId="1335" priority="1724" operator="equal">
      <formula>"管制"</formula>
    </cfRule>
    <cfRule type="cellIs" dxfId="1334" priority="1725" operator="equal">
      <formula>"正常"</formula>
    </cfRule>
    <cfRule type="cellIs" dxfId="1333" priority="1726" operator="equal">
      <formula>"監測"</formula>
    </cfRule>
  </conditionalFormatting>
  <conditionalFormatting sqref="W2144 W2146 W2305">
    <cfRule type="cellIs" dxfId="1332" priority="6335" operator="lessThan">
      <formula>109</formula>
    </cfRule>
  </conditionalFormatting>
  <conditionalFormatting sqref="P2309 L2309">
    <cfRule type="cellIs" dxfId="1331" priority="1710" operator="greaterThanOrEqual">
      <formula>5</formula>
    </cfRule>
  </conditionalFormatting>
  <conditionalFormatting sqref="L2309">
    <cfRule type="cellIs" dxfId="1330" priority="1711" operator="greaterThanOrEqual">
      <formula>2</formula>
    </cfRule>
  </conditionalFormatting>
  <conditionalFormatting sqref="M2309">
    <cfRule type="cellIs" dxfId="1329" priority="1712" operator="greaterThanOrEqual">
      <formula>60</formula>
    </cfRule>
  </conditionalFormatting>
  <conditionalFormatting sqref="M2309">
    <cfRule type="cellIs" dxfId="1328" priority="1713" operator="greaterThanOrEqual">
      <formula>30</formula>
    </cfRule>
  </conditionalFormatting>
  <conditionalFormatting sqref="R2309">
    <cfRule type="cellIs" dxfId="1327" priority="1714" operator="greaterThanOrEqual">
      <formula>600</formula>
    </cfRule>
  </conditionalFormatting>
  <conditionalFormatting sqref="R2309">
    <cfRule type="cellIs" dxfId="1326" priority="1715" operator="greaterThanOrEqual">
      <formula>260</formula>
    </cfRule>
  </conditionalFormatting>
  <conditionalFormatting sqref="N2309 S2309">
    <cfRule type="cellIs" dxfId="1325" priority="1716" operator="greaterThanOrEqual">
      <formula>200</formula>
    </cfRule>
  </conditionalFormatting>
  <conditionalFormatting sqref="S2309">
    <cfRule type="cellIs" dxfId="1324" priority="1717" operator="greaterThanOrEqual">
      <formula>130</formula>
    </cfRule>
  </conditionalFormatting>
  <conditionalFormatting sqref="N2309">
    <cfRule type="cellIs" dxfId="1323" priority="1718" operator="greaterThanOrEqual">
      <formula>120</formula>
    </cfRule>
  </conditionalFormatting>
  <conditionalFormatting sqref="O2309">
    <cfRule type="cellIs" dxfId="1322" priority="1719" operator="greaterThanOrEqual">
      <formula>250</formula>
    </cfRule>
  </conditionalFormatting>
  <conditionalFormatting sqref="O2309">
    <cfRule type="cellIs" dxfId="1321" priority="1720" operator="greaterThanOrEqual">
      <formula>175</formula>
    </cfRule>
  </conditionalFormatting>
  <conditionalFormatting sqref="P2309">
    <cfRule type="cellIs" dxfId="1320" priority="1721" operator="greaterThanOrEqual">
      <formula>2.5</formula>
    </cfRule>
  </conditionalFormatting>
  <conditionalFormatting sqref="Q2309">
    <cfRule type="cellIs" dxfId="1319" priority="1722" operator="greaterThanOrEqual">
      <formula>500</formula>
    </cfRule>
  </conditionalFormatting>
  <conditionalFormatting sqref="Q2309">
    <cfRule type="cellIs" dxfId="1318" priority="1723" operator="greaterThanOrEqual">
      <formula>300</formula>
    </cfRule>
  </conditionalFormatting>
  <conditionalFormatting sqref="X2309:AK2309">
    <cfRule type="cellIs" dxfId="1317" priority="1707" operator="equal">
      <formula>"管制"</formula>
    </cfRule>
    <cfRule type="cellIs" dxfId="1316" priority="1708" operator="equal">
      <formula>"正常"</formula>
    </cfRule>
    <cfRule type="cellIs" dxfId="1315" priority="1709" operator="equal">
      <formula>"監測"</formula>
    </cfRule>
  </conditionalFormatting>
  <conditionalFormatting sqref="AJ2308:AK2308">
    <cfRule type="cellIs" dxfId="1314" priority="1696" operator="equal">
      <formula>"管制"</formula>
    </cfRule>
    <cfRule type="cellIs" dxfId="1313" priority="1697" operator="equal">
      <formula>"正常"</formula>
    </cfRule>
    <cfRule type="cellIs" dxfId="1312" priority="1698" operator="equal">
      <formula>"監測"</formula>
    </cfRule>
  </conditionalFormatting>
  <conditionalFormatting sqref="L1813 P1813">
    <cfRule type="cellIs" dxfId="1311" priority="1682" operator="greaterThanOrEqual">
      <formula>5</formula>
    </cfRule>
  </conditionalFormatting>
  <conditionalFormatting sqref="L1813">
    <cfRule type="cellIs" dxfId="1310" priority="1683" operator="greaterThanOrEqual">
      <formula>2</formula>
    </cfRule>
  </conditionalFormatting>
  <conditionalFormatting sqref="M1813">
    <cfRule type="cellIs" dxfId="1309" priority="1684" operator="greaterThanOrEqual">
      <formula>60</formula>
    </cfRule>
  </conditionalFormatting>
  <conditionalFormatting sqref="M1813">
    <cfRule type="cellIs" dxfId="1308" priority="1685" operator="greaterThanOrEqual">
      <formula>30</formula>
    </cfRule>
  </conditionalFormatting>
  <conditionalFormatting sqref="R1813">
    <cfRule type="cellIs" dxfId="1307" priority="1686" operator="greaterThanOrEqual">
      <formula>600</formula>
    </cfRule>
  </conditionalFormatting>
  <conditionalFormatting sqref="R1813">
    <cfRule type="cellIs" dxfId="1306" priority="1687" operator="greaterThanOrEqual">
      <formula>260</formula>
    </cfRule>
  </conditionalFormatting>
  <conditionalFormatting sqref="S1813 N1813">
    <cfRule type="cellIs" dxfId="1305" priority="1688" operator="greaterThanOrEqual">
      <formula>200</formula>
    </cfRule>
  </conditionalFormatting>
  <conditionalFormatting sqref="S1813">
    <cfRule type="cellIs" dxfId="1304" priority="1689" operator="greaterThanOrEqual">
      <formula>130</formula>
    </cfRule>
  </conditionalFormatting>
  <conditionalFormatting sqref="N1813">
    <cfRule type="cellIs" dxfId="1303" priority="1690" operator="greaterThanOrEqual">
      <formula>120</formula>
    </cfRule>
  </conditionalFormatting>
  <conditionalFormatting sqref="O1813">
    <cfRule type="cellIs" dxfId="1302" priority="1691" operator="greaterThanOrEqual">
      <formula>250</formula>
    </cfRule>
  </conditionalFormatting>
  <conditionalFormatting sqref="O1813">
    <cfRule type="cellIs" dxfId="1301" priority="1692" operator="greaterThanOrEqual">
      <formula>175</formula>
    </cfRule>
  </conditionalFormatting>
  <conditionalFormatting sqref="P1813">
    <cfRule type="cellIs" dxfId="1300" priority="1693" operator="greaterThanOrEqual">
      <formula>2.5</formula>
    </cfRule>
  </conditionalFormatting>
  <conditionalFormatting sqref="Q1813">
    <cfRule type="cellIs" dxfId="1299" priority="1694" operator="greaterThanOrEqual">
      <formula>500</formula>
    </cfRule>
  </conditionalFormatting>
  <conditionalFormatting sqref="Q1813">
    <cfRule type="cellIs" dxfId="1298" priority="1695" operator="greaterThanOrEqual">
      <formula>300</formula>
    </cfRule>
  </conditionalFormatting>
  <conditionalFormatting sqref="X1813:AK1813">
    <cfRule type="cellIs" dxfId="1297" priority="1679" operator="equal">
      <formula>"管制"</formula>
    </cfRule>
    <cfRule type="cellIs" dxfId="1296" priority="1680" operator="equal">
      <formula>"正常"</formula>
    </cfRule>
    <cfRule type="cellIs" dxfId="1295" priority="1681" operator="equal">
      <formula>"監測"</formula>
    </cfRule>
  </conditionalFormatting>
  <conditionalFormatting sqref="P1814:P1815 L1814:L1815">
    <cfRule type="cellIs" dxfId="1294" priority="1665" operator="greaterThanOrEqual">
      <formula>5</formula>
    </cfRule>
  </conditionalFormatting>
  <conditionalFormatting sqref="L1814:L1815">
    <cfRule type="cellIs" dxfId="1293" priority="1666" operator="greaterThanOrEqual">
      <formula>2</formula>
    </cfRule>
  </conditionalFormatting>
  <conditionalFormatting sqref="M1814:M1815">
    <cfRule type="cellIs" dxfId="1292" priority="1667" operator="greaterThanOrEqual">
      <formula>60</formula>
    </cfRule>
  </conditionalFormatting>
  <conditionalFormatting sqref="M1814:M1815">
    <cfRule type="cellIs" dxfId="1291" priority="1668" operator="greaterThanOrEqual">
      <formula>30</formula>
    </cfRule>
  </conditionalFormatting>
  <conditionalFormatting sqref="R1814:R1815">
    <cfRule type="cellIs" dxfId="1290" priority="1669" operator="greaterThanOrEqual">
      <formula>600</formula>
    </cfRule>
  </conditionalFormatting>
  <conditionalFormatting sqref="R1814:R1815">
    <cfRule type="cellIs" dxfId="1289" priority="1670" operator="greaterThanOrEqual">
      <formula>260</formula>
    </cfRule>
  </conditionalFormatting>
  <conditionalFormatting sqref="N1814:N1815 S1814:S1815">
    <cfRule type="cellIs" dxfId="1288" priority="1671" operator="greaterThanOrEqual">
      <formula>200</formula>
    </cfRule>
  </conditionalFormatting>
  <conditionalFormatting sqref="S1814:S1815">
    <cfRule type="cellIs" dxfId="1287" priority="1672" operator="greaterThanOrEqual">
      <formula>130</formula>
    </cfRule>
  </conditionalFormatting>
  <conditionalFormatting sqref="N1814:N1815">
    <cfRule type="cellIs" dxfId="1286" priority="1673" operator="greaterThanOrEqual">
      <formula>120</formula>
    </cfRule>
  </conditionalFormatting>
  <conditionalFormatting sqref="O1814:O1815">
    <cfRule type="cellIs" dxfId="1285" priority="1674" operator="greaterThanOrEqual">
      <formula>250</formula>
    </cfRule>
  </conditionalFormatting>
  <conditionalFormatting sqref="O1814:O1815">
    <cfRule type="cellIs" dxfId="1284" priority="1675" operator="greaterThanOrEqual">
      <formula>175</formula>
    </cfRule>
  </conditionalFormatting>
  <conditionalFormatting sqref="P1814:P1815">
    <cfRule type="cellIs" dxfId="1283" priority="1676" operator="greaterThanOrEqual">
      <formula>2.5</formula>
    </cfRule>
  </conditionalFormatting>
  <conditionalFormatting sqref="Q1814:Q1815">
    <cfRule type="cellIs" dxfId="1282" priority="1677" operator="greaterThanOrEqual">
      <formula>500</formula>
    </cfRule>
  </conditionalFormatting>
  <conditionalFormatting sqref="Q1814:Q1815">
    <cfRule type="cellIs" dxfId="1281" priority="1678" operator="greaterThanOrEqual">
      <formula>300</formula>
    </cfRule>
  </conditionalFormatting>
  <conditionalFormatting sqref="X1814:AK1815">
    <cfRule type="cellIs" dxfId="1280" priority="1662" operator="equal">
      <formula>"管制"</formula>
    </cfRule>
    <cfRule type="cellIs" dxfId="1279" priority="1663" operator="equal">
      <formula>"正常"</formula>
    </cfRule>
    <cfRule type="cellIs" dxfId="1278" priority="1664" operator="equal">
      <formula>"監測"</formula>
    </cfRule>
  </conditionalFormatting>
  <conditionalFormatting sqref="L2310 P2310">
    <cfRule type="cellIs" dxfId="1277" priority="1647" operator="greaterThanOrEqual">
      <formula>5</formula>
    </cfRule>
  </conditionalFormatting>
  <conditionalFormatting sqref="L2310">
    <cfRule type="cellIs" dxfId="1276" priority="1648" operator="greaterThanOrEqual">
      <formula>2</formula>
    </cfRule>
  </conditionalFormatting>
  <conditionalFormatting sqref="M2310">
    <cfRule type="cellIs" dxfId="1275" priority="1649" operator="greaterThanOrEqual">
      <formula>60</formula>
    </cfRule>
  </conditionalFormatting>
  <conditionalFormatting sqref="M2310">
    <cfRule type="cellIs" dxfId="1274" priority="1650" operator="greaterThanOrEqual">
      <formula>30</formula>
    </cfRule>
  </conditionalFormatting>
  <conditionalFormatting sqref="R2310">
    <cfRule type="cellIs" dxfId="1273" priority="1651" operator="greaterThanOrEqual">
      <formula>600</formula>
    </cfRule>
  </conditionalFormatting>
  <conditionalFormatting sqref="R2310">
    <cfRule type="cellIs" dxfId="1272" priority="1652" operator="greaterThanOrEqual">
      <formula>260</formula>
    </cfRule>
  </conditionalFormatting>
  <conditionalFormatting sqref="S2310 N2310">
    <cfRule type="cellIs" dxfId="1271" priority="1653" operator="greaterThanOrEqual">
      <formula>200</formula>
    </cfRule>
  </conditionalFormatting>
  <conditionalFormatting sqref="S2310">
    <cfRule type="cellIs" dxfId="1270" priority="1654" operator="greaterThanOrEqual">
      <formula>130</formula>
    </cfRule>
  </conditionalFormatting>
  <conditionalFormatting sqref="N2310">
    <cfRule type="cellIs" dxfId="1269" priority="1655" operator="greaterThanOrEqual">
      <formula>120</formula>
    </cfRule>
  </conditionalFormatting>
  <conditionalFormatting sqref="O2310">
    <cfRule type="cellIs" dxfId="1268" priority="1656" operator="greaterThanOrEqual">
      <formula>250</formula>
    </cfRule>
  </conditionalFormatting>
  <conditionalFormatting sqref="O2310">
    <cfRule type="cellIs" dxfId="1267" priority="1657" operator="greaterThanOrEqual">
      <formula>175</formula>
    </cfRule>
  </conditionalFormatting>
  <conditionalFormatting sqref="P2310">
    <cfRule type="cellIs" dxfId="1266" priority="1658" operator="greaterThanOrEqual">
      <formula>2.5</formula>
    </cfRule>
  </conditionalFormatting>
  <conditionalFormatting sqref="Q2310">
    <cfRule type="cellIs" dxfId="1265" priority="1659" operator="greaterThanOrEqual">
      <formula>500</formula>
    </cfRule>
  </conditionalFormatting>
  <conditionalFormatting sqref="Q2310">
    <cfRule type="cellIs" dxfId="1264" priority="1660" operator="greaterThanOrEqual">
      <formula>300</formula>
    </cfRule>
  </conditionalFormatting>
  <conditionalFormatting sqref="W2310">
    <cfRule type="cellIs" dxfId="1263" priority="1661" operator="lessThan">
      <formula>109</formula>
    </cfRule>
  </conditionalFormatting>
  <conditionalFormatting sqref="X2310:AK2310">
    <cfRule type="cellIs" dxfId="1262" priority="1643" operator="equal">
      <formula>"管制"</formula>
    </cfRule>
    <cfRule type="cellIs" dxfId="1261" priority="1644" operator="equal">
      <formula>"正常"</formula>
    </cfRule>
    <cfRule type="cellIs" dxfId="1260" priority="1645" operator="equal">
      <formula>"監測"</formula>
    </cfRule>
  </conditionalFormatting>
  <conditionalFormatting sqref="P2030:P2032 L2030:L2032">
    <cfRule type="cellIs" dxfId="1259" priority="1619" operator="greaterThanOrEqual">
      <formula>5</formula>
    </cfRule>
  </conditionalFormatting>
  <conditionalFormatting sqref="L2030:L2032">
    <cfRule type="cellIs" dxfId="1258" priority="1620" operator="greaterThanOrEqual">
      <formula>2</formula>
    </cfRule>
  </conditionalFormatting>
  <conditionalFormatting sqref="M2030:M2032">
    <cfRule type="cellIs" dxfId="1257" priority="1621" operator="greaterThanOrEqual">
      <formula>60</formula>
    </cfRule>
  </conditionalFormatting>
  <conditionalFormatting sqref="M2030:M2032">
    <cfRule type="cellIs" dxfId="1256" priority="1622" operator="greaterThanOrEqual">
      <formula>30</formula>
    </cfRule>
  </conditionalFormatting>
  <conditionalFormatting sqref="R2030:R2032">
    <cfRule type="cellIs" dxfId="1255" priority="1623" operator="greaterThanOrEqual">
      <formula>600</formula>
    </cfRule>
  </conditionalFormatting>
  <conditionalFormatting sqref="R2030:R2032">
    <cfRule type="cellIs" dxfId="1254" priority="1624" operator="greaterThanOrEqual">
      <formula>260</formula>
    </cfRule>
  </conditionalFormatting>
  <conditionalFormatting sqref="N2030:N2032 S2030:S2032">
    <cfRule type="cellIs" dxfId="1253" priority="1625" operator="greaterThanOrEqual">
      <formula>200</formula>
    </cfRule>
  </conditionalFormatting>
  <conditionalFormatting sqref="S2030:S2032">
    <cfRule type="cellIs" dxfId="1252" priority="1626" operator="greaterThanOrEqual">
      <formula>130</formula>
    </cfRule>
  </conditionalFormatting>
  <conditionalFormatting sqref="N2030:N2032">
    <cfRule type="cellIs" dxfId="1251" priority="1627" operator="greaterThanOrEqual">
      <formula>120</formula>
    </cfRule>
  </conditionalFormatting>
  <conditionalFormatting sqref="O2030:O2032">
    <cfRule type="cellIs" dxfId="1250" priority="1628" operator="greaterThanOrEqual">
      <formula>250</formula>
    </cfRule>
  </conditionalFormatting>
  <conditionalFormatting sqref="O2030:O2032">
    <cfRule type="cellIs" dxfId="1249" priority="1629" operator="greaterThanOrEqual">
      <formula>175</formula>
    </cfRule>
  </conditionalFormatting>
  <conditionalFormatting sqref="P2030:P2032">
    <cfRule type="cellIs" dxfId="1248" priority="1630" operator="greaterThanOrEqual">
      <formula>2.5</formula>
    </cfRule>
  </conditionalFormatting>
  <conditionalFormatting sqref="Q2030:Q2032">
    <cfRule type="cellIs" dxfId="1247" priority="1631" operator="greaterThanOrEqual">
      <formula>500</formula>
    </cfRule>
  </conditionalFormatting>
  <conditionalFormatting sqref="Q2030:Q2032">
    <cfRule type="cellIs" dxfId="1246" priority="1632" operator="greaterThanOrEqual">
      <formula>300</formula>
    </cfRule>
  </conditionalFormatting>
  <conditionalFormatting sqref="W2030:W2032">
    <cfRule type="cellIs" dxfId="1245" priority="1633" operator="lessThan">
      <formula>109</formula>
    </cfRule>
  </conditionalFormatting>
  <conditionalFormatting sqref="X2030:AK2032">
    <cfRule type="cellIs" dxfId="1244" priority="1615" operator="equal">
      <formula>"管制"</formula>
    </cfRule>
    <cfRule type="cellIs" dxfId="1243" priority="1616" operator="equal">
      <formula>"正常"</formula>
    </cfRule>
    <cfRule type="cellIs" dxfId="1242" priority="1617" operator="equal">
      <formula>"監測"</formula>
    </cfRule>
  </conditionalFormatting>
  <conditionalFormatting sqref="L2149:L2150 P2149:P2150">
    <cfRule type="cellIs" dxfId="1241" priority="1586" operator="greaterThanOrEqual">
      <formula>5</formula>
    </cfRule>
  </conditionalFormatting>
  <conditionalFormatting sqref="L2149:L2150">
    <cfRule type="cellIs" dxfId="1240" priority="1587" operator="greaterThanOrEqual">
      <formula>2</formula>
    </cfRule>
  </conditionalFormatting>
  <conditionalFormatting sqref="M2149:M2150">
    <cfRule type="cellIs" dxfId="1239" priority="1588" operator="greaterThanOrEqual">
      <formula>60</formula>
    </cfRule>
  </conditionalFormatting>
  <conditionalFormatting sqref="M2149:M2150">
    <cfRule type="cellIs" dxfId="1238" priority="1589" operator="greaterThanOrEqual">
      <formula>30</formula>
    </cfRule>
  </conditionalFormatting>
  <conditionalFormatting sqref="R2149:R2150">
    <cfRule type="cellIs" dxfId="1237" priority="1590" operator="greaterThanOrEqual">
      <formula>600</formula>
    </cfRule>
  </conditionalFormatting>
  <conditionalFormatting sqref="R2149:R2150">
    <cfRule type="cellIs" dxfId="1236" priority="1591" operator="greaterThanOrEqual">
      <formula>260</formula>
    </cfRule>
  </conditionalFormatting>
  <conditionalFormatting sqref="S2149:S2150 N2149:N2150">
    <cfRule type="cellIs" dxfId="1235" priority="1592" operator="greaterThanOrEqual">
      <formula>200</formula>
    </cfRule>
  </conditionalFormatting>
  <conditionalFormatting sqref="S2149:S2150">
    <cfRule type="cellIs" dxfId="1234" priority="1593" operator="greaterThanOrEqual">
      <formula>130</formula>
    </cfRule>
  </conditionalFormatting>
  <conditionalFormatting sqref="N2149:N2150">
    <cfRule type="cellIs" dxfId="1233" priority="1594" operator="greaterThanOrEqual">
      <formula>120</formula>
    </cfRule>
  </conditionalFormatting>
  <conditionalFormatting sqref="O2149:O2150">
    <cfRule type="cellIs" dxfId="1232" priority="1595" operator="greaterThanOrEqual">
      <formula>250</formula>
    </cfRule>
  </conditionalFormatting>
  <conditionalFormatting sqref="O2149:O2150">
    <cfRule type="cellIs" dxfId="1231" priority="1596" operator="greaterThanOrEqual">
      <formula>175</formula>
    </cfRule>
  </conditionalFormatting>
  <conditionalFormatting sqref="P2149:P2150">
    <cfRule type="cellIs" dxfId="1230" priority="1597" operator="greaterThanOrEqual">
      <formula>2.5</formula>
    </cfRule>
  </conditionalFormatting>
  <conditionalFormatting sqref="Q2149:Q2150">
    <cfRule type="cellIs" dxfId="1229" priority="1598" operator="greaterThanOrEqual">
      <formula>500</formula>
    </cfRule>
  </conditionalFormatting>
  <conditionalFormatting sqref="Q2149:Q2150">
    <cfRule type="cellIs" dxfId="1228" priority="1599" operator="greaterThanOrEqual">
      <formula>300</formula>
    </cfRule>
  </conditionalFormatting>
  <conditionalFormatting sqref="W2149:W2150 W1816:W1819 W2312">
    <cfRule type="cellIs" dxfId="1227" priority="1600" operator="lessThan">
      <formula>109</formula>
    </cfRule>
  </conditionalFormatting>
  <conditionalFormatting sqref="X2149:AK2150">
    <cfRule type="cellIs" dxfId="1226" priority="1583" operator="equal">
      <formula>"管制"</formula>
    </cfRule>
    <cfRule type="cellIs" dxfId="1225" priority="1584" operator="equal">
      <formula>"正常"</formula>
    </cfRule>
    <cfRule type="cellIs" dxfId="1224" priority="1585" operator="equal">
      <formula>"監測"</formula>
    </cfRule>
  </conditionalFormatting>
  <conditionalFormatting sqref="P1816 L1816">
    <cfRule type="cellIs" dxfId="1223" priority="1564" operator="greaterThanOrEqual">
      <formula>5</formula>
    </cfRule>
  </conditionalFormatting>
  <conditionalFormatting sqref="L1816">
    <cfRule type="cellIs" dxfId="1222" priority="1565" operator="greaterThanOrEqual">
      <formula>2</formula>
    </cfRule>
  </conditionalFormatting>
  <conditionalFormatting sqref="M1816">
    <cfRule type="cellIs" dxfId="1221" priority="1566" operator="greaterThanOrEqual">
      <formula>60</formula>
    </cfRule>
  </conditionalFormatting>
  <conditionalFormatting sqref="M1816">
    <cfRule type="cellIs" dxfId="1220" priority="1567" operator="greaterThanOrEqual">
      <formula>30</formula>
    </cfRule>
  </conditionalFormatting>
  <conditionalFormatting sqref="R1816">
    <cfRule type="cellIs" dxfId="1219" priority="1568" operator="greaterThanOrEqual">
      <formula>600</formula>
    </cfRule>
  </conditionalFormatting>
  <conditionalFormatting sqref="R1816">
    <cfRule type="cellIs" dxfId="1218" priority="1569" operator="greaterThanOrEqual">
      <formula>260</formula>
    </cfRule>
  </conditionalFormatting>
  <conditionalFormatting sqref="N1816 S1816">
    <cfRule type="cellIs" dxfId="1217" priority="1570" operator="greaterThanOrEqual">
      <formula>200</formula>
    </cfRule>
  </conditionalFormatting>
  <conditionalFormatting sqref="S1816">
    <cfRule type="cellIs" dxfId="1216" priority="1571" operator="greaterThanOrEqual">
      <formula>130</formula>
    </cfRule>
  </conditionalFormatting>
  <conditionalFormatting sqref="N1816">
    <cfRule type="cellIs" dxfId="1215" priority="1572" operator="greaterThanOrEqual">
      <formula>120</formula>
    </cfRule>
  </conditionalFormatting>
  <conditionalFormatting sqref="O1816">
    <cfRule type="cellIs" dxfId="1214" priority="1573" operator="greaterThanOrEqual">
      <formula>250</formula>
    </cfRule>
  </conditionalFormatting>
  <conditionalFormatting sqref="O1816">
    <cfRule type="cellIs" dxfId="1213" priority="1574" operator="greaterThanOrEqual">
      <formula>175</formula>
    </cfRule>
  </conditionalFormatting>
  <conditionalFormatting sqref="P1816">
    <cfRule type="cellIs" dxfId="1212" priority="1575" operator="greaterThanOrEqual">
      <formula>2.5</formula>
    </cfRule>
  </conditionalFormatting>
  <conditionalFormatting sqref="Q1816">
    <cfRule type="cellIs" dxfId="1211" priority="1576" operator="greaterThanOrEqual">
      <formula>500</formula>
    </cfRule>
  </conditionalFormatting>
  <conditionalFormatting sqref="Q1816">
    <cfRule type="cellIs" dxfId="1210" priority="1577" operator="greaterThanOrEqual">
      <formula>300</formula>
    </cfRule>
  </conditionalFormatting>
  <conditionalFormatting sqref="X1816:AK1816">
    <cfRule type="cellIs" dxfId="1209" priority="1561" operator="equal">
      <formula>"管制"</formula>
    </cfRule>
    <cfRule type="cellIs" dxfId="1208" priority="1562" operator="equal">
      <formula>"正常"</formula>
    </cfRule>
    <cfRule type="cellIs" dxfId="1207" priority="1563" operator="equal">
      <formula>"監測"</formula>
    </cfRule>
  </conditionalFormatting>
  <conditionalFormatting sqref="W2311">
    <cfRule type="cellIs" dxfId="1206" priority="6346" operator="lessThan">
      <formula>109</formula>
    </cfRule>
  </conditionalFormatting>
  <conditionalFormatting sqref="L2311 P2311">
    <cfRule type="cellIs" dxfId="1205" priority="1537" operator="greaterThanOrEqual">
      <formula>5</formula>
    </cfRule>
  </conditionalFormatting>
  <conditionalFormatting sqref="L2311">
    <cfRule type="cellIs" dxfId="1204" priority="1538" operator="greaterThanOrEqual">
      <formula>2</formula>
    </cfRule>
  </conditionalFormatting>
  <conditionalFormatting sqref="M2311">
    <cfRule type="cellIs" dxfId="1203" priority="1539" operator="greaterThanOrEqual">
      <formula>60</formula>
    </cfRule>
  </conditionalFormatting>
  <conditionalFormatting sqref="M2311">
    <cfRule type="cellIs" dxfId="1202" priority="1540" operator="greaterThanOrEqual">
      <formula>30</formula>
    </cfRule>
  </conditionalFormatting>
  <conditionalFormatting sqref="R2311">
    <cfRule type="cellIs" dxfId="1201" priority="1541" operator="greaterThanOrEqual">
      <formula>600</formula>
    </cfRule>
  </conditionalFormatting>
  <conditionalFormatting sqref="R2311">
    <cfRule type="cellIs" dxfId="1200" priority="1542" operator="greaterThanOrEqual">
      <formula>260</formula>
    </cfRule>
  </conditionalFormatting>
  <conditionalFormatting sqref="S2311 N2311">
    <cfRule type="cellIs" dxfId="1199" priority="1543" operator="greaterThanOrEqual">
      <formula>200</formula>
    </cfRule>
  </conditionalFormatting>
  <conditionalFormatting sqref="S2311">
    <cfRule type="cellIs" dxfId="1198" priority="1544" operator="greaterThanOrEqual">
      <formula>130</formula>
    </cfRule>
  </conditionalFormatting>
  <conditionalFormatting sqref="N2311">
    <cfRule type="cellIs" dxfId="1197" priority="1545" operator="greaterThanOrEqual">
      <formula>120</formula>
    </cfRule>
  </conditionalFormatting>
  <conditionalFormatting sqref="O2311">
    <cfRule type="cellIs" dxfId="1196" priority="1546" operator="greaterThanOrEqual">
      <formula>250</formula>
    </cfRule>
  </conditionalFormatting>
  <conditionalFormatting sqref="O2311">
    <cfRule type="cellIs" dxfId="1195" priority="1547" operator="greaterThanOrEqual">
      <formula>175</formula>
    </cfRule>
  </conditionalFormatting>
  <conditionalFormatting sqref="P2311">
    <cfRule type="cellIs" dxfId="1194" priority="1548" operator="greaterThanOrEqual">
      <formula>2.5</formula>
    </cfRule>
  </conditionalFormatting>
  <conditionalFormatting sqref="Q2311">
    <cfRule type="cellIs" dxfId="1193" priority="1549" operator="greaterThanOrEqual">
      <formula>500</formula>
    </cfRule>
  </conditionalFormatting>
  <conditionalFormatting sqref="Q2311">
    <cfRule type="cellIs" dxfId="1192" priority="1550" operator="greaterThanOrEqual">
      <formula>300</formula>
    </cfRule>
  </conditionalFormatting>
  <conditionalFormatting sqref="X2311:AK2311">
    <cfRule type="cellIs" dxfId="1191" priority="1534" operator="equal">
      <formula>"管制"</formula>
    </cfRule>
    <cfRule type="cellIs" dxfId="1190" priority="1535" operator="equal">
      <formula>"正常"</formula>
    </cfRule>
    <cfRule type="cellIs" dxfId="1189" priority="1536" operator="equal">
      <formula>"監測"</formula>
    </cfRule>
  </conditionalFormatting>
  <conditionalFormatting sqref="P2449 L2449">
    <cfRule type="cellIs" dxfId="1188" priority="1512" operator="greaterThanOrEqual">
      <formula>5</formula>
    </cfRule>
  </conditionalFormatting>
  <conditionalFormatting sqref="L2449">
    <cfRule type="cellIs" dxfId="1187" priority="1513" operator="greaterThanOrEqual">
      <formula>2</formula>
    </cfRule>
  </conditionalFormatting>
  <conditionalFormatting sqref="M2449">
    <cfRule type="cellIs" dxfId="1186" priority="1514" operator="greaterThanOrEqual">
      <formula>60</formula>
    </cfRule>
  </conditionalFormatting>
  <conditionalFormatting sqref="M2449">
    <cfRule type="cellIs" dxfId="1185" priority="1515" operator="greaterThanOrEqual">
      <formula>30</formula>
    </cfRule>
  </conditionalFormatting>
  <conditionalFormatting sqref="R2449">
    <cfRule type="cellIs" dxfId="1184" priority="1516" operator="greaterThanOrEqual">
      <formula>600</formula>
    </cfRule>
  </conditionalFormatting>
  <conditionalFormatting sqref="R2449">
    <cfRule type="cellIs" dxfId="1183" priority="1517" operator="greaterThanOrEqual">
      <formula>260</formula>
    </cfRule>
  </conditionalFormatting>
  <conditionalFormatting sqref="S2449">
    <cfRule type="containsText" dxfId="1182" priority="1518" operator="containsText" text="&lt;">
      <formula>NOT(ISERROR(SEARCH(("&lt;"),(S2449))))</formula>
    </cfRule>
  </conditionalFormatting>
  <conditionalFormatting sqref="S2449">
    <cfRule type="containsText" dxfId="1181" priority="1519" operator="containsText" text="ND">
      <formula>NOT(ISERROR(SEARCH(("ND"),(S2449))))</formula>
    </cfRule>
  </conditionalFormatting>
  <conditionalFormatting sqref="N2449 S2449">
    <cfRule type="cellIs" dxfId="1180" priority="1520" operator="greaterThanOrEqual">
      <formula>200</formula>
    </cfRule>
  </conditionalFormatting>
  <conditionalFormatting sqref="S2449">
    <cfRule type="cellIs" dxfId="1179" priority="1521" operator="greaterThanOrEqual">
      <formula>130</formula>
    </cfRule>
  </conditionalFormatting>
  <conditionalFormatting sqref="N2449">
    <cfRule type="cellIs" dxfId="1178" priority="1522" operator="greaterThanOrEqual">
      <formula>120</formula>
    </cfRule>
  </conditionalFormatting>
  <conditionalFormatting sqref="O2449:Q2449">
    <cfRule type="containsText" dxfId="1177" priority="1523" operator="containsText" text="ND">
      <formula>NOT(ISERROR(SEARCH(("ND"),(O2449))))</formula>
    </cfRule>
  </conditionalFormatting>
  <conditionalFormatting sqref="O2449">
    <cfRule type="cellIs" dxfId="1176" priority="1524" operator="greaterThanOrEqual">
      <formula>250</formula>
    </cfRule>
  </conditionalFormatting>
  <conditionalFormatting sqref="O2449">
    <cfRule type="cellIs" dxfId="1175" priority="1525" operator="greaterThanOrEqual">
      <formula>175</formula>
    </cfRule>
  </conditionalFormatting>
  <conditionalFormatting sqref="P2449">
    <cfRule type="cellIs" dxfId="1174" priority="1526" operator="greaterThanOrEqual">
      <formula>2.5</formula>
    </cfRule>
  </conditionalFormatting>
  <conditionalFormatting sqref="Q2449">
    <cfRule type="cellIs" dxfId="1173" priority="1527" operator="greaterThanOrEqual">
      <formula>500</formula>
    </cfRule>
  </conditionalFormatting>
  <conditionalFormatting sqref="Q2449">
    <cfRule type="cellIs" dxfId="1172" priority="1528" operator="greaterThanOrEqual">
      <formula>300</formula>
    </cfRule>
  </conditionalFormatting>
  <conditionalFormatting sqref="W2449">
    <cfRule type="containsBlanks" dxfId="1171" priority="1511">
      <formula>LEN(TRIM(W2449))=0</formula>
    </cfRule>
    <cfRule type="cellIs" dxfId="1170" priority="1529" operator="lessThan">
      <formula>109</formula>
    </cfRule>
  </conditionalFormatting>
  <conditionalFormatting sqref="X2449:AI2449">
    <cfRule type="cellIs" dxfId="1169" priority="1508" operator="equal">
      <formula>"管制"</formula>
    </cfRule>
    <cfRule type="cellIs" dxfId="1168" priority="1509" operator="equal">
      <formula>"正常"</formula>
    </cfRule>
    <cfRule type="cellIs" dxfId="1167" priority="1510" operator="equal">
      <formula>"監測"</formula>
    </cfRule>
  </conditionalFormatting>
  <conditionalFormatting sqref="AJ2449:AK2449">
    <cfRule type="cellIs" dxfId="1166" priority="1503" operator="equal">
      <formula>"建物"</formula>
    </cfRule>
    <cfRule type="cellIs" dxfId="1165" priority="1504" operator="equal">
      <formula>"難以採樣"</formula>
    </cfRule>
    <cfRule type="cellIs" dxfId="1164" priority="1505" operator="equal">
      <formula>"管制"</formula>
    </cfRule>
    <cfRule type="cellIs" dxfId="1163" priority="1506" operator="equal">
      <formula>"正常"</formula>
    </cfRule>
    <cfRule type="cellIs" dxfId="1162" priority="1507" operator="equal">
      <formula>"監測"</formula>
    </cfRule>
  </conditionalFormatting>
  <conditionalFormatting sqref="L1817 P1817">
    <cfRule type="cellIs" dxfId="1161" priority="1492" operator="greaterThanOrEqual">
      <formula>5</formula>
    </cfRule>
  </conditionalFormatting>
  <conditionalFormatting sqref="L1817">
    <cfRule type="cellIs" dxfId="1160" priority="1493" operator="greaterThanOrEqual">
      <formula>2</formula>
    </cfRule>
  </conditionalFormatting>
  <conditionalFormatting sqref="M1817">
    <cfRule type="cellIs" dxfId="1159" priority="1494" operator="greaterThanOrEqual">
      <formula>60</formula>
    </cfRule>
  </conditionalFormatting>
  <conditionalFormatting sqref="M1817">
    <cfRule type="cellIs" dxfId="1158" priority="1495" operator="greaterThanOrEqual">
      <formula>30</formula>
    </cfRule>
  </conditionalFormatting>
  <conditionalFormatting sqref="N1817">
    <cfRule type="cellIs" dxfId="1157" priority="1496" operator="greaterThanOrEqual">
      <formula>200</formula>
    </cfRule>
  </conditionalFormatting>
  <conditionalFormatting sqref="N1817">
    <cfRule type="cellIs" dxfId="1156" priority="1497" operator="greaterThanOrEqual">
      <formula>120</formula>
    </cfRule>
  </conditionalFormatting>
  <conditionalFormatting sqref="O1817">
    <cfRule type="cellIs" dxfId="1155" priority="1498" operator="greaterThanOrEqual">
      <formula>250</formula>
    </cfRule>
  </conditionalFormatting>
  <conditionalFormatting sqref="O1817">
    <cfRule type="cellIs" dxfId="1154" priority="1499" operator="greaterThanOrEqual">
      <formula>175</formula>
    </cfRule>
  </conditionalFormatting>
  <conditionalFormatting sqref="P1817">
    <cfRule type="cellIs" dxfId="1153" priority="1500" operator="greaterThanOrEqual">
      <formula>2.5</formula>
    </cfRule>
  </conditionalFormatting>
  <conditionalFormatting sqref="Q1817">
    <cfRule type="cellIs" dxfId="1152" priority="1501" operator="greaterThanOrEqual">
      <formula>500</formula>
    </cfRule>
  </conditionalFormatting>
  <conditionalFormatting sqref="Q1817">
    <cfRule type="cellIs" dxfId="1151" priority="1502" operator="greaterThanOrEqual">
      <formula>300</formula>
    </cfRule>
  </conditionalFormatting>
  <conditionalFormatting sqref="X1817:AI1817">
    <cfRule type="cellIs" dxfId="1150" priority="1489" operator="equal">
      <formula>"管制"</formula>
    </cfRule>
    <cfRule type="cellIs" dxfId="1149" priority="1490" operator="equal">
      <formula>"正常"</formula>
    </cfRule>
    <cfRule type="cellIs" dxfId="1148" priority="1491" operator="equal">
      <formula>"監測"</formula>
    </cfRule>
  </conditionalFormatting>
  <conditionalFormatting sqref="R1817">
    <cfRule type="cellIs" dxfId="1147" priority="1485" operator="greaterThanOrEqual">
      <formula>600</formula>
    </cfRule>
  </conditionalFormatting>
  <conditionalFormatting sqref="R1817">
    <cfRule type="cellIs" dxfId="1146" priority="1486" operator="greaterThanOrEqual">
      <formula>260</formula>
    </cfRule>
  </conditionalFormatting>
  <conditionalFormatting sqref="S1817">
    <cfRule type="cellIs" dxfId="1145" priority="1487" operator="greaterThanOrEqual">
      <formula>200</formula>
    </cfRule>
  </conditionalFormatting>
  <conditionalFormatting sqref="S1817">
    <cfRule type="cellIs" dxfId="1144" priority="1488" operator="greaterThanOrEqual">
      <formula>130</formula>
    </cfRule>
  </conditionalFormatting>
  <conditionalFormatting sqref="L2450 P2450">
    <cfRule type="cellIs" dxfId="1143" priority="1467" operator="greaterThanOrEqual">
      <formula>5</formula>
    </cfRule>
  </conditionalFormatting>
  <conditionalFormatting sqref="L2450">
    <cfRule type="cellIs" dxfId="1142" priority="1468" operator="greaterThanOrEqual">
      <formula>2</formula>
    </cfRule>
  </conditionalFormatting>
  <conditionalFormatting sqref="M2450">
    <cfRule type="cellIs" dxfId="1141" priority="1469" operator="greaterThanOrEqual">
      <formula>60</formula>
    </cfRule>
  </conditionalFormatting>
  <conditionalFormatting sqref="M2450">
    <cfRule type="cellIs" dxfId="1140" priority="1470" operator="greaterThanOrEqual">
      <formula>30</formula>
    </cfRule>
  </conditionalFormatting>
  <conditionalFormatting sqref="R2450">
    <cfRule type="cellIs" dxfId="1139" priority="1471" operator="greaterThanOrEqual">
      <formula>600</formula>
    </cfRule>
  </conditionalFormatting>
  <conditionalFormatting sqref="R2450">
    <cfRule type="cellIs" dxfId="1138" priority="1472" operator="greaterThanOrEqual">
      <formula>260</formula>
    </cfRule>
  </conditionalFormatting>
  <conditionalFormatting sqref="S2450">
    <cfRule type="containsText" dxfId="1137" priority="1473" operator="containsText" text="&lt;">
      <formula>NOT(ISERROR(SEARCH(("&lt;"),(S2450))))</formula>
    </cfRule>
  </conditionalFormatting>
  <conditionalFormatting sqref="S2450">
    <cfRule type="containsText" dxfId="1136" priority="1474" operator="containsText" text="ND">
      <formula>NOT(ISERROR(SEARCH(("ND"),(S2450))))</formula>
    </cfRule>
  </conditionalFormatting>
  <conditionalFormatting sqref="S2450 N2450">
    <cfRule type="cellIs" dxfId="1135" priority="1475" operator="greaterThanOrEqual">
      <formula>200</formula>
    </cfRule>
  </conditionalFormatting>
  <conditionalFormatting sqref="S2450">
    <cfRule type="cellIs" dxfId="1134" priority="1476" operator="greaterThanOrEqual">
      <formula>130</formula>
    </cfRule>
  </conditionalFormatting>
  <conditionalFormatting sqref="N2450">
    <cfRule type="cellIs" dxfId="1133" priority="1477" operator="greaterThanOrEqual">
      <formula>120</formula>
    </cfRule>
  </conditionalFormatting>
  <conditionalFormatting sqref="O2450:Q2450">
    <cfRule type="containsText" dxfId="1132" priority="1478" operator="containsText" text="ND">
      <formula>NOT(ISERROR(SEARCH(("ND"),(O2450))))</formula>
    </cfRule>
  </conditionalFormatting>
  <conditionalFormatting sqref="O2450">
    <cfRule type="cellIs" dxfId="1131" priority="1479" operator="greaterThanOrEqual">
      <formula>250</formula>
    </cfRule>
  </conditionalFormatting>
  <conditionalFormatting sqref="O2450">
    <cfRule type="cellIs" dxfId="1130" priority="1480" operator="greaterThanOrEqual">
      <formula>175</formula>
    </cfRule>
  </conditionalFormatting>
  <conditionalFormatting sqref="P2450">
    <cfRule type="cellIs" dxfId="1129" priority="1481" operator="greaterThanOrEqual">
      <formula>2.5</formula>
    </cfRule>
  </conditionalFormatting>
  <conditionalFormatting sqref="Q2450">
    <cfRule type="cellIs" dxfId="1128" priority="1482" operator="greaterThanOrEqual">
      <formula>500</formula>
    </cfRule>
  </conditionalFormatting>
  <conditionalFormatting sqref="Q2450">
    <cfRule type="cellIs" dxfId="1127" priority="1483" operator="greaterThanOrEqual">
      <formula>300</formula>
    </cfRule>
  </conditionalFormatting>
  <conditionalFormatting sqref="W2450">
    <cfRule type="containsBlanks" dxfId="1126" priority="1466">
      <formula>LEN(TRIM(W2450))=0</formula>
    </cfRule>
    <cfRule type="cellIs" dxfId="1125" priority="1484" operator="lessThan">
      <formula>109</formula>
    </cfRule>
  </conditionalFormatting>
  <conditionalFormatting sqref="X2450:AI2450">
    <cfRule type="cellIs" dxfId="1124" priority="1463" operator="equal">
      <formula>"管制"</formula>
    </cfRule>
    <cfRule type="cellIs" dxfId="1123" priority="1464" operator="equal">
      <formula>"正常"</formula>
    </cfRule>
    <cfRule type="cellIs" dxfId="1122" priority="1465" operator="equal">
      <formula>"監測"</formula>
    </cfRule>
  </conditionalFormatting>
  <conditionalFormatting sqref="AJ2450:AK2450">
    <cfRule type="cellIs" dxfId="1121" priority="1458" operator="equal">
      <formula>"建物"</formula>
    </cfRule>
    <cfRule type="cellIs" dxfId="1120" priority="1459" operator="equal">
      <formula>"難以採樣"</formula>
    </cfRule>
    <cfRule type="cellIs" dxfId="1119" priority="1460" operator="equal">
      <formula>"管制"</formula>
    </cfRule>
    <cfRule type="cellIs" dxfId="1118" priority="1461" operator="equal">
      <formula>"正常"</formula>
    </cfRule>
    <cfRule type="cellIs" dxfId="1117" priority="1462" operator="equal">
      <formula>"監測"</formula>
    </cfRule>
  </conditionalFormatting>
  <conditionalFormatting sqref="X1818:AK1819">
    <cfRule type="cellIs" dxfId="1116" priority="1455" operator="equal">
      <formula>"管制"</formula>
    </cfRule>
    <cfRule type="cellIs" dxfId="1115" priority="1456" operator="equal">
      <formula>"正常"</formula>
    </cfRule>
    <cfRule type="cellIs" dxfId="1114" priority="1457" operator="equal">
      <formula>"監測"</formula>
    </cfRule>
  </conditionalFormatting>
  <conditionalFormatting sqref="AJ1817:AK1817">
    <cfRule type="cellIs" dxfId="1113" priority="1452" operator="equal">
      <formula>"管制"</formula>
    </cfRule>
    <cfRule type="cellIs" dxfId="1112" priority="1453" operator="equal">
      <formula>"正常"</formula>
    </cfRule>
    <cfRule type="cellIs" dxfId="1111" priority="1454" operator="equal">
      <formula>"監測"</formula>
    </cfRule>
  </conditionalFormatting>
  <conditionalFormatting sqref="P2312 L2312">
    <cfRule type="cellIs" dxfId="1110" priority="1438" operator="greaterThanOrEqual">
      <formula>5</formula>
    </cfRule>
  </conditionalFormatting>
  <conditionalFormatting sqref="L2312">
    <cfRule type="cellIs" dxfId="1109" priority="1439" operator="greaterThanOrEqual">
      <formula>2</formula>
    </cfRule>
  </conditionalFormatting>
  <conditionalFormatting sqref="M2312">
    <cfRule type="cellIs" dxfId="1108" priority="1440" operator="greaterThanOrEqual">
      <formula>60</formula>
    </cfRule>
  </conditionalFormatting>
  <conditionalFormatting sqref="M2312">
    <cfRule type="cellIs" dxfId="1107" priority="1441" operator="greaterThanOrEqual">
      <formula>30</formula>
    </cfRule>
  </conditionalFormatting>
  <conditionalFormatting sqref="R2312">
    <cfRule type="cellIs" dxfId="1106" priority="1442" operator="greaterThanOrEqual">
      <formula>600</formula>
    </cfRule>
  </conditionalFormatting>
  <conditionalFormatting sqref="R2312">
    <cfRule type="cellIs" dxfId="1105" priority="1443" operator="greaterThanOrEqual">
      <formula>260</formula>
    </cfRule>
  </conditionalFormatting>
  <conditionalFormatting sqref="S2312 N2312">
    <cfRule type="cellIs" dxfId="1104" priority="1444" operator="greaterThanOrEqual">
      <formula>200</formula>
    </cfRule>
  </conditionalFormatting>
  <conditionalFormatting sqref="S2312">
    <cfRule type="cellIs" dxfId="1103" priority="1445" operator="greaterThanOrEqual">
      <formula>130</formula>
    </cfRule>
  </conditionalFormatting>
  <conditionalFormatting sqref="N2312">
    <cfRule type="cellIs" dxfId="1102" priority="1446" operator="greaterThanOrEqual">
      <formula>120</formula>
    </cfRule>
  </conditionalFormatting>
  <conditionalFormatting sqref="O2312">
    <cfRule type="cellIs" dxfId="1101" priority="1447" operator="greaterThanOrEqual">
      <formula>250</formula>
    </cfRule>
  </conditionalFormatting>
  <conditionalFormatting sqref="O2312">
    <cfRule type="cellIs" dxfId="1100" priority="1448" operator="greaterThanOrEqual">
      <formula>175</formula>
    </cfRule>
  </conditionalFormatting>
  <conditionalFormatting sqref="P2312">
    <cfRule type="cellIs" dxfId="1099" priority="1449" operator="greaterThanOrEqual">
      <formula>2.5</formula>
    </cfRule>
  </conditionalFormatting>
  <conditionalFormatting sqref="Q2312">
    <cfRule type="cellIs" dxfId="1098" priority="1450" operator="greaterThanOrEqual">
      <formula>500</formula>
    </cfRule>
  </conditionalFormatting>
  <conditionalFormatting sqref="Q2312">
    <cfRule type="cellIs" dxfId="1097" priority="1451" operator="greaterThanOrEqual">
      <formula>300</formula>
    </cfRule>
  </conditionalFormatting>
  <conditionalFormatting sqref="X2312:AK2312">
    <cfRule type="cellIs" dxfId="1096" priority="1435" operator="equal">
      <formula>"管制"</formula>
    </cfRule>
    <cfRule type="cellIs" dxfId="1095" priority="1436" operator="equal">
      <formula>"正常"</formula>
    </cfRule>
    <cfRule type="cellIs" dxfId="1094" priority="1437" operator="equal">
      <formula>"監測"</formula>
    </cfRule>
  </conditionalFormatting>
  <conditionalFormatting sqref="L1820 P1820">
    <cfRule type="cellIs" dxfId="1093" priority="1413" operator="greaterThanOrEqual">
      <formula>5</formula>
    </cfRule>
  </conditionalFormatting>
  <conditionalFormatting sqref="L1820">
    <cfRule type="cellIs" dxfId="1092" priority="1414" operator="greaterThanOrEqual">
      <formula>2</formula>
    </cfRule>
  </conditionalFormatting>
  <conditionalFormatting sqref="M1820">
    <cfRule type="cellIs" dxfId="1091" priority="1415" operator="greaterThanOrEqual">
      <formula>60</formula>
    </cfRule>
  </conditionalFormatting>
  <conditionalFormatting sqref="M1820">
    <cfRule type="cellIs" dxfId="1090" priority="1416" operator="greaterThanOrEqual">
      <formula>30</formula>
    </cfRule>
  </conditionalFormatting>
  <conditionalFormatting sqref="R1820">
    <cfRule type="cellIs" dxfId="1089" priority="1417" operator="greaterThanOrEqual">
      <formula>600</formula>
    </cfRule>
  </conditionalFormatting>
  <conditionalFormatting sqref="R1820">
    <cfRule type="cellIs" dxfId="1088" priority="1418" operator="greaterThanOrEqual">
      <formula>260</formula>
    </cfRule>
  </conditionalFormatting>
  <conditionalFormatting sqref="S1820">
    <cfRule type="containsText" dxfId="1087" priority="1419" operator="containsText" text="&lt;">
      <formula>NOT(ISERROR(SEARCH(("&lt;"),(S1820))))</formula>
    </cfRule>
  </conditionalFormatting>
  <conditionalFormatting sqref="S1820">
    <cfRule type="containsText" dxfId="1086" priority="1420" operator="containsText" text="ND">
      <formula>NOT(ISERROR(SEARCH(("ND"),(S1820))))</formula>
    </cfRule>
  </conditionalFormatting>
  <conditionalFormatting sqref="S1820 N1820">
    <cfRule type="cellIs" dxfId="1085" priority="1421" operator="greaterThanOrEqual">
      <formula>200</formula>
    </cfRule>
  </conditionalFormatting>
  <conditionalFormatting sqref="S1820">
    <cfRule type="cellIs" dxfId="1084" priority="1422" operator="greaterThanOrEqual">
      <formula>130</formula>
    </cfRule>
  </conditionalFormatting>
  <conditionalFormatting sqref="N1820">
    <cfRule type="cellIs" dxfId="1083" priority="1423" operator="greaterThanOrEqual">
      <formula>120</formula>
    </cfRule>
  </conditionalFormatting>
  <conditionalFormatting sqref="O1820:Q1820">
    <cfRule type="containsText" dxfId="1082" priority="1424" operator="containsText" text="ND">
      <formula>NOT(ISERROR(SEARCH(("ND"),(O1820))))</formula>
    </cfRule>
  </conditionalFormatting>
  <conditionalFormatting sqref="O1820">
    <cfRule type="cellIs" dxfId="1081" priority="1425" operator="greaterThanOrEqual">
      <formula>250</formula>
    </cfRule>
  </conditionalFormatting>
  <conditionalFormatting sqref="O1820">
    <cfRule type="cellIs" dxfId="1080" priority="1426" operator="greaterThanOrEqual">
      <formula>175</formula>
    </cfRule>
  </conditionalFormatting>
  <conditionalFormatting sqref="P1820">
    <cfRule type="cellIs" dxfId="1079" priority="1427" operator="greaterThanOrEqual">
      <formula>2.5</formula>
    </cfRule>
  </conditionalFormatting>
  <conditionalFormatting sqref="Q1820">
    <cfRule type="cellIs" dxfId="1078" priority="1428" operator="greaterThanOrEqual">
      <formula>500</formula>
    </cfRule>
  </conditionalFormatting>
  <conditionalFormatting sqref="Q1820">
    <cfRule type="cellIs" dxfId="1077" priority="1429" operator="greaterThanOrEqual">
      <formula>300</formula>
    </cfRule>
  </conditionalFormatting>
  <conditionalFormatting sqref="W1820">
    <cfRule type="containsBlanks" dxfId="1076" priority="1412">
      <formula>LEN(TRIM(W1820))=0</formula>
    </cfRule>
    <cfRule type="cellIs" dxfId="1075" priority="1430" operator="lessThan">
      <formula>109</formula>
    </cfRule>
  </conditionalFormatting>
  <conditionalFormatting sqref="X1820:AK1820">
    <cfRule type="cellIs" dxfId="1074" priority="1409" operator="equal">
      <formula>"管制"</formula>
    </cfRule>
    <cfRule type="cellIs" dxfId="1073" priority="1410" operator="equal">
      <formula>"正常"</formula>
    </cfRule>
    <cfRule type="cellIs" dxfId="1072" priority="1411" operator="equal">
      <formula>"監測"</formula>
    </cfRule>
  </conditionalFormatting>
  <conditionalFormatting sqref="P2313 L2313">
    <cfRule type="cellIs" dxfId="1071" priority="1394" operator="greaterThanOrEqual">
      <formula>5</formula>
    </cfRule>
  </conditionalFormatting>
  <conditionalFormatting sqref="L2313">
    <cfRule type="cellIs" dxfId="1070" priority="1395" operator="greaterThanOrEqual">
      <formula>2</formula>
    </cfRule>
  </conditionalFormatting>
  <conditionalFormatting sqref="M2313">
    <cfRule type="cellIs" dxfId="1069" priority="1396" operator="greaterThanOrEqual">
      <formula>60</formula>
    </cfRule>
  </conditionalFormatting>
  <conditionalFormatting sqref="M2313">
    <cfRule type="cellIs" dxfId="1068" priority="1397" operator="greaterThanOrEqual">
      <formula>30</formula>
    </cfRule>
  </conditionalFormatting>
  <conditionalFormatting sqref="R2313">
    <cfRule type="cellIs" dxfId="1067" priority="1398" operator="greaterThanOrEqual">
      <formula>600</formula>
    </cfRule>
  </conditionalFormatting>
  <conditionalFormatting sqref="R2313">
    <cfRule type="cellIs" dxfId="1066" priority="1399" operator="greaterThanOrEqual">
      <formula>260</formula>
    </cfRule>
  </conditionalFormatting>
  <conditionalFormatting sqref="N2313 S2313">
    <cfRule type="cellIs" dxfId="1065" priority="1400" operator="greaterThanOrEqual">
      <formula>200</formula>
    </cfRule>
  </conditionalFormatting>
  <conditionalFormatting sqref="S2313">
    <cfRule type="cellIs" dxfId="1064" priority="1401" operator="greaterThanOrEqual">
      <formula>130</formula>
    </cfRule>
  </conditionalFormatting>
  <conditionalFormatting sqref="N2313">
    <cfRule type="cellIs" dxfId="1063" priority="1402" operator="greaterThanOrEqual">
      <formula>120</formula>
    </cfRule>
  </conditionalFormatting>
  <conditionalFormatting sqref="O2313">
    <cfRule type="cellIs" dxfId="1062" priority="1403" operator="greaterThanOrEqual">
      <formula>250</formula>
    </cfRule>
  </conditionalFormatting>
  <conditionalFormatting sqref="O2313">
    <cfRule type="cellIs" dxfId="1061" priority="1404" operator="greaterThanOrEqual">
      <formula>175</formula>
    </cfRule>
  </conditionalFormatting>
  <conditionalFormatting sqref="P2313">
    <cfRule type="cellIs" dxfId="1060" priority="1405" operator="greaterThanOrEqual">
      <formula>2.5</formula>
    </cfRule>
  </conditionalFormatting>
  <conditionalFormatting sqref="Q2313">
    <cfRule type="cellIs" dxfId="1059" priority="1406" operator="greaterThanOrEqual">
      <formula>500</formula>
    </cfRule>
  </conditionalFormatting>
  <conditionalFormatting sqref="Q2313">
    <cfRule type="cellIs" dxfId="1058" priority="1407" operator="greaterThanOrEqual">
      <formula>300</formula>
    </cfRule>
  </conditionalFormatting>
  <conditionalFormatting sqref="W2313">
    <cfRule type="cellIs" dxfId="1057" priority="1408" operator="lessThan">
      <formula>109</formula>
    </cfRule>
  </conditionalFormatting>
  <conditionalFormatting sqref="X2313:AK2313">
    <cfRule type="cellIs" dxfId="1056" priority="1391" operator="equal">
      <formula>"管制"</formula>
    </cfRule>
    <cfRule type="cellIs" dxfId="1055" priority="1392" operator="equal">
      <formula>"正常"</formula>
    </cfRule>
    <cfRule type="cellIs" dxfId="1054" priority="1393" operator="equal">
      <formula>"監測"</formula>
    </cfRule>
  </conditionalFormatting>
  <conditionalFormatting sqref="P2314 L2314">
    <cfRule type="cellIs" dxfId="1053" priority="1367" operator="greaterThanOrEqual">
      <formula>5</formula>
    </cfRule>
  </conditionalFormatting>
  <conditionalFormatting sqref="L2314">
    <cfRule type="cellIs" dxfId="1052" priority="1368" operator="greaterThanOrEqual">
      <formula>2</formula>
    </cfRule>
  </conditionalFormatting>
  <conditionalFormatting sqref="M2314">
    <cfRule type="cellIs" dxfId="1051" priority="1369" operator="greaterThanOrEqual">
      <formula>60</formula>
    </cfRule>
  </conditionalFormatting>
  <conditionalFormatting sqref="M2314">
    <cfRule type="cellIs" dxfId="1050" priority="1370" operator="greaterThanOrEqual">
      <formula>30</formula>
    </cfRule>
  </conditionalFormatting>
  <conditionalFormatting sqref="R2314">
    <cfRule type="cellIs" dxfId="1049" priority="1371" operator="greaterThanOrEqual">
      <formula>600</formula>
    </cfRule>
  </conditionalFormatting>
  <conditionalFormatting sqref="R2314">
    <cfRule type="cellIs" dxfId="1048" priority="1372" operator="greaterThanOrEqual">
      <formula>260</formula>
    </cfRule>
  </conditionalFormatting>
  <conditionalFormatting sqref="N2314 S2314">
    <cfRule type="cellIs" dxfId="1047" priority="1373" operator="greaterThanOrEqual">
      <formula>200</formula>
    </cfRule>
  </conditionalFormatting>
  <conditionalFormatting sqref="S2314">
    <cfRule type="cellIs" dxfId="1046" priority="1374" operator="greaterThanOrEqual">
      <formula>130</formula>
    </cfRule>
  </conditionalFormatting>
  <conditionalFormatting sqref="N2314">
    <cfRule type="cellIs" dxfId="1045" priority="1375" operator="greaterThanOrEqual">
      <formula>120</formula>
    </cfRule>
  </conditionalFormatting>
  <conditionalFormatting sqref="O2314">
    <cfRule type="cellIs" dxfId="1044" priority="1376" operator="greaterThanOrEqual">
      <formula>250</formula>
    </cfRule>
  </conditionalFormatting>
  <conditionalFormatting sqref="O2314">
    <cfRule type="cellIs" dxfId="1043" priority="1377" operator="greaterThanOrEqual">
      <formula>175</formula>
    </cfRule>
  </conditionalFormatting>
  <conditionalFormatting sqref="P2314">
    <cfRule type="cellIs" dxfId="1042" priority="1378" operator="greaterThanOrEqual">
      <formula>2.5</formula>
    </cfRule>
  </conditionalFormatting>
  <conditionalFormatting sqref="Q2314">
    <cfRule type="cellIs" dxfId="1041" priority="1379" operator="greaterThanOrEqual">
      <formula>500</formula>
    </cfRule>
  </conditionalFormatting>
  <conditionalFormatting sqref="Q2314">
    <cfRule type="cellIs" dxfId="1040" priority="1380" operator="greaterThanOrEqual">
      <formula>300</formula>
    </cfRule>
  </conditionalFormatting>
  <conditionalFormatting sqref="W2314">
    <cfRule type="cellIs" dxfId="1039" priority="1381" operator="lessThan">
      <formula>109</formula>
    </cfRule>
  </conditionalFormatting>
  <conditionalFormatting sqref="X2314:AK2314">
    <cfRule type="cellIs" dxfId="1038" priority="1363" operator="equal">
      <formula>"管制"</formula>
    </cfRule>
    <cfRule type="cellIs" dxfId="1037" priority="1364" operator="equal">
      <formula>"正常"</formula>
    </cfRule>
    <cfRule type="cellIs" dxfId="1036" priority="1365" operator="equal">
      <formula>"監測"</formula>
    </cfRule>
  </conditionalFormatting>
  <conditionalFormatting sqref="N1821">
    <cfRule type="cellIs" dxfId="1035" priority="1354" operator="greaterThanOrEqual">
      <formula>200</formula>
    </cfRule>
  </conditionalFormatting>
  <conditionalFormatting sqref="N1821">
    <cfRule type="cellIs" dxfId="1034" priority="1355" operator="greaterThanOrEqual">
      <formula>120</formula>
    </cfRule>
  </conditionalFormatting>
  <conditionalFormatting sqref="O1821">
    <cfRule type="cellIs" dxfId="1033" priority="1356" operator="greaterThanOrEqual">
      <formula>250</formula>
    </cfRule>
  </conditionalFormatting>
  <conditionalFormatting sqref="O1821">
    <cfRule type="cellIs" dxfId="1032" priority="1357" operator="greaterThanOrEqual">
      <formula>175</formula>
    </cfRule>
  </conditionalFormatting>
  <conditionalFormatting sqref="W2033:W2035">
    <cfRule type="cellIs" dxfId="1031" priority="1358" operator="lessThan">
      <formula>109</formula>
    </cfRule>
  </conditionalFormatting>
  <conditionalFormatting sqref="X1821:AK1821">
    <cfRule type="cellIs" dxfId="1030" priority="1351" operator="equal">
      <formula>"管制"</formula>
    </cfRule>
    <cfRule type="cellIs" dxfId="1029" priority="1352" operator="equal">
      <formula>"正常"</formula>
    </cfRule>
    <cfRule type="cellIs" dxfId="1028" priority="1353" operator="equal">
      <formula>"監測"</formula>
    </cfRule>
  </conditionalFormatting>
  <conditionalFormatting sqref="P1821">
    <cfRule type="cellIs" dxfId="1027" priority="1343" operator="greaterThanOrEqual">
      <formula>5</formula>
    </cfRule>
  </conditionalFormatting>
  <conditionalFormatting sqref="R1821">
    <cfRule type="cellIs" dxfId="1026" priority="1344" operator="greaterThanOrEqual">
      <formula>600</formula>
    </cfRule>
  </conditionalFormatting>
  <conditionalFormatting sqref="R1821">
    <cfRule type="cellIs" dxfId="1025" priority="1345" operator="greaterThanOrEqual">
      <formula>260</formula>
    </cfRule>
  </conditionalFormatting>
  <conditionalFormatting sqref="S1821">
    <cfRule type="cellIs" dxfId="1024" priority="1346" operator="greaterThanOrEqual">
      <formula>200</formula>
    </cfRule>
  </conditionalFormatting>
  <conditionalFormatting sqref="S1821">
    <cfRule type="cellIs" dxfId="1023" priority="1347" operator="greaterThanOrEqual">
      <formula>130</formula>
    </cfRule>
  </conditionalFormatting>
  <conditionalFormatting sqref="P1821">
    <cfRule type="cellIs" dxfId="1022" priority="1348" operator="greaterThanOrEqual">
      <formula>2.5</formula>
    </cfRule>
  </conditionalFormatting>
  <conditionalFormatting sqref="Q1821">
    <cfRule type="cellIs" dxfId="1021" priority="1349" operator="greaterThanOrEqual">
      <formula>500</formula>
    </cfRule>
  </conditionalFormatting>
  <conditionalFormatting sqref="Q1821">
    <cfRule type="cellIs" dxfId="1020" priority="1350" operator="greaterThanOrEqual">
      <formula>300</formula>
    </cfRule>
  </conditionalFormatting>
  <conditionalFormatting sqref="L1821">
    <cfRule type="cellIs" dxfId="1019" priority="1339" operator="greaterThanOrEqual">
      <formula>5</formula>
    </cfRule>
  </conditionalFormatting>
  <conditionalFormatting sqref="L1821">
    <cfRule type="cellIs" dxfId="1018" priority="1340" operator="greaterThanOrEqual">
      <formula>2</formula>
    </cfRule>
  </conditionalFormatting>
  <conditionalFormatting sqref="M1821">
    <cfRule type="cellIs" dxfId="1017" priority="1341" operator="greaterThanOrEqual">
      <formula>60</formula>
    </cfRule>
  </conditionalFormatting>
  <conditionalFormatting sqref="M1821">
    <cfRule type="cellIs" dxfId="1016" priority="1342" operator="greaterThanOrEqual">
      <formula>30</formula>
    </cfRule>
  </conditionalFormatting>
  <conditionalFormatting sqref="P2154 L2154">
    <cfRule type="cellIs" dxfId="1015" priority="1324" operator="greaterThanOrEqual">
      <formula>5</formula>
    </cfRule>
  </conditionalFormatting>
  <conditionalFormatting sqref="L2154">
    <cfRule type="cellIs" dxfId="1014" priority="1325" operator="greaterThanOrEqual">
      <formula>2</formula>
    </cfRule>
  </conditionalFormatting>
  <conditionalFormatting sqref="M2154">
    <cfRule type="cellIs" dxfId="1013" priority="1326" operator="greaterThanOrEqual">
      <formula>60</formula>
    </cfRule>
  </conditionalFormatting>
  <conditionalFormatting sqref="M2154">
    <cfRule type="cellIs" dxfId="1012" priority="1327" operator="greaterThanOrEqual">
      <formula>30</formula>
    </cfRule>
  </conditionalFormatting>
  <conditionalFormatting sqref="R2154">
    <cfRule type="cellIs" dxfId="1011" priority="1328" operator="greaterThanOrEqual">
      <formula>600</formula>
    </cfRule>
  </conditionalFormatting>
  <conditionalFormatting sqref="R2154">
    <cfRule type="cellIs" dxfId="1010" priority="1329" operator="greaterThanOrEqual">
      <formula>260</formula>
    </cfRule>
  </conditionalFormatting>
  <conditionalFormatting sqref="S2154 N2154">
    <cfRule type="cellIs" dxfId="1009" priority="1330" operator="greaterThanOrEqual">
      <formula>200</formula>
    </cfRule>
  </conditionalFormatting>
  <conditionalFormatting sqref="S2154">
    <cfRule type="cellIs" dxfId="1008" priority="1331" operator="greaterThanOrEqual">
      <formula>130</formula>
    </cfRule>
  </conditionalFormatting>
  <conditionalFormatting sqref="N2154">
    <cfRule type="cellIs" dxfId="1007" priority="1332" operator="greaterThanOrEqual">
      <formula>120</formula>
    </cfRule>
  </conditionalFormatting>
  <conditionalFormatting sqref="O2154">
    <cfRule type="cellIs" dxfId="1006" priority="1333" operator="greaterThanOrEqual">
      <formula>250</formula>
    </cfRule>
  </conditionalFormatting>
  <conditionalFormatting sqref="O2154">
    <cfRule type="cellIs" dxfId="1005" priority="1334" operator="greaterThanOrEqual">
      <formula>175</formula>
    </cfRule>
  </conditionalFormatting>
  <conditionalFormatting sqref="P2154">
    <cfRule type="cellIs" dxfId="1004" priority="1335" operator="greaterThanOrEqual">
      <formula>2.5</formula>
    </cfRule>
  </conditionalFormatting>
  <conditionalFormatting sqref="Q2154">
    <cfRule type="cellIs" dxfId="1003" priority="1336" operator="greaterThanOrEqual">
      <formula>500</formula>
    </cfRule>
  </conditionalFormatting>
  <conditionalFormatting sqref="Q2154">
    <cfRule type="cellIs" dxfId="1002" priority="1337" operator="greaterThanOrEqual">
      <formula>300</formula>
    </cfRule>
  </conditionalFormatting>
  <conditionalFormatting sqref="W2154">
    <cfRule type="cellIs" dxfId="1001" priority="1338" operator="lessThan">
      <formula>109</formula>
    </cfRule>
  </conditionalFormatting>
  <conditionalFormatting sqref="X2154:AK2154">
    <cfRule type="cellIs" dxfId="1000" priority="1321" operator="equal">
      <formula>"管制"</formula>
    </cfRule>
    <cfRule type="cellIs" dxfId="999" priority="1322" operator="equal">
      <formula>"正常"</formula>
    </cfRule>
    <cfRule type="cellIs" dxfId="998" priority="1323" operator="equal">
      <formula>"監測"</formula>
    </cfRule>
  </conditionalFormatting>
  <conditionalFormatting sqref="L1822 P1822">
    <cfRule type="cellIs" dxfId="997" priority="1302" operator="greaterThanOrEqual">
      <formula>5</formula>
    </cfRule>
  </conditionalFormatting>
  <conditionalFormatting sqref="L1822">
    <cfRule type="cellIs" dxfId="996" priority="1303" operator="greaterThanOrEqual">
      <formula>2</formula>
    </cfRule>
  </conditionalFormatting>
  <conditionalFormatting sqref="M1822">
    <cfRule type="cellIs" dxfId="995" priority="1304" operator="greaterThanOrEqual">
      <formula>60</formula>
    </cfRule>
  </conditionalFormatting>
  <conditionalFormatting sqref="M1822">
    <cfRule type="cellIs" dxfId="994" priority="1305" operator="greaterThanOrEqual">
      <formula>30</formula>
    </cfRule>
  </conditionalFormatting>
  <conditionalFormatting sqref="R1822">
    <cfRule type="cellIs" dxfId="993" priority="1306" operator="greaterThanOrEqual">
      <formula>600</formula>
    </cfRule>
  </conditionalFormatting>
  <conditionalFormatting sqref="R1822">
    <cfRule type="cellIs" dxfId="992" priority="1307" operator="greaterThanOrEqual">
      <formula>260</formula>
    </cfRule>
  </conditionalFormatting>
  <conditionalFormatting sqref="N1822 S1822">
    <cfRule type="cellIs" dxfId="991" priority="1308" operator="greaterThanOrEqual">
      <formula>200</formula>
    </cfRule>
  </conditionalFormatting>
  <conditionalFormatting sqref="S1822">
    <cfRule type="cellIs" dxfId="990" priority="1309" operator="greaterThanOrEqual">
      <formula>130</formula>
    </cfRule>
  </conditionalFormatting>
  <conditionalFormatting sqref="N1822">
    <cfRule type="cellIs" dxfId="989" priority="1310" operator="greaterThanOrEqual">
      <formula>120</formula>
    </cfRule>
  </conditionalFormatting>
  <conditionalFormatting sqref="O1822">
    <cfRule type="cellIs" dxfId="988" priority="1311" operator="greaterThanOrEqual">
      <formula>250</formula>
    </cfRule>
  </conditionalFormatting>
  <conditionalFormatting sqref="O1822">
    <cfRule type="cellIs" dxfId="987" priority="1312" operator="greaterThanOrEqual">
      <formula>175</formula>
    </cfRule>
  </conditionalFormatting>
  <conditionalFormatting sqref="P1822">
    <cfRule type="cellIs" dxfId="986" priority="1313" operator="greaterThanOrEqual">
      <formula>2.5</formula>
    </cfRule>
  </conditionalFormatting>
  <conditionalFormatting sqref="Q1822">
    <cfRule type="cellIs" dxfId="985" priority="1314" operator="greaterThanOrEqual">
      <formula>500</formula>
    </cfRule>
  </conditionalFormatting>
  <conditionalFormatting sqref="Q1822">
    <cfRule type="cellIs" dxfId="984" priority="1315" operator="greaterThanOrEqual">
      <formula>300</formula>
    </cfRule>
  </conditionalFormatting>
  <conditionalFormatting sqref="X1822:AK1822">
    <cfRule type="cellIs" dxfId="983" priority="1299" operator="equal">
      <formula>"管制"</formula>
    </cfRule>
    <cfRule type="cellIs" dxfId="982" priority="1300" operator="equal">
      <formula>"正常"</formula>
    </cfRule>
    <cfRule type="cellIs" dxfId="981" priority="1301" operator="equal">
      <formula>"監測"</formula>
    </cfRule>
  </conditionalFormatting>
  <conditionalFormatting sqref="P1823 L1823">
    <cfRule type="cellIs" dxfId="980" priority="1285" operator="greaterThanOrEqual">
      <formula>5</formula>
    </cfRule>
  </conditionalFormatting>
  <conditionalFormatting sqref="L1823">
    <cfRule type="cellIs" dxfId="979" priority="1286" operator="greaterThanOrEqual">
      <formula>2</formula>
    </cfRule>
  </conditionalFormatting>
  <conditionalFormatting sqref="M1823">
    <cfRule type="cellIs" dxfId="978" priority="1287" operator="greaterThanOrEqual">
      <formula>60</formula>
    </cfRule>
  </conditionalFormatting>
  <conditionalFormatting sqref="M1823">
    <cfRule type="cellIs" dxfId="977" priority="1288" operator="greaterThanOrEqual">
      <formula>30</formula>
    </cfRule>
  </conditionalFormatting>
  <conditionalFormatting sqref="R1823">
    <cfRule type="cellIs" dxfId="976" priority="1289" operator="greaterThanOrEqual">
      <formula>600</formula>
    </cfRule>
  </conditionalFormatting>
  <conditionalFormatting sqref="R1823">
    <cfRule type="cellIs" dxfId="975" priority="1290" operator="greaterThanOrEqual">
      <formula>260</formula>
    </cfRule>
  </conditionalFormatting>
  <conditionalFormatting sqref="S1823 N1823">
    <cfRule type="cellIs" dxfId="974" priority="1291" operator="greaterThanOrEqual">
      <formula>200</formula>
    </cfRule>
  </conditionalFormatting>
  <conditionalFormatting sqref="S1823">
    <cfRule type="cellIs" dxfId="973" priority="1292" operator="greaterThanOrEqual">
      <formula>130</formula>
    </cfRule>
  </conditionalFormatting>
  <conditionalFormatting sqref="N1823">
    <cfRule type="cellIs" dxfId="972" priority="1293" operator="greaterThanOrEqual">
      <formula>120</formula>
    </cfRule>
  </conditionalFormatting>
  <conditionalFormatting sqref="O1823">
    <cfRule type="cellIs" dxfId="971" priority="1294" operator="greaterThanOrEqual">
      <formula>250</formula>
    </cfRule>
  </conditionalFormatting>
  <conditionalFormatting sqref="O1823">
    <cfRule type="cellIs" dxfId="970" priority="1295" operator="greaterThanOrEqual">
      <formula>175</formula>
    </cfRule>
  </conditionalFormatting>
  <conditionalFormatting sqref="P1823">
    <cfRule type="cellIs" dxfId="969" priority="1296" operator="greaterThanOrEqual">
      <formula>2.5</formula>
    </cfRule>
  </conditionalFormatting>
  <conditionalFormatting sqref="Q1823">
    <cfRule type="cellIs" dxfId="968" priority="1297" operator="greaterThanOrEqual">
      <formula>500</formula>
    </cfRule>
  </conditionalFormatting>
  <conditionalFormatting sqref="Q1823">
    <cfRule type="cellIs" dxfId="967" priority="1298" operator="greaterThanOrEqual">
      <formula>300</formula>
    </cfRule>
  </conditionalFormatting>
  <conditionalFormatting sqref="X1823:AK1823">
    <cfRule type="cellIs" dxfId="966" priority="1282" operator="equal">
      <formula>"管制"</formula>
    </cfRule>
    <cfRule type="cellIs" dxfId="965" priority="1283" operator="equal">
      <formula>"正常"</formula>
    </cfRule>
    <cfRule type="cellIs" dxfId="964" priority="1284" operator="equal">
      <formula>"監測"</formula>
    </cfRule>
  </conditionalFormatting>
  <conditionalFormatting sqref="P1824 L1824">
    <cfRule type="cellIs" dxfId="963" priority="1264" operator="greaterThanOrEqual">
      <formula>5</formula>
    </cfRule>
  </conditionalFormatting>
  <conditionalFormatting sqref="L1824">
    <cfRule type="cellIs" dxfId="962" priority="1265" operator="greaterThanOrEqual">
      <formula>2</formula>
    </cfRule>
  </conditionalFormatting>
  <conditionalFormatting sqref="M1824">
    <cfRule type="cellIs" dxfId="961" priority="1266" operator="greaterThanOrEqual">
      <formula>60</formula>
    </cfRule>
  </conditionalFormatting>
  <conditionalFormatting sqref="M1824">
    <cfRule type="cellIs" dxfId="960" priority="1267" operator="greaterThanOrEqual">
      <formula>30</formula>
    </cfRule>
  </conditionalFormatting>
  <conditionalFormatting sqref="R1824">
    <cfRule type="cellIs" dxfId="959" priority="1268" operator="greaterThanOrEqual">
      <formula>600</formula>
    </cfRule>
  </conditionalFormatting>
  <conditionalFormatting sqref="R1824">
    <cfRule type="cellIs" dxfId="958" priority="1269" operator="greaterThanOrEqual">
      <formula>260</formula>
    </cfRule>
  </conditionalFormatting>
  <conditionalFormatting sqref="S1824 N1824">
    <cfRule type="cellIs" dxfId="957" priority="1272" operator="greaterThanOrEqual">
      <formula>200</formula>
    </cfRule>
  </conditionalFormatting>
  <conditionalFormatting sqref="S1824">
    <cfRule type="cellIs" dxfId="956" priority="1273" operator="greaterThanOrEqual">
      <formula>130</formula>
    </cfRule>
  </conditionalFormatting>
  <conditionalFormatting sqref="N1824">
    <cfRule type="cellIs" dxfId="955" priority="1274" operator="greaterThanOrEqual">
      <formula>120</formula>
    </cfRule>
  </conditionalFormatting>
  <conditionalFormatting sqref="O1824">
    <cfRule type="cellIs" dxfId="954" priority="1276" operator="greaterThanOrEqual">
      <formula>250</formula>
    </cfRule>
  </conditionalFormatting>
  <conditionalFormatting sqref="O1824">
    <cfRule type="cellIs" dxfId="953" priority="1277" operator="greaterThanOrEqual">
      <formula>175</formula>
    </cfRule>
  </conditionalFormatting>
  <conditionalFormatting sqref="P1824">
    <cfRule type="cellIs" dxfId="952" priority="1278" operator="greaterThanOrEqual">
      <formula>2.5</formula>
    </cfRule>
  </conditionalFormatting>
  <conditionalFormatting sqref="Q1824">
    <cfRule type="cellIs" dxfId="951" priority="1279" operator="greaterThanOrEqual">
      <formula>500</formula>
    </cfRule>
  </conditionalFormatting>
  <conditionalFormatting sqref="Q1824">
    <cfRule type="cellIs" dxfId="950" priority="1280" operator="greaterThanOrEqual">
      <formula>300</formula>
    </cfRule>
  </conditionalFormatting>
  <conditionalFormatting sqref="W1824">
    <cfRule type="cellIs" dxfId="949" priority="1281" operator="lessThan">
      <formula>109</formula>
    </cfRule>
  </conditionalFormatting>
  <conditionalFormatting sqref="X1824:AK1824">
    <cfRule type="cellIs" dxfId="948" priority="1260" operator="equal">
      <formula>"管制"</formula>
    </cfRule>
    <cfRule type="cellIs" dxfId="947" priority="1261" operator="equal">
      <formula>"正常"</formula>
    </cfRule>
    <cfRule type="cellIs" dxfId="946" priority="1262" operator="equal">
      <formula>"監測"</formula>
    </cfRule>
  </conditionalFormatting>
  <conditionalFormatting sqref="P1832 L1832">
    <cfRule type="cellIs" dxfId="945" priority="1245" operator="greaterThanOrEqual">
      <formula>5</formula>
    </cfRule>
  </conditionalFormatting>
  <conditionalFormatting sqref="L1832">
    <cfRule type="cellIs" dxfId="944" priority="1246" operator="greaterThanOrEqual">
      <formula>2</formula>
    </cfRule>
  </conditionalFormatting>
  <conditionalFormatting sqref="M1832">
    <cfRule type="cellIs" dxfId="943" priority="1247" operator="greaterThanOrEqual">
      <formula>60</formula>
    </cfRule>
  </conditionalFormatting>
  <conditionalFormatting sqref="M1832">
    <cfRule type="cellIs" dxfId="942" priority="1248" operator="greaterThanOrEqual">
      <formula>30</formula>
    </cfRule>
  </conditionalFormatting>
  <conditionalFormatting sqref="R1832">
    <cfRule type="cellIs" dxfId="941" priority="1249" operator="greaterThanOrEqual">
      <formula>600</formula>
    </cfRule>
  </conditionalFormatting>
  <conditionalFormatting sqref="R1832">
    <cfRule type="cellIs" dxfId="940" priority="1250" operator="greaterThanOrEqual">
      <formula>260</formula>
    </cfRule>
  </conditionalFormatting>
  <conditionalFormatting sqref="S1832 N1832">
    <cfRule type="cellIs" dxfId="939" priority="1251" operator="greaterThanOrEqual">
      <formula>200</formula>
    </cfRule>
  </conditionalFormatting>
  <conditionalFormatting sqref="S1832">
    <cfRule type="cellIs" dxfId="938" priority="1252" operator="greaterThanOrEqual">
      <formula>130</formula>
    </cfRule>
  </conditionalFormatting>
  <conditionalFormatting sqref="N1832">
    <cfRule type="cellIs" dxfId="937" priority="1253" operator="greaterThanOrEqual">
      <formula>120</formula>
    </cfRule>
  </conditionalFormatting>
  <conditionalFormatting sqref="O1832">
    <cfRule type="cellIs" dxfId="936" priority="1254" operator="greaterThanOrEqual">
      <formula>250</formula>
    </cfRule>
  </conditionalFormatting>
  <conditionalFormatting sqref="O1832">
    <cfRule type="cellIs" dxfId="935" priority="1255" operator="greaterThanOrEqual">
      <formula>175</formula>
    </cfRule>
  </conditionalFormatting>
  <conditionalFormatting sqref="P1832">
    <cfRule type="cellIs" dxfId="934" priority="1256" operator="greaterThanOrEqual">
      <formula>2.5</formula>
    </cfRule>
  </conditionalFormatting>
  <conditionalFormatting sqref="Q1832">
    <cfRule type="cellIs" dxfId="933" priority="1257" operator="greaterThanOrEqual">
      <formula>500</formula>
    </cfRule>
  </conditionalFormatting>
  <conditionalFormatting sqref="Q1832">
    <cfRule type="cellIs" dxfId="932" priority="1258" operator="greaterThanOrEqual">
      <formula>300</formula>
    </cfRule>
  </conditionalFormatting>
  <conditionalFormatting sqref="W2155">
    <cfRule type="cellIs" dxfId="931" priority="1259" operator="lessThan">
      <formula>109</formula>
    </cfRule>
  </conditionalFormatting>
  <conditionalFormatting sqref="X1832:AK1832">
    <cfRule type="cellIs" dxfId="930" priority="1242" operator="equal">
      <formula>"管制"</formula>
    </cfRule>
    <cfRule type="cellIs" dxfId="929" priority="1243" operator="equal">
      <formula>"正常"</formula>
    </cfRule>
    <cfRule type="cellIs" dxfId="928" priority="1244" operator="equal">
      <formula>"監測"</formula>
    </cfRule>
  </conditionalFormatting>
  <conditionalFormatting sqref="L2033:L2035 P2033:P2035">
    <cfRule type="cellIs" dxfId="927" priority="1228" operator="greaterThanOrEqual">
      <formula>5</formula>
    </cfRule>
  </conditionalFormatting>
  <conditionalFormatting sqref="L2033:L2035">
    <cfRule type="cellIs" dxfId="926" priority="1229" operator="greaterThanOrEqual">
      <formula>2</formula>
    </cfRule>
  </conditionalFormatting>
  <conditionalFormatting sqref="M2033:M2035">
    <cfRule type="cellIs" dxfId="925" priority="1230" operator="greaterThanOrEqual">
      <formula>60</formula>
    </cfRule>
  </conditionalFormatting>
  <conditionalFormatting sqref="M2033:M2035">
    <cfRule type="cellIs" dxfId="924" priority="1231" operator="greaterThanOrEqual">
      <formula>30</formula>
    </cfRule>
  </conditionalFormatting>
  <conditionalFormatting sqref="R2033:R2035">
    <cfRule type="cellIs" dxfId="923" priority="1232" operator="greaterThanOrEqual">
      <formula>600</formula>
    </cfRule>
  </conditionalFormatting>
  <conditionalFormatting sqref="R2033:R2035">
    <cfRule type="cellIs" dxfId="922" priority="1233" operator="greaterThanOrEqual">
      <formula>260</formula>
    </cfRule>
  </conditionalFormatting>
  <conditionalFormatting sqref="N2033:N2035 S2033:S2035">
    <cfRule type="cellIs" dxfId="921" priority="1234" operator="greaterThanOrEqual">
      <formula>200</formula>
    </cfRule>
  </conditionalFormatting>
  <conditionalFormatting sqref="S2033:S2035">
    <cfRule type="cellIs" dxfId="920" priority="1235" operator="greaterThanOrEqual">
      <formula>130</formula>
    </cfRule>
  </conditionalFormatting>
  <conditionalFormatting sqref="N2033:N2035">
    <cfRule type="cellIs" dxfId="919" priority="1236" operator="greaterThanOrEqual">
      <formula>120</formula>
    </cfRule>
  </conditionalFormatting>
  <conditionalFormatting sqref="O2033:O2035">
    <cfRule type="cellIs" dxfId="918" priority="1237" operator="greaterThanOrEqual">
      <formula>250</formula>
    </cfRule>
  </conditionalFormatting>
  <conditionalFormatting sqref="O2033:O2035">
    <cfRule type="cellIs" dxfId="917" priority="1238" operator="greaterThanOrEqual">
      <formula>175</formula>
    </cfRule>
  </conditionalFormatting>
  <conditionalFormatting sqref="P2033:P2035">
    <cfRule type="cellIs" dxfId="916" priority="1239" operator="greaterThanOrEqual">
      <formula>2.5</formula>
    </cfRule>
  </conditionalFormatting>
  <conditionalFormatting sqref="Q2033:Q2035">
    <cfRule type="cellIs" dxfId="915" priority="1240" operator="greaterThanOrEqual">
      <formula>500</formula>
    </cfRule>
  </conditionalFormatting>
  <conditionalFormatting sqref="Q2033:Q2035">
    <cfRule type="cellIs" dxfId="914" priority="1241" operator="greaterThanOrEqual">
      <formula>300</formula>
    </cfRule>
  </conditionalFormatting>
  <conditionalFormatting sqref="X2033:AK2035">
    <cfRule type="cellIs" dxfId="913" priority="1225" operator="equal">
      <formula>"管制"</formula>
    </cfRule>
    <cfRule type="cellIs" dxfId="912" priority="1226" operator="equal">
      <formula>"正常"</formula>
    </cfRule>
    <cfRule type="cellIs" dxfId="911" priority="1227" operator="equal">
      <formula>"監測"</formula>
    </cfRule>
  </conditionalFormatting>
  <conditionalFormatting sqref="L2036 P2036">
    <cfRule type="cellIs" dxfId="910" priority="1205" operator="greaterThanOrEqual">
      <formula>5</formula>
    </cfRule>
  </conditionalFormatting>
  <conditionalFormatting sqref="L2036">
    <cfRule type="cellIs" dxfId="909" priority="1206" operator="greaterThanOrEqual">
      <formula>2</formula>
    </cfRule>
  </conditionalFormatting>
  <conditionalFormatting sqref="M2036">
    <cfRule type="cellIs" dxfId="908" priority="1207" operator="greaterThanOrEqual">
      <formula>60</formula>
    </cfRule>
  </conditionalFormatting>
  <conditionalFormatting sqref="M2036">
    <cfRule type="cellIs" dxfId="907" priority="1208" operator="greaterThanOrEqual">
      <formula>30</formula>
    </cfRule>
  </conditionalFormatting>
  <conditionalFormatting sqref="R2036">
    <cfRule type="cellIs" dxfId="906" priority="1209" operator="greaterThanOrEqual">
      <formula>600</formula>
    </cfRule>
  </conditionalFormatting>
  <conditionalFormatting sqref="R2036">
    <cfRule type="cellIs" dxfId="905" priority="1210" operator="greaterThanOrEqual">
      <formula>260</formula>
    </cfRule>
  </conditionalFormatting>
  <conditionalFormatting sqref="N2036 S2036">
    <cfRule type="cellIs" dxfId="904" priority="1211" operator="greaterThanOrEqual">
      <formula>200</formula>
    </cfRule>
  </conditionalFormatting>
  <conditionalFormatting sqref="S2036">
    <cfRule type="cellIs" dxfId="903" priority="1212" operator="greaterThanOrEqual">
      <formula>130</formula>
    </cfRule>
  </conditionalFormatting>
  <conditionalFormatting sqref="N2036">
    <cfRule type="cellIs" dxfId="902" priority="1213" operator="greaterThanOrEqual">
      <formula>120</formula>
    </cfRule>
  </conditionalFormatting>
  <conditionalFormatting sqref="O2036">
    <cfRule type="cellIs" dxfId="901" priority="1214" operator="greaterThanOrEqual">
      <formula>250</formula>
    </cfRule>
  </conditionalFormatting>
  <conditionalFormatting sqref="O2036">
    <cfRule type="cellIs" dxfId="900" priority="1215" operator="greaterThanOrEqual">
      <formula>175</formula>
    </cfRule>
  </conditionalFormatting>
  <conditionalFormatting sqref="P2036">
    <cfRule type="cellIs" dxfId="899" priority="1216" operator="greaterThanOrEqual">
      <formula>2.5</formula>
    </cfRule>
  </conditionalFormatting>
  <conditionalFormatting sqref="Q2036">
    <cfRule type="cellIs" dxfId="898" priority="1217" operator="greaterThanOrEqual">
      <formula>500</formula>
    </cfRule>
  </conditionalFormatting>
  <conditionalFormatting sqref="Q2036">
    <cfRule type="cellIs" dxfId="897" priority="1218" operator="greaterThanOrEqual">
      <formula>300</formula>
    </cfRule>
  </conditionalFormatting>
  <conditionalFormatting sqref="X2036:AK2036">
    <cfRule type="cellIs" dxfId="896" priority="1202" operator="equal">
      <formula>"管制"</formula>
    </cfRule>
    <cfRule type="cellIs" dxfId="895" priority="1203" operator="equal">
      <formula>"正常"</formula>
    </cfRule>
    <cfRule type="cellIs" dxfId="894" priority="1204" operator="equal">
      <formula>"監測"</formula>
    </cfRule>
  </conditionalFormatting>
  <conditionalFormatting sqref="L2155 P2155">
    <cfRule type="cellIs" dxfId="893" priority="1185" operator="greaterThanOrEqual">
      <formula>5</formula>
    </cfRule>
  </conditionalFormatting>
  <conditionalFormatting sqref="L2155">
    <cfRule type="cellIs" dxfId="892" priority="1186" operator="greaterThanOrEqual">
      <formula>2</formula>
    </cfRule>
  </conditionalFormatting>
  <conditionalFormatting sqref="M2155">
    <cfRule type="cellIs" dxfId="891" priority="1187" operator="greaterThanOrEqual">
      <formula>60</formula>
    </cfRule>
  </conditionalFormatting>
  <conditionalFormatting sqref="M2155">
    <cfRule type="cellIs" dxfId="890" priority="1188" operator="greaterThanOrEqual">
      <formula>30</formula>
    </cfRule>
  </conditionalFormatting>
  <conditionalFormatting sqref="R2155">
    <cfRule type="cellIs" dxfId="889" priority="1189" operator="greaterThanOrEqual">
      <formula>600</formula>
    </cfRule>
  </conditionalFormatting>
  <conditionalFormatting sqref="R2155">
    <cfRule type="cellIs" dxfId="888" priority="1190" operator="greaterThanOrEqual">
      <formula>260</formula>
    </cfRule>
  </conditionalFormatting>
  <conditionalFormatting sqref="N2155 S2155">
    <cfRule type="cellIs" dxfId="887" priority="1191" operator="greaterThanOrEqual">
      <formula>200</formula>
    </cfRule>
  </conditionalFormatting>
  <conditionalFormatting sqref="S2155">
    <cfRule type="cellIs" dxfId="886" priority="1192" operator="greaterThanOrEqual">
      <formula>130</formula>
    </cfRule>
  </conditionalFormatting>
  <conditionalFormatting sqref="N2155">
    <cfRule type="cellIs" dxfId="885" priority="1193" operator="greaterThanOrEqual">
      <formula>120</formula>
    </cfRule>
  </conditionalFormatting>
  <conditionalFormatting sqref="O2155">
    <cfRule type="cellIs" dxfId="884" priority="1194" operator="greaterThanOrEqual">
      <formula>250</formula>
    </cfRule>
  </conditionalFormatting>
  <conditionalFormatting sqref="O2155">
    <cfRule type="cellIs" dxfId="883" priority="1195" operator="greaterThanOrEqual">
      <formula>175</formula>
    </cfRule>
  </conditionalFormatting>
  <conditionalFormatting sqref="P2155">
    <cfRule type="cellIs" dxfId="882" priority="1196" operator="greaterThanOrEqual">
      <formula>2.5</formula>
    </cfRule>
  </conditionalFormatting>
  <conditionalFormatting sqref="Q2155">
    <cfRule type="cellIs" dxfId="881" priority="1197" operator="greaterThanOrEqual">
      <formula>500</formula>
    </cfRule>
  </conditionalFormatting>
  <conditionalFormatting sqref="Q2155">
    <cfRule type="cellIs" dxfId="880" priority="1198" operator="greaterThanOrEqual">
      <formula>300</formula>
    </cfRule>
  </conditionalFormatting>
  <conditionalFormatting sqref="X2155:AK2155">
    <cfRule type="cellIs" dxfId="879" priority="1182" operator="equal">
      <formula>"管制"</formula>
    </cfRule>
    <cfRule type="cellIs" dxfId="878" priority="1183" operator="equal">
      <formula>"正常"</formula>
    </cfRule>
    <cfRule type="cellIs" dxfId="877" priority="1184" operator="equal">
      <formula>"監測"</formula>
    </cfRule>
  </conditionalFormatting>
  <conditionalFormatting sqref="W2036 W2315">
    <cfRule type="cellIs" dxfId="876" priority="6359" operator="lessThan">
      <formula>109</formula>
    </cfRule>
  </conditionalFormatting>
  <conditionalFormatting sqref="L2451 P2451">
    <cfRule type="cellIs" dxfId="875" priority="1159" operator="greaterThanOrEqual">
      <formula>5</formula>
    </cfRule>
  </conditionalFormatting>
  <conditionalFormatting sqref="L2451">
    <cfRule type="cellIs" dxfId="874" priority="1160" operator="greaterThanOrEqual">
      <formula>2</formula>
    </cfRule>
  </conditionalFormatting>
  <conditionalFormatting sqref="M2451">
    <cfRule type="cellIs" dxfId="873" priority="1161" operator="greaterThanOrEqual">
      <formula>60</formula>
    </cfRule>
  </conditionalFormatting>
  <conditionalFormatting sqref="M2451">
    <cfRule type="cellIs" dxfId="872" priority="1162" operator="greaterThanOrEqual">
      <formula>30</formula>
    </cfRule>
  </conditionalFormatting>
  <conditionalFormatting sqref="R2451">
    <cfRule type="cellIs" dxfId="871" priority="1163" operator="greaterThanOrEqual">
      <formula>600</formula>
    </cfRule>
  </conditionalFormatting>
  <conditionalFormatting sqref="R2451">
    <cfRule type="cellIs" dxfId="870" priority="1164" operator="greaterThanOrEqual">
      <formula>260</formula>
    </cfRule>
  </conditionalFormatting>
  <conditionalFormatting sqref="S2451">
    <cfRule type="containsText" dxfId="869" priority="1165" operator="containsText" text="&lt;">
      <formula>NOT(ISERROR(SEARCH(("&lt;"),(S2451))))</formula>
    </cfRule>
  </conditionalFormatting>
  <conditionalFormatting sqref="S2451">
    <cfRule type="containsText" dxfId="868" priority="1166" operator="containsText" text="ND">
      <formula>NOT(ISERROR(SEARCH(("ND"),(S2451))))</formula>
    </cfRule>
  </conditionalFormatting>
  <conditionalFormatting sqref="N2451 S2451">
    <cfRule type="cellIs" dxfId="867" priority="1167" operator="greaterThanOrEqual">
      <formula>200</formula>
    </cfRule>
  </conditionalFormatting>
  <conditionalFormatting sqref="S2451">
    <cfRule type="cellIs" dxfId="866" priority="1168" operator="greaterThanOrEqual">
      <formula>130</formula>
    </cfRule>
  </conditionalFormatting>
  <conditionalFormatting sqref="N2451">
    <cfRule type="cellIs" dxfId="865" priority="1169" operator="greaterThanOrEqual">
      <formula>120</formula>
    </cfRule>
  </conditionalFormatting>
  <conditionalFormatting sqref="O2451:Q2451">
    <cfRule type="containsText" dxfId="864" priority="1170" operator="containsText" text="ND">
      <formula>NOT(ISERROR(SEARCH(("ND"),(O2451))))</formula>
    </cfRule>
  </conditionalFormatting>
  <conditionalFormatting sqref="O2451">
    <cfRule type="cellIs" dxfId="863" priority="1171" operator="greaterThanOrEqual">
      <formula>250</formula>
    </cfRule>
  </conditionalFormatting>
  <conditionalFormatting sqref="O2451">
    <cfRule type="cellIs" dxfId="862" priority="1172" operator="greaterThanOrEqual">
      <formula>175</formula>
    </cfRule>
  </conditionalFormatting>
  <conditionalFormatting sqref="P2451">
    <cfRule type="cellIs" dxfId="861" priority="1173" operator="greaterThanOrEqual">
      <formula>2.5</formula>
    </cfRule>
  </conditionalFormatting>
  <conditionalFormatting sqref="Q2451">
    <cfRule type="cellIs" dxfId="860" priority="1174" operator="greaterThanOrEqual">
      <formula>500</formula>
    </cfRule>
  </conditionalFormatting>
  <conditionalFormatting sqref="Q2451">
    <cfRule type="cellIs" dxfId="859" priority="1175" operator="greaterThanOrEqual">
      <formula>300</formula>
    </cfRule>
  </conditionalFormatting>
  <conditionalFormatting sqref="W2451">
    <cfRule type="containsBlanks" dxfId="858" priority="1158">
      <formula>LEN(TRIM(W2451))=0</formula>
    </cfRule>
    <cfRule type="cellIs" dxfId="857" priority="1176" operator="lessThan">
      <formula>109</formula>
    </cfRule>
  </conditionalFormatting>
  <conditionalFormatting sqref="X2451:AK2451">
    <cfRule type="cellIs" dxfId="856" priority="1155" operator="equal">
      <formula>"管制"</formula>
    </cfRule>
    <cfRule type="cellIs" dxfId="855" priority="1156" operator="equal">
      <formula>"正常"</formula>
    </cfRule>
    <cfRule type="cellIs" dxfId="854" priority="1157" operator="equal">
      <formula>"監測"</formula>
    </cfRule>
  </conditionalFormatting>
  <conditionalFormatting sqref="L2156 P2156">
    <cfRule type="cellIs" dxfId="853" priority="1140" operator="greaterThanOrEqual">
      <formula>5</formula>
    </cfRule>
  </conditionalFormatting>
  <conditionalFormatting sqref="L2156">
    <cfRule type="cellIs" dxfId="852" priority="1141" operator="greaterThanOrEqual">
      <formula>2</formula>
    </cfRule>
  </conditionalFormatting>
  <conditionalFormatting sqref="M2156">
    <cfRule type="cellIs" dxfId="851" priority="1142" operator="greaterThanOrEqual">
      <formula>60</formula>
    </cfRule>
  </conditionalFormatting>
  <conditionalFormatting sqref="M2156">
    <cfRule type="cellIs" dxfId="850" priority="1143" operator="greaterThanOrEqual">
      <formula>30</formula>
    </cfRule>
  </conditionalFormatting>
  <conditionalFormatting sqref="R2156">
    <cfRule type="cellIs" dxfId="849" priority="1144" operator="greaterThanOrEqual">
      <formula>600</formula>
    </cfRule>
  </conditionalFormatting>
  <conditionalFormatting sqref="R2156">
    <cfRule type="cellIs" dxfId="848" priority="1145" operator="greaterThanOrEqual">
      <formula>260</formula>
    </cfRule>
  </conditionalFormatting>
  <conditionalFormatting sqref="N2156 S2156">
    <cfRule type="cellIs" dxfId="847" priority="1146" operator="greaterThanOrEqual">
      <formula>200</formula>
    </cfRule>
  </conditionalFormatting>
  <conditionalFormatting sqref="S2156">
    <cfRule type="cellIs" dxfId="846" priority="1147" operator="greaterThanOrEqual">
      <formula>130</formula>
    </cfRule>
  </conditionalFormatting>
  <conditionalFormatting sqref="N2156">
    <cfRule type="cellIs" dxfId="845" priority="1148" operator="greaterThanOrEqual">
      <formula>120</formula>
    </cfRule>
  </conditionalFormatting>
  <conditionalFormatting sqref="O2156">
    <cfRule type="cellIs" dxfId="844" priority="1149" operator="greaterThanOrEqual">
      <formula>250</formula>
    </cfRule>
  </conditionalFormatting>
  <conditionalFormatting sqref="O2156">
    <cfRule type="cellIs" dxfId="843" priority="1150" operator="greaterThanOrEqual">
      <formula>175</formula>
    </cfRule>
  </conditionalFormatting>
  <conditionalFormatting sqref="P2156">
    <cfRule type="cellIs" dxfId="842" priority="1151" operator="greaterThanOrEqual">
      <formula>2.5</formula>
    </cfRule>
  </conditionalFormatting>
  <conditionalFormatting sqref="Q2156">
    <cfRule type="cellIs" dxfId="841" priority="1152" operator="greaterThanOrEqual">
      <formula>500</formula>
    </cfRule>
  </conditionalFormatting>
  <conditionalFormatting sqref="Q2156">
    <cfRule type="cellIs" dxfId="840" priority="1153" operator="greaterThanOrEqual">
      <formula>300</formula>
    </cfRule>
  </conditionalFormatting>
  <conditionalFormatting sqref="W2156">
    <cfRule type="cellIs" dxfId="839" priority="1154" operator="lessThan">
      <formula>109</formula>
    </cfRule>
  </conditionalFormatting>
  <conditionalFormatting sqref="X2156:AK2156">
    <cfRule type="cellIs" dxfId="838" priority="1137" operator="equal">
      <formula>"管制"</formula>
    </cfRule>
    <cfRule type="cellIs" dxfId="837" priority="1138" operator="equal">
      <formula>"正常"</formula>
    </cfRule>
    <cfRule type="cellIs" dxfId="836" priority="1139" operator="equal">
      <formula>"監測"</formula>
    </cfRule>
  </conditionalFormatting>
  <conditionalFormatting sqref="W1832">
    <cfRule type="cellIs" dxfId="835" priority="6363" operator="lessThan">
      <formula>109</formula>
    </cfRule>
  </conditionalFormatting>
  <conditionalFormatting sqref="P2037:P2039 L2037:L2039">
    <cfRule type="cellIs" dxfId="834" priority="1118" operator="greaterThanOrEqual">
      <formula>5</formula>
    </cfRule>
  </conditionalFormatting>
  <conditionalFormatting sqref="L2037:L2039">
    <cfRule type="cellIs" dxfId="833" priority="1119" operator="greaterThanOrEqual">
      <formula>2</formula>
    </cfRule>
  </conditionalFormatting>
  <conditionalFormatting sqref="M2037:M2039">
    <cfRule type="cellIs" dxfId="832" priority="1120" operator="greaterThanOrEqual">
      <formula>60</formula>
    </cfRule>
  </conditionalFormatting>
  <conditionalFormatting sqref="M2037:M2039">
    <cfRule type="cellIs" dxfId="831" priority="1121" operator="greaterThanOrEqual">
      <formula>30</formula>
    </cfRule>
  </conditionalFormatting>
  <conditionalFormatting sqref="R2037:R2039">
    <cfRule type="cellIs" dxfId="830" priority="1122" operator="greaterThanOrEqual">
      <formula>600</formula>
    </cfRule>
  </conditionalFormatting>
  <conditionalFormatting sqref="R2037:R2039">
    <cfRule type="cellIs" dxfId="829" priority="1123" operator="greaterThanOrEqual">
      <formula>260</formula>
    </cfRule>
  </conditionalFormatting>
  <conditionalFormatting sqref="S2037:S2039 N2037:N2039">
    <cfRule type="cellIs" dxfId="828" priority="1124" operator="greaterThanOrEqual">
      <formula>200</formula>
    </cfRule>
  </conditionalFormatting>
  <conditionalFormatting sqref="S2037:S2039">
    <cfRule type="cellIs" dxfId="827" priority="1125" operator="greaterThanOrEqual">
      <formula>130</formula>
    </cfRule>
  </conditionalFormatting>
  <conditionalFormatting sqref="N2037:N2039">
    <cfRule type="cellIs" dxfId="826" priority="1126" operator="greaterThanOrEqual">
      <formula>120</formula>
    </cfRule>
  </conditionalFormatting>
  <conditionalFormatting sqref="O2037:O2039">
    <cfRule type="cellIs" dxfId="825" priority="1127" operator="greaterThanOrEqual">
      <formula>250</formula>
    </cfRule>
  </conditionalFormatting>
  <conditionalFormatting sqref="O2037:O2039">
    <cfRule type="cellIs" dxfId="824" priority="1128" operator="greaterThanOrEqual">
      <formula>175</formula>
    </cfRule>
  </conditionalFormatting>
  <conditionalFormatting sqref="P2037:P2039">
    <cfRule type="cellIs" dxfId="823" priority="1129" operator="greaterThanOrEqual">
      <formula>2.5</formula>
    </cfRule>
  </conditionalFormatting>
  <conditionalFormatting sqref="Q2037:Q2039">
    <cfRule type="cellIs" dxfId="822" priority="1130" operator="greaterThanOrEqual">
      <formula>500</formula>
    </cfRule>
  </conditionalFormatting>
  <conditionalFormatting sqref="Q2037:Q2039">
    <cfRule type="cellIs" dxfId="821" priority="1131" operator="greaterThanOrEqual">
      <formula>300</formula>
    </cfRule>
  </conditionalFormatting>
  <conditionalFormatting sqref="X2037:AK2039">
    <cfRule type="cellIs" dxfId="820" priority="1115" operator="equal">
      <formula>"管制"</formula>
    </cfRule>
    <cfRule type="cellIs" dxfId="819" priority="1116" operator="equal">
      <formula>"正常"</formula>
    </cfRule>
    <cfRule type="cellIs" dxfId="818" priority="1117" operator="equal">
      <formula>"監測"</formula>
    </cfRule>
  </conditionalFormatting>
  <conditionalFormatting sqref="L2315 P2315">
    <cfRule type="cellIs" dxfId="817" priority="1092" operator="greaterThanOrEqual">
      <formula>5</formula>
    </cfRule>
  </conditionalFormatting>
  <conditionalFormatting sqref="L2315">
    <cfRule type="cellIs" dxfId="816" priority="1093" operator="greaterThanOrEqual">
      <formula>2</formula>
    </cfRule>
  </conditionalFormatting>
  <conditionalFormatting sqref="M2315">
    <cfRule type="cellIs" dxfId="815" priority="1094" operator="greaterThanOrEqual">
      <formula>60</formula>
    </cfRule>
  </conditionalFormatting>
  <conditionalFormatting sqref="M2315">
    <cfRule type="cellIs" dxfId="814" priority="1095" operator="greaterThanOrEqual">
      <formula>30</formula>
    </cfRule>
  </conditionalFormatting>
  <conditionalFormatting sqref="R2315">
    <cfRule type="cellIs" dxfId="813" priority="1096" operator="greaterThanOrEqual">
      <formula>600</formula>
    </cfRule>
  </conditionalFormatting>
  <conditionalFormatting sqref="R2315">
    <cfRule type="cellIs" dxfId="812" priority="1097" operator="greaterThanOrEqual">
      <formula>260</formula>
    </cfRule>
  </conditionalFormatting>
  <conditionalFormatting sqref="N2315 S2315">
    <cfRule type="cellIs" dxfId="811" priority="1098" operator="greaterThanOrEqual">
      <formula>200</formula>
    </cfRule>
  </conditionalFormatting>
  <conditionalFormatting sqref="S2315">
    <cfRule type="cellIs" dxfId="810" priority="1099" operator="greaterThanOrEqual">
      <formula>130</formula>
    </cfRule>
  </conditionalFormatting>
  <conditionalFormatting sqref="N2315">
    <cfRule type="cellIs" dxfId="809" priority="1100" operator="greaterThanOrEqual">
      <formula>120</formula>
    </cfRule>
  </conditionalFormatting>
  <conditionalFormatting sqref="O2315">
    <cfRule type="cellIs" dxfId="808" priority="1101" operator="greaterThanOrEqual">
      <formula>250</formula>
    </cfRule>
  </conditionalFormatting>
  <conditionalFormatting sqref="O2315">
    <cfRule type="cellIs" dxfId="807" priority="1102" operator="greaterThanOrEqual">
      <formula>175</formula>
    </cfRule>
  </conditionalFormatting>
  <conditionalFormatting sqref="P2315">
    <cfRule type="cellIs" dxfId="806" priority="1103" operator="greaterThanOrEqual">
      <formula>2.5</formula>
    </cfRule>
  </conditionalFormatting>
  <conditionalFormatting sqref="Q2315">
    <cfRule type="cellIs" dxfId="805" priority="1104" operator="greaterThanOrEqual">
      <formula>500</formula>
    </cfRule>
  </conditionalFormatting>
  <conditionalFormatting sqref="Q2315">
    <cfRule type="cellIs" dxfId="804" priority="1105" operator="greaterThanOrEqual">
      <formula>300</formula>
    </cfRule>
  </conditionalFormatting>
  <conditionalFormatting sqref="X2315:AK2315">
    <cfRule type="cellIs" dxfId="803" priority="1089" operator="equal">
      <formula>"管制"</formula>
    </cfRule>
    <cfRule type="cellIs" dxfId="802" priority="1090" operator="equal">
      <formula>"正常"</formula>
    </cfRule>
    <cfRule type="cellIs" dxfId="801" priority="1091" operator="equal">
      <formula>"監測"</formula>
    </cfRule>
  </conditionalFormatting>
  <conditionalFormatting sqref="W1821:W1823 W2037:W2039">
    <cfRule type="cellIs" dxfId="800" priority="6364" operator="lessThan">
      <formula>109</formula>
    </cfRule>
  </conditionalFormatting>
  <conditionalFormatting sqref="L2157:L2158 P2157:P2158">
    <cfRule type="cellIs" dxfId="799" priority="1070" operator="greaterThanOrEqual">
      <formula>5</formula>
    </cfRule>
  </conditionalFormatting>
  <conditionalFormatting sqref="L2157:L2158">
    <cfRule type="cellIs" dxfId="798" priority="1071" operator="greaterThanOrEqual">
      <formula>2</formula>
    </cfRule>
  </conditionalFormatting>
  <conditionalFormatting sqref="M2157:M2158">
    <cfRule type="cellIs" dxfId="797" priority="1072" operator="greaterThanOrEqual">
      <formula>60</formula>
    </cfRule>
  </conditionalFormatting>
  <conditionalFormatting sqref="M2157:M2158">
    <cfRule type="cellIs" dxfId="796" priority="1073" operator="greaterThanOrEqual">
      <formula>30</formula>
    </cfRule>
  </conditionalFormatting>
  <conditionalFormatting sqref="R2157:R2158">
    <cfRule type="cellIs" dxfId="795" priority="1074" operator="greaterThanOrEqual">
      <formula>600</formula>
    </cfRule>
  </conditionalFormatting>
  <conditionalFormatting sqref="R2157:R2158">
    <cfRule type="cellIs" dxfId="794" priority="1075" operator="greaterThanOrEqual">
      <formula>260</formula>
    </cfRule>
  </conditionalFormatting>
  <conditionalFormatting sqref="N2157:N2158 S2157:S2158">
    <cfRule type="cellIs" dxfId="793" priority="1076" operator="greaterThanOrEqual">
      <formula>200</formula>
    </cfRule>
  </conditionalFormatting>
  <conditionalFormatting sqref="S2157:S2158">
    <cfRule type="cellIs" dxfId="792" priority="1077" operator="greaterThanOrEqual">
      <formula>130</formula>
    </cfRule>
  </conditionalFormatting>
  <conditionalFormatting sqref="N2157:N2158">
    <cfRule type="cellIs" dxfId="791" priority="1078" operator="greaterThanOrEqual">
      <formula>120</formula>
    </cfRule>
  </conditionalFormatting>
  <conditionalFormatting sqref="O2157:O2158">
    <cfRule type="cellIs" dxfId="790" priority="1079" operator="greaterThanOrEqual">
      <formula>250</formula>
    </cfRule>
  </conditionalFormatting>
  <conditionalFormatting sqref="O2157:O2158">
    <cfRule type="cellIs" dxfId="789" priority="1080" operator="greaterThanOrEqual">
      <formula>175</formula>
    </cfRule>
  </conditionalFormatting>
  <conditionalFormatting sqref="P2157:P2158">
    <cfRule type="cellIs" dxfId="788" priority="1081" operator="greaterThanOrEqual">
      <formula>2.5</formula>
    </cfRule>
  </conditionalFormatting>
  <conditionalFormatting sqref="Q2157:Q2158">
    <cfRule type="cellIs" dxfId="787" priority="1082" operator="greaterThanOrEqual">
      <formula>500</formula>
    </cfRule>
  </conditionalFormatting>
  <conditionalFormatting sqref="Q2157:Q2158">
    <cfRule type="cellIs" dxfId="786" priority="1083" operator="greaterThanOrEqual">
      <formula>300</formula>
    </cfRule>
  </conditionalFormatting>
  <conditionalFormatting sqref="W2157:W2158">
    <cfRule type="cellIs" dxfId="785" priority="1084" operator="lessThan">
      <formula>109</formula>
    </cfRule>
  </conditionalFormatting>
  <conditionalFormatting sqref="X2157:AK2158">
    <cfRule type="cellIs" dxfId="784" priority="1067" operator="equal">
      <formula>"管制"</formula>
    </cfRule>
    <cfRule type="cellIs" dxfId="783" priority="1068" operator="equal">
      <formula>"正常"</formula>
    </cfRule>
    <cfRule type="cellIs" dxfId="782" priority="1069" operator="equal">
      <formula>"監測"</formula>
    </cfRule>
  </conditionalFormatting>
  <conditionalFormatting sqref="P2040:P2041 L2040:L2041">
    <cfRule type="cellIs" dxfId="781" priority="1042" operator="greaterThanOrEqual">
      <formula>5</formula>
    </cfRule>
  </conditionalFormatting>
  <conditionalFormatting sqref="L2040:L2041">
    <cfRule type="cellIs" dxfId="780" priority="1043" operator="greaterThanOrEqual">
      <formula>2</formula>
    </cfRule>
  </conditionalFormatting>
  <conditionalFormatting sqref="M2040:M2041">
    <cfRule type="cellIs" dxfId="779" priority="1044" operator="greaterThanOrEqual">
      <formula>60</formula>
    </cfRule>
  </conditionalFormatting>
  <conditionalFormatting sqref="M2040:M2041">
    <cfRule type="cellIs" dxfId="778" priority="1045" operator="greaterThanOrEqual">
      <formula>30</formula>
    </cfRule>
  </conditionalFormatting>
  <conditionalFormatting sqref="R2040:R2041">
    <cfRule type="cellIs" dxfId="777" priority="1046" operator="greaterThanOrEqual">
      <formula>600</formula>
    </cfRule>
  </conditionalFormatting>
  <conditionalFormatting sqref="R2040:R2041">
    <cfRule type="cellIs" dxfId="776" priority="1047" operator="greaterThanOrEqual">
      <formula>260</formula>
    </cfRule>
  </conditionalFormatting>
  <conditionalFormatting sqref="S2040:S2041 N2040:N2041">
    <cfRule type="cellIs" dxfId="775" priority="1048" operator="greaterThanOrEqual">
      <formula>200</formula>
    </cfRule>
  </conditionalFormatting>
  <conditionalFormatting sqref="S2040:S2041">
    <cfRule type="cellIs" dxfId="774" priority="1049" operator="greaterThanOrEqual">
      <formula>130</formula>
    </cfRule>
  </conditionalFormatting>
  <conditionalFormatting sqref="N2040:N2041">
    <cfRule type="cellIs" dxfId="773" priority="1050" operator="greaterThanOrEqual">
      <formula>120</formula>
    </cfRule>
  </conditionalFormatting>
  <conditionalFormatting sqref="O2040:O2041">
    <cfRule type="cellIs" dxfId="772" priority="1051" operator="greaterThanOrEqual">
      <formula>250</formula>
    </cfRule>
  </conditionalFormatting>
  <conditionalFormatting sqref="O2040:O2041">
    <cfRule type="cellIs" dxfId="771" priority="1052" operator="greaterThanOrEqual">
      <formula>175</formula>
    </cfRule>
  </conditionalFormatting>
  <conditionalFormatting sqref="P2040:P2041">
    <cfRule type="cellIs" dxfId="770" priority="1053" operator="greaterThanOrEqual">
      <formula>2.5</formula>
    </cfRule>
  </conditionalFormatting>
  <conditionalFormatting sqref="Q2040:Q2041">
    <cfRule type="cellIs" dxfId="769" priority="1054" operator="greaterThanOrEqual">
      <formula>500</formula>
    </cfRule>
  </conditionalFormatting>
  <conditionalFormatting sqref="Q2040:Q2041">
    <cfRule type="cellIs" dxfId="768" priority="1055" operator="greaterThanOrEqual">
      <formula>300</formula>
    </cfRule>
  </conditionalFormatting>
  <conditionalFormatting sqref="W2040:W2041">
    <cfRule type="cellIs" dxfId="767" priority="1056" operator="lessThan">
      <formula>109</formula>
    </cfRule>
  </conditionalFormatting>
  <conditionalFormatting sqref="X2040:AK2041">
    <cfRule type="cellIs" dxfId="766" priority="1039" operator="equal">
      <formula>"管制"</formula>
    </cfRule>
    <cfRule type="cellIs" dxfId="765" priority="1040" operator="equal">
      <formula>"正常"</formula>
    </cfRule>
    <cfRule type="cellIs" dxfId="764" priority="1041" operator="equal">
      <formula>"監測"</formula>
    </cfRule>
  </conditionalFormatting>
  <conditionalFormatting sqref="S2028">
    <cfRule type="containsText" dxfId="763" priority="6370" operator="containsText" text="&lt;">
      <formula>NOT(ISERROR(SEARCH(("&lt;"),(S2041))))</formula>
    </cfRule>
  </conditionalFormatting>
  <conditionalFormatting sqref="S2028">
    <cfRule type="containsText" dxfId="762" priority="6371" operator="containsText" text="ND">
      <formula>NOT(ISERROR(SEARCH(("ND"),(S2041))))</formula>
    </cfRule>
  </conditionalFormatting>
  <conditionalFormatting sqref="O2028:Q2028">
    <cfRule type="containsText" dxfId="761" priority="6372" operator="containsText" text="ND">
      <formula>NOT(ISERROR(SEARCH(("ND"),(O2041))))</formula>
    </cfRule>
  </conditionalFormatting>
  <conditionalFormatting sqref="W2028">
    <cfRule type="containsBlanks" dxfId="760" priority="6373">
      <formula>LEN(TRIM(W2041))=0</formula>
    </cfRule>
  </conditionalFormatting>
  <conditionalFormatting sqref="P1825 L1825">
    <cfRule type="cellIs" dxfId="759" priority="1018" operator="greaterThanOrEqual">
      <formula>5</formula>
    </cfRule>
  </conditionalFormatting>
  <conditionalFormatting sqref="L1825">
    <cfRule type="cellIs" dxfId="758" priority="1019" operator="greaterThanOrEqual">
      <formula>2</formula>
    </cfRule>
  </conditionalFormatting>
  <conditionalFormatting sqref="M1825">
    <cfRule type="cellIs" dxfId="757" priority="1020" operator="greaterThanOrEqual">
      <formula>60</formula>
    </cfRule>
  </conditionalFormatting>
  <conditionalFormatting sqref="M1825">
    <cfRule type="cellIs" dxfId="756" priority="1021" operator="greaterThanOrEqual">
      <formula>30</formula>
    </cfRule>
  </conditionalFormatting>
  <conditionalFormatting sqref="R1825">
    <cfRule type="cellIs" dxfId="755" priority="1022" operator="greaterThanOrEqual">
      <formula>600</formula>
    </cfRule>
  </conditionalFormatting>
  <conditionalFormatting sqref="R1825">
    <cfRule type="cellIs" dxfId="754" priority="1023" operator="greaterThanOrEqual">
      <formula>260</formula>
    </cfRule>
  </conditionalFormatting>
  <conditionalFormatting sqref="S1825 N1825">
    <cfRule type="cellIs" dxfId="753" priority="1024" operator="greaterThanOrEqual">
      <formula>200</formula>
    </cfRule>
  </conditionalFormatting>
  <conditionalFormatting sqref="S1825">
    <cfRule type="cellIs" dxfId="752" priority="1025" operator="greaterThanOrEqual">
      <formula>130</formula>
    </cfRule>
  </conditionalFormatting>
  <conditionalFormatting sqref="N1825">
    <cfRule type="cellIs" dxfId="751" priority="1026" operator="greaterThanOrEqual">
      <formula>120</formula>
    </cfRule>
  </conditionalFormatting>
  <conditionalFormatting sqref="O1825">
    <cfRule type="cellIs" dxfId="750" priority="1027" operator="greaterThanOrEqual">
      <formula>250</formula>
    </cfRule>
  </conditionalFormatting>
  <conditionalFormatting sqref="O1825">
    <cfRule type="cellIs" dxfId="749" priority="1028" operator="greaterThanOrEqual">
      <formula>175</formula>
    </cfRule>
  </conditionalFormatting>
  <conditionalFormatting sqref="P1825">
    <cfRule type="cellIs" dxfId="748" priority="1029" operator="greaterThanOrEqual">
      <formula>2.5</formula>
    </cfRule>
  </conditionalFormatting>
  <conditionalFormatting sqref="Q1825">
    <cfRule type="cellIs" dxfId="747" priority="1030" operator="greaterThanOrEqual">
      <formula>500</formula>
    </cfRule>
  </conditionalFormatting>
  <conditionalFormatting sqref="Q1825">
    <cfRule type="cellIs" dxfId="746" priority="1031" operator="greaterThanOrEqual">
      <formula>300</formula>
    </cfRule>
  </conditionalFormatting>
  <conditionalFormatting sqref="W1825">
    <cfRule type="cellIs" dxfId="745" priority="1032" operator="lessThan">
      <formula>109</formula>
    </cfRule>
  </conditionalFormatting>
  <conditionalFormatting sqref="X1825:AI1825">
    <cfRule type="cellIs" dxfId="744" priority="1015" operator="equal">
      <formula>"管制"</formula>
    </cfRule>
    <cfRule type="cellIs" dxfId="743" priority="1016" operator="equal">
      <formula>"正常"</formula>
    </cfRule>
    <cfRule type="cellIs" dxfId="742" priority="1017" operator="equal">
      <formula>"監測"</formula>
    </cfRule>
  </conditionalFormatting>
  <conditionalFormatting sqref="AJ1825:AK1825">
    <cfRule type="cellIs" dxfId="741" priority="1012" operator="equal">
      <formula>"管制"</formula>
    </cfRule>
    <cfRule type="cellIs" dxfId="740" priority="1013" operator="equal">
      <formula>"正常"</formula>
    </cfRule>
    <cfRule type="cellIs" dxfId="739" priority="1014" operator="equal">
      <formula>"監測"</formula>
    </cfRule>
  </conditionalFormatting>
  <conditionalFormatting sqref="L2452:L2453 P2452:P2453">
    <cfRule type="cellIs" dxfId="738" priority="994" operator="greaterThanOrEqual">
      <formula>5</formula>
    </cfRule>
  </conditionalFormatting>
  <conditionalFormatting sqref="L2452:L2453">
    <cfRule type="cellIs" dxfId="737" priority="995" operator="greaterThanOrEqual">
      <formula>2</formula>
    </cfRule>
  </conditionalFormatting>
  <conditionalFormatting sqref="M2452:M2453">
    <cfRule type="cellIs" dxfId="736" priority="996" operator="greaterThanOrEqual">
      <formula>60</formula>
    </cfRule>
  </conditionalFormatting>
  <conditionalFormatting sqref="M2452:M2453">
    <cfRule type="cellIs" dxfId="735" priority="997" operator="greaterThanOrEqual">
      <formula>30</formula>
    </cfRule>
  </conditionalFormatting>
  <conditionalFormatting sqref="R2452:R2453">
    <cfRule type="cellIs" dxfId="734" priority="998" operator="greaterThanOrEqual">
      <formula>600</formula>
    </cfRule>
  </conditionalFormatting>
  <conditionalFormatting sqref="R2452:R2453">
    <cfRule type="cellIs" dxfId="733" priority="999" operator="greaterThanOrEqual">
      <formula>260</formula>
    </cfRule>
  </conditionalFormatting>
  <conditionalFormatting sqref="S2452:S2453">
    <cfRule type="containsText" dxfId="732" priority="1000" operator="containsText" text="&lt;">
      <formula>NOT(ISERROR(SEARCH(("&lt;"),(S2452))))</formula>
    </cfRule>
  </conditionalFormatting>
  <conditionalFormatting sqref="S2452:S2453">
    <cfRule type="containsText" dxfId="731" priority="1001" operator="containsText" text="ND">
      <formula>NOT(ISERROR(SEARCH(("ND"),(S2452))))</formula>
    </cfRule>
  </conditionalFormatting>
  <conditionalFormatting sqref="N2452:N2453 S2452:S2453">
    <cfRule type="cellIs" dxfId="730" priority="1002" operator="greaterThanOrEqual">
      <formula>200</formula>
    </cfRule>
  </conditionalFormatting>
  <conditionalFormatting sqref="S2452:S2453">
    <cfRule type="cellIs" dxfId="729" priority="1003" operator="greaterThanOrEqual">
      <formula>130</formula>
    </cfRule>
  </conditionalFormatting>
  <conditionalFormatting sqref="N2452:N2453">
    <cfRule type="cellIs" dxfId="728" priority="1004" operator="greaterThanOrEqual">
      <formula>120</formula>
    </cfRule>
  </conditionalFormatting>
  <conditionalFormatting sqref="O2452:Q2453">
    <cfRule type="containsText" dxfId="727" priority="1005" operator="containsText" text="ND">
      <formula>NOT(ISERROR(SEARCH(("ND"),(O2452))))</formula>
    </cfRule>
  </conditionalFormatting>
  <conditionalFormatting sqref="O2452:O2453">
    <cfRule type="cellIs" dxfId="726" priority="1006" operator="greaterThanOrEqual">
      <formula>250</formula>
    </cfRule>
  </conditionalFormatting>
  <conditionalFormatting sqref="O2452:O2453">
    <cfRule type="cellIs" dxfId="725" priority="1007" operator="greaterThanOrEqual">
      <formula>175</formula>
    </cfRule>
  </conditionalFormatting>
  <conditionalFormatting sqref="P2452:P2453">
    <cfRule type="cellIs" dxfId="724" priority="1008" operator="greaterThanOrEqual">
      <formula>2.5</formula>
    </cfRule>
  </conditionalFormatting>
  <conditionalFormatting sqref="Q2452:Q2453">
    <cfRule type="cellIs" dxfId="723" priority="1009" operator="greaterThanOrEqual">
      <formula>500</formula>
    </cfRule>
  </conditionalFormatting>
  <conditionalFormatting sqref="Q2452:Q2453">
    <cfRule type="cellIs" dxfId="722" priority="1010" operator="greaterThanOrEqual">
      <formula>300</formula>
    </cfRule>
  </conditionalFormatting>
  <conditionalFormatting sqref="W2452:W2453">
    <cfRule type="containsBlanks" dxfId="721" priority="993">
      <formula>LEN(TRIM(W2452))=0</formula>
    </cfRule>
    <cfRule type="cellIs" dxfId="720" priority="1011" operator="lessThan">
      <formula>109</formula>
    </cfRule>
  </conditionalFormatting>
  <conditionalFormatting sqref="X2453:AK2453 X2452:AI2452">
    <cfRule type="cellIs" dxfId="719" priority="990" operator="equal">
      <formula>"管制"</formula>
    </cfRule>
    <cfRule type="cellIs" dxfId="718" priority="991" operator="equal">
      <formula>"正常"</formula>
    </cfRule>
    <cfRule type="cellIs" dxfId="717" priority="992" operator="equal">
      <formula>"監測"</formula>
    </cfRule>
  </conditionalFormatting>
  <conditionalFormatting sqref="AJ2452:AK2452">
    <cfRule type="cellIs" dxfId="716" priority="987" operator="equal">
      <formula>"管制"</formula>
    </cfRule>
    <cfRule type="cellIs" dxfId="715" priority="988" operator="equal">
      <formula>"正常"</formula>
    </cfRule>
    <cfRule type="cellIs" dxfId="714" priority="989" operator="equal">
      <formula>"監測"</formula>
    </cfRule>
  </conditionalFormatting>
  <conditionalFormatting sqref="L2159 P2159">
    <cfRule type="cellIs" dxfId="713" priority="972" operator="greaterThanOrEqual">
      <formula>5</formula>
    </cfRule>
  </conditionalFormatting>
  <conditionalFormatting sqref="L2159">
    <cfRule type="cellIs" dxfId="712" priority="973" operator="greaterThanOrEqual">
      <formula>2</formula>
    </cfRule>
  </conditionalFormatting>
  <conditionalFormatting sqref="M2159">
    <cfRule type="cellIs" dxfId="711" priority="974" operator="greaterThanOrEqual">
      <formula>60</formula>
    </cfRule>
  </conditionalFormatting>
  <conditionalFormatting sqref="M2159">
    <cfRule type="cellIs" dxfId="710" priority="975" operator="greaterThanOrEqual">
      <formula>30</formula>
    </cfRule>
  </conditionalFormatting>
  <conditionalFormatting sqref="R2159">
    <cfRule type="cellIs" dxfId="709" priority="976" operator="greaterThanOrEqual">
      <formula>600</formula>
    </cfRule>
  </conditionalFormatting>
  <conditionalFormatting sqref="R2159">
    <cfRule type="cellIs" dxfId="708" priority="977" operator="greaterThanOrEqual">
      <formula>260</formula>
    </cfRule>
  </conditionalFormatting>
  <conditionalFormatting sqref="N2159 S2159">
    <cfRule type="cellIs" dxfId="707" priority="978" operator="greaterThanOrEqual">
      <formula>200</formula>
    </cfRule>
  </conditionalFormatting>
  <conditionalFormatting sqref="S2159">
    <cfRule type="cellIs" dxfId="706" priority="979" operator="greaterThanOrEqual">
      <formula>130</formula>
    </cfRule>
  </conditionalFormatting>
  <conditionalFormatting sqref="N2159">
    <cfRule type="cellIs" dxfId="705" priority="980" operator="greaterThanOrEqual">
      <formula>120</formula>
    </cfRule>
  </conditionalFormatting>
  <conditionalFormatting sqref="O2159">
    <cfRule type="cellIs" dxfId="704" priority="981" operator="greaterThanOrEqual">
      <formula>250</formula>
    </cfRule>
  </conditionalFormatting>
  <conditionalFormatting sqref="O2159">
    <cfRule type="cellIs" dxfId="703" priority="982" operator="greaterThanOrEqual">
      <formula>175</formula>
    </cfRule>
  </conditionalFormatting>
  <conditionalFormatting sqref="P2159">
    <cfRule type="cellIs" dxfId="702" priority="983" operator="greaterThanOrEqual">
      <formula>2.5</formula>
    </cfRule>
  </conditionalFormatting>
  <conditionalFormatting sqref="Q2159">
    <cfRule type="cellIs" dxfId="701" priority="984" operator="greaterThanOrEqual">
      <formula>500</formula>
    </cfRule>
  </conditionalFormatting>
  <conditionalFormatting sqref="Q2159">
    <cfRule type="cellIs" dxfId="700" priority="985" operator="greaterThanOrEqual">
      <formula>300</formula>
    </cfRule>
  </conditionalFormatting>
  <conditionalFormatting sqref="W2316">
    <cfRule type="cellIs" dxfId="699" priority="986" operator="lessThan">
      <formula>109</formula>
    </cfRule>
  </conditionalFormatting>
  <conditionalFormatting sqref="X2159:AI2159">
    <cfRule type="cellIs" dxfId="698" priority="969" operator="equal">
      <formula>"管制"</formula>
    </cfRule>
    <cfRule type="cellIs" dxfId="697" priority="970" operator="equal">
      <formula>"正常"</formula>
    </cfRule>
    <cfRule type="cellIs" dxfId="696" priority="971" operator="equal">
      <formula>"監測"</formula>
    </cfRule>
  </conditionalFormatting>
  <conditionalFormatting sqref="AJ2159:AK2159">
    <cfRule type="cellIs" dxfId="695" priority="966" operator="equal">
      <formula>"管制"</formula>
    </cfRule>
    <cfRule type="cellIs" dxfId="694" priority="967" operator="equal">
      <formula>"正常"</formula>
    </cfRule>
    <cfRule type="cellIs" dxfId="693" priority="968" operator="equal">
      <formula>"監測"</formula>
    </cfRule>
  </conditionalFormatting>
  <conditionalFormatting sqref="L2042 P2042">
    <cfRule type="cellIs" dxfId="692" priority="946" operator="greaterThanOrEqual">
      <formula>5</formula>
    </cfRule>
  </conditionalFormatting>
  <conditionalFormatting sqref="L2042">
    <cfRule type="cellIs" dxfId="691" priority="947" operator="greaterThanOrEqual">
      <formula>2</formula>
    </cfRule>
  </conditionalFormatting>
  <conditionalFormatting sqref="M2042">
    <cfRule type="cellIs" dxfId="690" priority="948" operator="greaterThanOrEqual">
      <formula>60</formula>
    </cfRule>
  </conditionalFormatting>
  <conditionalFormatting sqref="M2042">
    <cfRule type="cellIs" dxfId="689" priority="949" operator="greaterThanOrEqual">
      <formula>30</formula>
    </cfRule>
  </conditionalFormatting>
  <conditionalFormatting sqref="R2042">
    <cfRule type="cellIs" dxfId="688" priority="950" operator="greaterThanOrEqual">
      <formula>600</formula>
    </cfRule>
  </conditionalFormatting>
  <conditionalFormatting sqref="R2042">
    <cfRule type="cellIs" dxfId="687" priority="951" operator="greaterThanOrEqual">
      <formula>260</formula>
    </cfRule>
  </conditionalFormatting>
  <conditionalFormatting sqref="N2042 S2042">
    <cfRule type="cellIs" dxfId="686" priority="952" operator="greaterThanOrEqual">
      <formula>200</formula>
    </cfRule>
  </conditionalFormatting>
  <conditionalFormatting sqref="S2042">
    <cfRule type="cellIs" dxfId="685" priority="953" operator="greaterThanOrEqual">
      <formula>130</formula>
    </cfRule>
  </conditionalFormatting>
  <conditionalFormatting sqref="N2042">
    <cfRule type="cellIs" dxfId="684" priority="954" operator="greaterThanOrEqual">
      <formula>120</formula>
    </cfRule>
  </conditionalFormatting>
  <conditionalFormatting sqref="O2042">
    <cfRule type="cellIs" dxfId="683" priority="955" operator="greaterThanOrEqual">
      <formula>250</formula>
    </cfRule>
  </conditionalFormatting>
  <conditionalFormatting sqref="O2042">
    <cfRule type="cellIs" dxfId="682" priority="956" operator="greaterThanOrEqual">
      <formula>175</formula>
    </cfRule>
  </conditionalFormatting>
  <conditionalFormatting sqref="P2042">
    <cfRule type="cellIs" dxfId="681" priority="957" operator="greaterThanOrEqual">
      <formula>2.5</formula>
    </cfRule>
  </conditionalFormatting>
  <conditionalFormatting sqref="Q2042">
    <cfRule type="cellIs" dxfId="680" priority="958" operator="greaterThanOrEqual">
      <formula>500</formula>
    </cfRule>
  </conditionalFormatting>
  <conditionalFormatting sqref="Q2042">
    <cfRule type="cellIs" dxfId="679" priority="959" operator="greaterThanOrEqual">
      <formula>300</formula>
    </cfRule>
  </conditionalFormatting>
  <conditionalFormatting sqref="W2160:W2163">
    <cfRule type="cellIs" dxfId="678" priority="960" operator="lessThan">
      <formula>109</formula>
    </cfRule>
  </conditionalFormatting>
  <conditionalFormatting sqref="X2042:AK2042">
    <cfRule type="cellIs" dxfId="677" priority="942" operator="equal">
      <formula>"管制"</formula>
    </cfRule>
    <cfRule type="cellIs" dxfId="676" priority="943" operator="equal">
      <formula>"正常"</formula>
    </cfRule>
    <cfRule type="cellIs" dxfId="675" priority="944" operator="equal">
      <formula>"監測"</formula>
    </cfRule>
  </conditionalFormatting>
  <conditionalFormatting sqref="L2160:L2161 P2160:P2161">
    <cfRule type="cellIs" dxfId="674" priority="925" operator="greaterThanOrEqual">
      <formula>5</formula>
    </cfRule>
  </conditionalFormatting>
  <conditionalFormatting sqref="L2160:L2161">
    <cfRule type="cellIs" dxfId="673" priority="926" operator="greaterThanOrEqual">
      <formula>2</formula>
    </cfRule>
  </conditionalFormatting>
  <conditionalFormatting sqref="M2160:M2161">
    <cfRule type="cellIs" dxfId="672" priority="927" operator="greaterThanOrEqual">
      <formula>60</formula>
    </cfRule>
  </conditionalFormatting>
  <conditionalFormatting sqref="M2160:M2161">
    <cfRule type="cellIs" dxfId="671" priority="928" operator="greaterThanOrEqual">
      <formula>30</formula>
    </cfRule>
  </conditionalFormatting>
  <conditionalFormatting sqref="R2160:R2161">
    <cfRule type="cellIs" dxfId="670" priority="929" operator="greaterThanOrEqual">
      <formula>600</formula>
    </cfRule>
  </conditionalFormatting>
  <conditionalFormatting sqref="R2160:R2161">
    <cfRule type="cellIs" dxfId="669" priority="930" operator="greaterThanOrEqual">
      <formula>260</formula>
    </cfRule>
  </conditionalFormatting>
  <conditionalFormatting sqref="N2160:N2161 S2160:S2161">
    <cfRule type="cellIs" dxfId="668" priority="931" operator="greaterThanOrEqual">
      <formula>200</formula>
    </cfRule>
  </conditionalFormatting>
  <conditionalFormatting sqref="S2160:S2161">
    <cfRule type="cellIs" dxfId="667" priority="932" operator="greaterThanOrEqual">
      <formula>130</formula>
    </cfRule>
  </conditionalFormatting>
  <conditionalFormatting sqref="N2160:N2161">
    <cfRule type="cellIs" dxfId="666" priority="933" operator="greaterThanOrEqual">
      <formula>120</formula>
    </cfRule>
  </conditionalFormatting>
  <conditionalFormatting sqref="O2160:O2161">
    <cfRule type="cellIs" dxfId="665" priority="934" operator="greaterThanOrEqual">
      <formula>250</formula>
    </cfRule>
  </conditionalFormatting>
  <conditionalFormatting sqref="O2160:O2161">
    <cfRule type="cellIs" dxfId="664" priority="935" operator="greaterThanOrEqual">
      <formula>175</formula>
    </cfRule>
  </conditionalFormatting>
  <conditionalFormatting sqref="P2160:P2161">
    <cfRule type="cellIs" dxfId="663" priority="936" operator="greaterThanOrEqual">
      <formula>2.5</formula>
    </cfRule>
  </conditionalFormatting>
  <conditionalFormatting sqref="Q2160:Q2161">
    <cfRule type="cellIs" dxfId="662" priority="937" operator="greaterThanOrEqual">
      <formula>500</formula>
    </cfRule>
  </conditionalFormatting>
  <conditionalFormatting sqref="Q2160:Q2161">
    <cfRule type="cellIs" dxfId="661" priority="938" operator="greaterThanOrEqual">
      <formula>300</formula>
    </cfRule>
  </conditionalFormatting>
  <conditionalFormatting sqref="X2160:AK2161">
    <cfRule type="cellIs" dxfId="660" priority="922" operator="equal">
      <formula>"管制"</formula>
    </cfRule>
    <cfRule type="cellIs" dxfId="659" priority="923" operator="equal">
      <formula>"正常"</formula>
    </cfRule>
    <cfRule type="cellIs" dxfId="658" priority="924" operator="equal">
      <formula>"監測"</formula>
    </cfRule>
  </conditionalFormatting>
  <conditionalFormatting sqref="P2162:P2163 L2162:L2163">
    <cfRule type="cellIs" dxfId="657" priority="908" operator="greaterThanOrEqual">
      <formula>5</formula>
    </cfRule>
  </conditionalFormatting>
  <conditionalFormatting sqref="L2162:L2163">
    <cfRule type="cellIs" dxfId="656" priority="909" operator="greaterThanOrEqual">
      <formula>2</formula>
    </cfRule>
  </conditionalFormatting>
  <conditionalFormatting sqref="M2162:M2163">
    <cfRule type="cellIs" dxfId="655" priority="910" operator="greaterThanOrEqual">
      <formula>60</formula>
    </cfRule>
  </conditionalFormatting>
  <conditionalFormatting sqref="M2162:M2163">
    <cfRule type="cellIs" dxfId="654" priority="911" operator="greaterThanOrEqual">
      <formula>30</formula>
    </cfRule>
  </conditionalFormatting>
  <conditionalFormatting sqref="R2162:R2163">
    <cfRule type="cellIs" dxfId="653" priority="912" operator="greaterThanOrEqual">
      <formula>600</formula>
    </cfRule>
  </conditionalFormatting>
  <conditionalFormatting sqref="R2162:R2163">
    <cfRule type="cellIs" dxfId="652" priority="913" operator="greaterThanOrEqual">
      <formula>260</formula>
    </cfRule>
  </conditionalFormatting>
  <conditionalFormatting sqref="S2162:S2163 N2162:N2163">
    <cfRule type="cellIs" dxfId="651" priority="914" operator="greaterThanOrEqual">
      <formula>200</formula>
    </cfRule>
  </conditionalFormatting>
  <conditionalFormatting sqref="S2162:S2163">
    <cfRule type="cellIs" dxfId="650" priority="915" operator="greaterThanOrEqual">
      <formula>130</formula>
    </cfRule>
  </conditionalFormatting>
  <conditionalFormatting sqref="N2162:N2163">
    <cfRule type="cellIs" dxfId="649" priority="916" operator="greaterThanOrEqual">
      <formula>120</formula>
    </cfRule>
  </conditionalFormatting>
  <conditionalFormatting sqref="O2162:O2163">
    <cfRule type="cellIs" dxfId="648" priority="917" operator="greaterThanOrEqual">
      <formula>250</formula>
    </cfRule>
  </conditionalFormatting>
  <conditionalFormatting sqref="O2162:O2163">
    <cfRule type="cellIs" dxfId="647" priority="918" operator="greaterThanOrEqual">
      <formula>175</formula>
    </cfRule>
  </conditionalFormatting>
  <conditionalFormatting sqref="P2162:P2163">
    <cfRule type="cellIs" dxfId="646" priority="919" operator="greaterThanOrEqual">
      <formula>2.5</formula>
    </cfRule>
  </conditionalFormatting>
  <conditionalFormatting sqref="Q2162:Q2163">
    <cfRule type="cellIs" dxfId="645" priority="920" operator="greaterThanOrEqual">
      <formula>500</formula>
    </cfRule>
  </conditionalFormatting>
  <conditionalFormatting sqref="Q2162:Q2163">
    <cfRule type="cellIs" dxfId="644" priority="921" operator="greaterThanOrEqual">
      <formula>300</formula>
    </cfRule>
  </conditionalFormatting>
  <conditionalFormatting sqref="X2162:AK2163">
    <cfRule type="cellIs" dxfId="643" priority="905" operator="equal">
      <formula>"管制"</formula>
    </cfRule>
    <cfRule type="cellIs" dxfId="642" priority="906" operator="equal">
      <formula>"正常"</formula>
    </cfRule>
    <cfRule type="cellIs" dxfId="641" priority="907" operator="equal">
      <formula>"監測"</formula>
    </cfRule>
  </conditionalFormatting>
  <conditionalFormatting sqref="W2042 W1826 W1828:W1830 W2323:W2324">
    <cfRule type="cellIs" dxfId="640" priority="6390" operator="lessThan">
      <formula>109</formula>
    </cfRule>
  </conditionalFormatting>
  <conditionalFormatting sqref="P2316 L2316">
    <cfRule type="cellIs" dxfId="639" priority="876" operator="greaterThanOrEqual">
      <formula>5</formula>
    </cfRule>
  </conditionalFormatting>
  <conditionalFormatting sqref="L2316">
    <cfRule type="cellIs" dxfId="638" priority="877" operator="greaterThanOrEqual">
      <formula>2</formula>
    </cfRule>
  </conditionalFormatting>
  <conditionalFormatting sqref="M2316">
    <cfRule type="cellIs" dxfId="637" priority="878" operator="greaterThanOrEqual">
      <formula>60</formula>
    </cfRule>
  </conditionalFormatting>
  <conditionalFormatting sqref="M2316">
    <cfRule type="cellIs" dxfId="636" priority="879" operator="greaterThanOrEqual">
      <formula>30</formula>
    </cfRule>
  </conditionalFormatting>
  <conditionalFormatting sqref="R2316">
    <cfRule type="cellIs" dxfId="635" priority="880" operator="greaterThanOrEqual">
      <formula>600</formula>
    </cfRule>
  </conditionalFormatting>
  <conditionalFormatting sqref="R2316">
    <cfRule type="cellIs" dxfId="634" priority="881" operator="greaterThanOrEqual">
      <formula>260</formula>
    </cfRule>
  </conditionalFormatting>
  <conditionalFormatting sqref="S2316 N2316">
    <cfRule type="cellIs" dxfId="633" priority="882" operator="greaterThanOrEqual">
      <formula>200</formula>
    </cfRule>
  </conditionalFormatting>
  <conditionalFormatting sqref="S2316">
    <cfRule type="cellIs" dxfId="632" priority="883" operator="greaterThanOrEqual">
      <formula>130</formula>
    </cfRule>
  </conditionalFormatting>
  <conditionalFormatting sqref="N2316">
    <cfRule type="cellIs" dxfId="631" priority="884" operator="greaterThanOrEqual">
      <formula>120</formula>
    </cfRule>
  </conditionalFormatting>
  <conditionalFormatting sqref="O2316">
    <cfRule type="cellIs" dxfId="630" priority="885" operator="greaterThanOrEqual">
      <formula>250</formula>
    </cfRule>
  </conditionalFormatting>
  <conditionalFormatting sqref="O2316">
    <cfRule type="cellIs" dxfId="629" priority="886" operator="greaterThanOrEqual">
      <formula>175</formula>
    </cfRule>
  </conditionalFormatting>
  <conditionalFormatting sqref="P2316">
    <cfRule type="cellIs" dxfId="628" priority="887" operator="greaterThanOrEqual">
      <formula>2.5</formula>
    </cfRule>
  </conditionalFormatting>
  <conditionalFormatting sqref="Q2316">
    <cfRule type="cellIs" dxfId="627" priority="888" operator="greaterThanOrEqual">
      <formula>500</formula>
    </cfRule>
  </conditionalFormatting>
  <conditionalFormatting sqref="Q2316">
    <cfRule type="cellIs" dxfId="626" priority="889" operator="greaterThanOrEqual">
      <formula>300</formula>
    </cfRule>
  </conditionalFormatting>
  <conditionalFormatting sqref="X2316:AK2316">
    <cfRule type="cellIs" dxfId="625" priority="873" operator="equal">
      <formula>"管制"</formula>
    </cfRule>
    <cfRule type="cellIs" dxfId="624" priority="874" operator="equal">
      <formula>"正常"</formula>
    </cfRule>
    <cfRule type="cellIs" dxfId="623" priority="875" operator="equal">
      <formula>"監測"</formula>
    </cfRule>
  </conditionalFormatting>
  <conditionalFormatting sqref="P1826 L1826">
    <cfRule type="cellIs" dxfId="622" priority="854" operator="greaterThanOrEqual">
      <formula>5</formula>
    </cfRule>
  </conditionalFormatting>
  <conditionalFormatting sqref="L1826">
    <cfRule type="cellIs" dxfId="621" priority="855" operator="greaterThanOrEqual">
      <formula>2</formula>
    </cfRule>
  </conditionalFormatting>
  <conditionalFormatting sqref="M1826">
    <cfRule type="cellIs" dxfId="620" priority="856" operator="greaterThanOrEqual">
      <formula>60</formula>
    </cfRule>
  </conditionalFormatting>
  <conditionalFormatting sqref="M1826">
    <cfRule type="cellIs" dxfId="619" priority="857" operator="greaterThanOrEqual">
      <formula>30</formula>
    </cfRule>
  </conditionalFormatting>
  <conditionalFormatting sqref="R1826">
    <cfRule type="cellIs" dxfId="618" priority="858" operator="greaterThanOrEqual">
      <formula>600</formula>
    </cfRule>
  </conditionalFormatting>
  <conditionalFormatting sqref="R1826">
    <cfRule type="cellIs" dxfId="617" priority="859" operator="greaterThanOrEqual">
      <formula>260</formula>
    </cfRule>
  </conditionalFormatting>
  <conditionalFormatting sqref="S1826 N1826">
    <cfRule type="cellIs" dxfId="616" priority="860" operator="greaterThanOrEqual">
      <formula>200</formula>
    </cfRule>
  </conditionalFormatting>
  <conditionalFormatting sqref="S1826">
    <cfRule type="cellIs" dxfId="615" priority="861" operator="greaterThanOrEqual">
      <formula>130</formula>
    </cfRule>
  </conditionalFormatting>
  <conditionalFormatting sqref="N1826">
    <cfRule type="cellIs" dxfId="614" priority="862" operator="greaterThanOrEqual">
      <formula>120</formula>
    </cfRule>
  </conditionalFormatting>
  <conditionalFormatting sqref="O1826">
    <cfRule type="cellIs" dxfId="613" priority="863" operator="greaterThanOrEqual">
      <formula>250</formula>
    </cfRule>
  </conditionalFormatting>
  <conditionalFormatting sqref="O1826">
    <cfRule type="cellIs" dxfId="612" priority="864" operator="greaterThanOrEqual">
      <formula>175</formula>
    </cfRule>
  </conditionalFormatting>
  <conditionalFormatting sqref="P1826">
    <cfRule type="cellIs" dxfId="611" priority="865" operator="greaterThanOrEqual">
      <formula>2.5</formula>
    </cfRule>
  </conditionalFormatting>
  <conditionalFormatting sqref="Q1826">
    <cfRule type="cellIs" dxfId="610" priority="866" operator="greaterThanOrEqual">
      <formula>500</formula>
    </cfRule>
  </conditionalFormatting>
  <conditionalFormatting sqref="Q1826">
    <cfRule type="cellIs" dxfId="609" priority="867" operator="greaterThanOrEqual">
      <formula>300</formula>
    </cfRule>
  </conditionalFormatting>
  <conditionalFormatting sqref="W2170">
    <cfRule type="cellIs" dxfId="608" priority="868" operator="lessThan">
      <formula>109</formula>
    </cfRule>
  </conditionalFormatting>
  <conditionalFormatting sqref="X1826:AK1826">
    <cfRule type="cellIs" dxfId="607" priority="850" operator="equal">
      <formula>"管制"</formula>
    </cfRule>
    <cfRule type="cellIs" dxfId="606" priority="851" operator="equal">
      <formula>"正常"</formula>
    </cfRule>
    <cfRule type="cellIs" dxfId="605" priority="852" operator="equal">
      <formula>"監測"</formula>
    </cfRule>
  </conditionalFormatting>
  <conditionalFormatting sqref="L1827 P1827">
    <cfRule type="cellIs" dxfId="604" priority="832" operator="greaterThanOrEqual">
      <formula>5</formula>
    </cfRule>
  </conditionalFormatting>
  <conditionalFormatting sqref="L1827">
    <cfRule type="cellIs" dxfId="603" priority="833" operator="greaterThanOrEqual">
      <formula>2</formula>
    </cfRule>
  </conditionalFormatting>
  <conditionalFormatting sqref="M1827">
    <cfRule type="cellIs" dxfId="602" priority="834" operator="greaterThanOrEqual">
      <formula>60</formula>
    </cfRule>
  </conditionalFormatting>
  <conditionalFormatting sqref="M1827">
    <cfRule type="cellIs" dxfId="601" priority="835" operator="greaterThanOrEqual">
      <formula>30</formula>
    </cfRule>
  </conditionalFormatting>
  <conditionalFormatting sqref="R1827">
    <cfRule type="cellIs" dxfId="600" priority="836" operator="greaterThanOrEqual">
      <formula>600</formula>
    </cfRule>
  </conditionalFormatting>
  <conditionalFormatting sqref="R1827">
    <cfRule type="cellIs" dxfId="599" priority="837" operator="greaterThanOrEqual">
      <formula>260</formula>
    </cfRule>
  </conditionalFormatting>
  <conditionalFormatting sqref="S1827">
    <cfRule type="containsText" dxfId="598" priority="838" operator="containsText" text="&lt;">
      <formula>NOT(ISERROR(SEARCH(("&lt;"),(S1827))))</formula>
    </cfRule>
  </conditionalFormatting>
  <conditionalFormatting sqref="S1827">
    <cfRule type="containsText" dxfId="597" priority="839" operator="containsText" text="ND">
      <formula>NOT(ISERROR(SEARCH(("ND"),(S1827))))</formula>
    </cfRule>
  </conditionalFormatting>
  <conditionalFormatting sqref="S1827 N1827">
    <cfRule type="cellIs" dxfId="596" priority="840" operator="greaterThanOrEqual">
      <formula>200</formula>
    </cfRule>
  </conditionalFormatting>
  <conditionalFormatting sqref="S1827">
    <cfRule type="cellIs" dxfId="595" priority="841" operator="greaterThanOrEqual">
      <formula>130</formula>
    </cfRule>
  </conditionalFormatting>
  <conditionalFormatting sqref="N1827">
    <cfRule type="cellIs" dxfId="594" priority="842" operator="greaterThanOrEqual">
      <formula>120</formula>
    </cfRule>
  </conditionalFormatting>
  <conditionalFormatting sqref="O1827:Q1827">
    <cfRule type="containsText" dxfId="593" priority="843" operator="containsText" text="ND">
      <formula>NOT(ISERROR(SEARCH(("ND"),(O1827))))</formula>
    </cfRule>
  </conditionalFormatting>
  <conditionalFormatting sqref="O1827">
    <cfRule type="cellIs" dxfId="592" priority="844" operator="greaterThanOrEqual">
      <formula>250</formula>
    </cfRule>
  </conditionalFormatting>
  <conditionalFormatting sqref="O1827">
    <cfRule type="cellIs" dxfId="591" priority="845" operator="greaterThanOrEqual">
      <formula>175</formula>
    </cfRule>
  </conditionalFormatting>
  <conditionalFormatting sqref="P1827">
    <cfRule type="cellIs" dxfId="590" priority="846" operator="greaterThanOrEqual">
      <formula>2.5</formula>
    </cfRule>
  </conditionalFormatting>
  <conditionalFormatting sqref="Q1827">
    <cfRule type="cellIs" dxfId="589" priority="847" operator="greaterThanOrEqual">
      <formula>500</formula>
    </cfRule>
  </conditionalFormatting>
  <conditionalFormatting sqref="Q1827">
    <cfRule type="cellIs" dxfId="588" priority="848" operator="greaterThanOrEqual">
      <formula>300</formula>
    </cfRule>
  </conditionalFormatting>
  <conditionalFormatting sqref="W1827">
    <cfRule type="containsBlanks" dxfId="587" priority="831">
      <formula>LEN(TRIM(W1827))=0</formula>
    </cfRule>
    <cfRule type="cellIs" dxfId="586" priority="849" operator="lessThan">
      <formula>109</formula>
    </cfRule>
  </conditionalFormatting>
  <conditionalFormatting sqref="X1827:AK1827">
    <cfRule type="cellIs" dxfId="585" priority="828" operator="equal">
      <formula>"管制"</formula>
    </cfRule>
    <cfRule type="cellIs" dxfId="584" priority="829" operator="equal">
      <formula>"正常"</formula>
    </cfRule>
    <cfRule type="cellIs" dxfId="583" priority="830" operator="equal">
      <formula>"監測"</formula>
    </cfRule>
  </conditionalFormatting>
  <conditionalFormatting sqref="P2167 L2167">
    <cfRule type="cellIs" dxfId="582" priority="814" operator="greaterThanOrEqual">
      <formula>5</formula>
    </cfRule>
  </conditionalFormatting>
  <conditionalFormatting sqref="L2167">
    <cfRule type="cellIs" dxfId="581" priority="815" operator="greaterThanOrEqual">
      <formula>2</formula>
    </cfRule>
  </conditionalFormatting>
  <conditionalFormatting sqref="M2167">
    <cfRule type="cellIs" dxfId="580" priority="816" operator="greaterThanOrEqual">
      <formula>60</formula>
    </cfRule>
  </conditionalFormatting>
  <conditionalFormatting sqref="M2167">
    <cfRule type="cellIs" dxfId="579" priority="817" operator="greaterThanOrEqual">
      <formula>30</formula>
    </cfRule>
  </conditionalFormatting>
  <conditionalFormatting sqref="R2167">
    <cfRule type="cellIs" dxfId="578" priority="818" operator="greaterThanOrEqual">
      <formula>600</formula>
    </cfRule>
  </conditionalFormatting>
  <conditionalFormatting sqref="R2167">
    <cfRule type="cellIs" dxfId="577" priority="819" operator="greaterThanOrEqual">
      <formula>260</formula>
    </cfRule>
  </conditionalFormatting>
  <conditionalFormatting sqref="N2167 S2167">
    <cfRule type="cellIs" dxfId="576" priority="820" operator="greaterThanOrEqual">
      <formula>200</formula>
    </cfRule>
  </conditionalFormatting>
  <conditionalFormatting sqref="S2167">
    <cfRule type="cellIs" dxfId="575" priority="821" operator="greaterThanOrEqual">
      <formula>130</formula>
    </cfRule>
  </conditionalFormatting>
  <conditionalFormatting sqref="N2167">
    <cfRule type="cellIs" dxfId="574" priority="822" operator="greaterThanOrEqual">
      <formula>120</formula>
    </cfRule>
  </conditionalFormatting>
  <conditionalFormatting sqref="O2167">
    <cfRule type="cellIs" dxfId="573" priority="823" operator="greaterThanOrEqual">
      <formula>250</formula>
    </cfRule>
  </conditionalFormatting>
  <conditionalFormatting sqref="O2167">
    <cfRule type="cellIs" dxfId="572" priority="824" operator="greaterThanOrEqual">
      <formula>175</formula>
    </cfRule>
  </conditionalFormatting>
  <conditionalFormatting sqref="P2167">
    <cfRule type="cellIs" dxfId="571" priority="825" operator="greaterThanOrEqual">
      <formula>2.5</formula>
    </cfRule>
  </conditionalFormatting>
  <conditionalFormatting sqref="Q2167">
    <cfRule type="cellIs" dxfId="570" priority="826" operator="greaterThanOrEqual">
      <formula>500</formula>
    </cfRule>
  </conditionalFormatting>
  <conditionalFormatting sqref="Q2167">
    <cfRule type="cellIs" dxfId="569" priority="827" operator="greaterThanOrEqual">
      <formula>300</formula>
    </cfRule>
  </conditionalFormatting>
  <conditionalFormatting sqref="X2167:AI2167">
    <cfRule type="cellIs" dxfId="568" priority="811" operator="equal">
      <formula>"管制"</formula>
    </cfRule>
    <cfRule type="cellIs" dxfId="567" priority="812" operator="equal">
      <formula>"正常"</formula>
    </cfRule>
    <cfRule type="cellIs" dxfId="566" priority="813" operator="equal">
      <formula>"監測"</formula>
    </cfRule>
  </conditionalFormatting>
  <conditionalFormatting sqref="W2167">
    <cfRule type="containsBlanks" dxfId="565" priority="804">
      <formula>LEN(TRIM(W2167))=0</formula>
    </cfRule>
    <cfRule type="cellIs" dxfId="564" priority="805" operator="lessThan">
      <formula>109</formula>
    </cfRule>
  </conditionalFormatting>
  <conditionalFormatting sqref="AJ2167:AK2167">
    <cfRule type="cellIs" dxfId="563" priority="799" operator="equal">
      <formula>"建物"</formula>
    </cfRule>
    <cfRule type="cellIs" dxfId="562" priority="800" operator="equal">
      <formula>"難以採樣"</formula>
    </cfRule>
    <cfRule type="cellIs" dxfId="561" priority="801" operator="equal">
      <formula>"管制"</formula>
    </cfRule>
    <cfRule type="cellIs" dxfId="560" priority="802" operator="equal">
      <formula>"正常"</formula>
    </cfRule>
    <cfRule type="cellIs" dxfId="559" priority="803" operator="equal">
      <formula>"監測"</formula>
    </cfRule>
  </conditionalFormatting>
  <conditionalFormatting sqref="P1828 L1828">
    <cfRule type="cellIs" dxfId="558" priority="775" operator="greaterThanOrEqual">
      <formula>5</formula>
    </cfRule>
  </conditionalFormatting>
  <conditionalFormatting sqref="L1828">
    <cfRule type="cellIs" dxfId="557" priority="776" operator="greaterThanOrEqual">
      <formula>2</formula>
    </cfRule>
  </conditionalFormatting>
  <conditionalFormatting sqref="M1828">
    <cfRule type="cellIs" dxfId="556" priority="777" operator="greaterThanOrEqual">
      <formula>60</formula>
    </cfRule>
  </conditionalFormatting>
  <conditionalFormatting sqref="M1828">
    <cfRule type="cellIs" dxfId="555" priority="778" operator="greaterThanOrEqual">
      <formula>30</formula>
    </cfRule>
  </conditionalFormatting>
  <conditionalFormatting sqref="R1828">
    <cfRule type="cellIs" dxfId="554" priority="779" operator="greaterThanOrEqual">
      <formula>600</formula>
    </cfRule>
  </conditionalFormatting>
  <conditionalFormatting sqref="R1828">
    <cfRule type="cellIs" dxfId="553" priority="780" operator="greaterThanOrEqual">
      <formula>260</formula>
    </cfRule>
  </conditionalFormatting>
  <conditionalFormatting sqref="N1828 S1828">
    <cfRule type="cellIs" dxfId="552" priority="781" operator="greaterThanOrEqual">
      <formula>200</formula>
    </cfRule>
  </conditionalFormatting>
  <conditionalFormatting sqref="S1828">
    <cfRule type="cellIs" dxfId="551" priority="782" operator="greaterThanOrEqual">
      <formula>130</formula>
    </cfRule>
  </conditionalFormatting>
  <conditionalFormatting sqref="N1828">
    <cfRule type="cellIs" dxfId="550" priority="783" operator="greaterThanOrEqual">
      <formula>120</formula>
    </cfRule>
  </conditionalFormatting>
  <conditionalFormatting sqref="O1828">
    <cfRule type="cellIs" dxfId="549" priority="784" operator="greaterThanOrEqual">
      <formula>250</formula>
    </cfRule>
  </conditionalFormatting>
  <conditionalFormatting sqref="O1828">
    <cfRule type="cellIs" dxfId="548" priority="785" operator="greaterThanOrEqual">
      <formula>175</formula>
    </cfRule>
  </conditionalFormatting>
  <conditionalFormatting sqref="P1828">
    <cfRule type="cellIs" dxfId="547" priority="786" operator="greaterThanOrEqual">
      <formula>2.5</formula>
    </cfRule>
  </conditionalFormatting>
  <conditionalFormatting sqref="Q1828">
    <cfRule type="cellIs" dxfId="546" priority="787" operator="greaterThanOrEqual">
      <formula>500</formula>
    </cfRule>
  </conditionalFormatting>
  <conditionalFormatting sqref="Q1828">
    <cfRule type="cellIs" dxfId="545" priority="788" operator="greaterThanOrEqual">
      <formula>300</formula>
    </cfRule>
  </conditionalFormatting>
  <conditionalFormatting sqref="X1828:AK1828">
    <cfRule type="cellIs" dxfId="544" priority="772" operator="equal">
      <formula>"管制"</formula>
    </cfRule>
    <cfRule type="cellIs" dxfId="543" priority="773" operator="equal">
      <formula>"正常"</formula>
    </cfRule>
    <cfRule type="cellIs" dxfId="542" priority="774" operator="equal">
      <formula>"監測"</formula>
    </cfRule>
  </conditionalFormatting>
  <conditionalFormatting sqref="L2317:L2319 P2317:P2319">
    <cfRule type="cellIs" dxfId="541" priority="754" operator="greaterThanOrEqual">
      <formula>5</formula>
    </cfRule>
  </conditionalFormatting>
  <conditionalFormatting sqref="L2317:L2319">
    <cfRule type="cellIs" dxfId="540" priority="755" operator="greaterThanOrEqual">
      <formula>2</formula>
    </cfRule>
  </conditionalFormatting>
  <conditionalFormatting sqref="M2317:M2319">
    <cfRule type="cellIs" dxfId="539" priority="756" operator="greaterThanOrEqual">
      <formula>60</formula>
    </cfRule>
  </conditionalFormatting>
  <conditionalFormatting sqref="M2317:M2319">
    <cfRule type="cellIs" dxfId="538" priority="757" operator="greaterThanOrEqual">
      <formula>30</formula>
    </cfRule>
  </conditionalFormatting>
  <conditionalFormatting sqref="R2317:R2319">
    <cfRule type="cellIs" dxfId="537" priority="758" operator="greaterThanOrEqual">
      <formula>600</formula>
    </cfRule>
  </conditionalFormatting>
  <conditionalFormatting sqref="R2317:R2319">
    <cfRule type="cellIs" dxfId="536" priority="759" operator="greaterThanOrEqual">
      <formula>260</formula>
    </cfRule>
  </conditionalFormatting>
  <conditionalFormatting sqref="S2317:S2319 N2317:N2319">
    <cfRule type="cellIs" dxfId="535" priority="762" operator="greaterThanOrEqual">
      <formula>200</formula>
    </cfRule>
  </conditionalFormatting>
  <conditionalFormatting sqref="S2317:S2319">
    <cfRule type="cellIs" dxfId="534" priority="763" operator="greaterThanOrEqual">
      <formula>130</formula>
    </cfRule>
  </conditionalFormatting>
  <conditionalFormatting sqref="N2317:N2319">
    <cfRule type="cellIs" dxfId="533" priority="764" operator="greaterThanOrEqual">
      <formula>120</formula>
    </cfRule>
  </conditionalFormatting>
  <conditionalFormatting sqref="O2317:O2319">
    <cfRule type="cellIs" dxfId="532" priority="766" operator="greaterThanOrEqual">
      <formula>250</formula>
    </cfRule>
  </conditionalFormatting>
  <conditionalFormatting sqref="O2317:O2319">
    <cfRule type="cellIs" dxfId="531" priority="767" operator="greaterThanOrEqual">
      <formula>175</formula>
    </cfRule>
  </conditionalFormatting>
  <conditionalFormatting sqref="P2317:P2319">
    <cfRule type="cellIs" dxfId="530" priority="768" operator="greaterThanOrEqual">
      <formula>2.5</formula>
    </cfRule>
  </conditionalFormatting>
  <conditionalFormatting sqref="Q2317:Q2319">
    <cfRule type="cellIs" dxfId="529" priority="769" operator="greaterThanOrEqual">
      <formula>500</formula>
    </cfRule>
  </conditionalFormatting>
  <conditionalFormatting sqref="Q2317:Q2319">
    <cfRule type="cellIs" dxfId="528" priority="770" operator="greaterThanOrEqual">
      <formula>300</formula>
    </cfRule>
  </conditionalFormatting>
  <conditionalFormatting sqref="W2317:W2322">
    <cfRule type="cellIs" dxfId="527" priority="771" operator="lessThan">
      <formula>109</formula>
    </cfRule>
  </conditionalFormatting>
  <conditionalFormatting sqref="X2317:AK2319">
    <cfRule type="cellIs" dxfId="526" priority="750" operator="equal">
      <formula>"管制"</formula>
    </cfRule>
    <cfRule type="cellIs" dxfId="525" priority="751" operator="equal">
      <formula>"正常"</formula>
    </cfRule>
    <cfRule type="cellIs" dxfId="524" priority="752" operator="equal">
      <formula>"監測"</formula>
    </cfRule>
  </conditionalFormatting>
  <conditionalFormatting sqref="P2320:P2322 L2320:L2322">
    <cfRule type="cellIs" dxfId="523" priority="736" operator="greaterThanOrEqual">
      <formula>5</formula>
    </cfRule>
  </conditionalFormatting>
  <conditionalFormatting sqref="L2320:L2322">
    <cfRule type="cellIs" dxfId="522" priority="737" operator="greaterThanOrEqual">
      <formula>2</formula>
    </cfRule>
  </conditionalFormatting>
  <conditionalFormatting sqref="M2320:M2322">
    <cfRule type="cellIs" dxfId="521" priority="738" operator="greaterThanOrEqual">
      <formula>60</formula>
    </cfRule>
  </conditionalFormatting>
  <conditionalFormatting sqref="M2320:M2322">
    <cfRule type="cellIs" dxfId="520" priority="739" operator="greaterThanOrEqual">
      <formula>30</formula>
    </cfRule>
  </conditionalFormatting>
  <conditionalFormatting sqref="R2320:R2322">
    <cfRule type="cellIs" dxfId="519" priority="740" operator="greaterThanOrEqual">
      <formula>600</formula>
    </cfRule>
  </conditionalFormatting>
  <conditionalFormatting sqref="R2320:R2322">
    <cfRule type="cellIs" dxfId="518" priority="741" operator="greaterThanOrEqual">
      <formula>260</formula>
    </cfRule>
  </conditionalFormatting>
  <conditionalFormatting sqref="N2320:N2322 S2320:S2322">
    <cfRule type="cellIs" dxfId="517" priority="742" operator="greaterThanOrEqual">
      <formula>200</formula>
    </cfRule>
  </conditionalFormatting>
  <conditionalFormatting sqref="S2320:S2322">
    <cfRule type="cellIs" dxfId="516" priority="743" operator="greaterThanOrEqual">
      <formula>130</formula>
    </cfRule>
  </conditionalFormatting>
  <conditionalFormatting sqref="N2320:N2322">
    <cfRule type="cellIs" dxfId="515" priority="744" operator="greaterThanOrEqual">
      <formula>120</formula>
    </cfRule>
  </conditionalFormatting>
  <conditionalFormatting sqref="O2320:O2322">
    <cfRule type="cellIs" dxfId="514" priority="745" operator="greaterThanOrEqual">
      <formula>250</formula>
    </cfRule>
  </conditionalFormatting>
  <conditionalFormatting sqref="O2320:O2322">
    <cfRule type="cellIs" dxfId="513" priority="746" operator="greaterThanOrEqual">
      <formula>175</formula>
    </cfRule>
  </conditionalFormatting>
  <conditionalFormatting sqref="P2320:P2322">
    <cfRule type="cellIs" dxfId="512" priority="747" operator="greaterThanOrEqual">
      <formula>2.5</formula>
    </cfRule>
  </conditionalFormatting>
  <conditionalFormatting sqref="Q2320:Q2322">
    <cfRule type="cellIs" dxfId="511" priority="748" operator="greaterThanOrEqual">
      <formula>500</formula>
    </cfRule>
  </conditionalFormatting>
  <conditionalFormatting sqref="Q2320:Q2322">
    <cfRule type="cellIs" dxfId="510" priority="749" operator="greaterThanOrEqual">
      <formula>300</formula>
    </cfRule>
  </conditionalFormatting>
  <conditionalFormatting sqref="X2320:AK2321 X2322:AI2322">
    <cfRule type="cellIs" dxfId="509" priority="733" operator="equal">
      <formula>"管制"</formula>
    </cfRule>
    <cfRule type="cellIs" dxfId="508" priority="734" operator="equal">
      <formula>"正常"</formula>
    </cfRule>
    <cfRule type="cellIs" dxfId="507" priority="735" operator="equal">
      <formula>"監測"</formula>
    </cfRule>
  </conditionalFormatting>
  <conditionalFormatting sqref="S2154">
    <cfRule type="containsText" dxfId="506" priority="6401" operator="containsText" text="&lt;">
      <formula>NOT(ISERROR(SEARCH(("&lt;"),(S2318))))</formula>
    </cfRule>
  </conditionalFormatting>
  <conditionalFormatting sqref="S2154">
    <cfRule type="containsText" dxfId="505" priority="6402" operator="containsText" text="ND">
      <formula>NOT(ISERROR(SEARCH(("ND"),(S2318))))</formula>
    </cfRule>
  </conditionalFormatting>
  <conditionalFormatting sqref="O2154:Q2154">
    <cfRule type="containsText" dxfId="504" priority="6403" operator="containsText" text="ND">
      <formula>NOT(ISERROR(SEARCH(("ND"),(O2318))))</formula>
    </cfRule>
  </conditionalFormatting>
  <conditionalFormatting sqref="W2154">
    <cfRule type="containsBlanks" dxfId="503" priority="6404">
      <formula>LEN(TRIM(W2318))=0</formula>
    </cfRule>
  </conditionalFormatting>
  <conditionalFormatting sqref="L2170 P2170">
    <cfRule type="cellIs" dxfId="502" priority="695" operator="greaterThanOrEqual">
      <formula>5</formula>
    </cfRule>
  </conditionalFormatting>
  <conditionalFormatting sqref="L2170">
    <cfRule type="cellIs" dxfId="501" priority="696" operator="greaterThanOrEqual">
      <formula>2</formula>
    </cfRule>
  </conditionalFormatting>
  <conditionalFormatting sqref="M2170">
    <cfRule type="cellIs" dxfId="500" priority="697" operator="greaterThanOrEqual">
      <formula>60</formula>
    </cfRule>
  </conditionalFormatting>
  <conditionalFormatting sqref="M2170">
    <cfRule type="cellIs" dxfId="499" priority="698" operator="greaterThanOrEqual">
      <formula>30</formula>
    </cfRule>
  </conditionalFormatting>
  <conditionalFormatting sqref="R2170">
    <cfRule type="cellIs" dxfId="498" priority="699" operator="greaterThanOrEqual">
      <formula>600</formula>
    </cfRule>
  </conditionalFormatting>
  <conditionalFormatting sqref="R2170">
    <cfRule type="cellIs" dxfId="497" priority="700" operator="greaterThanOrEqual">
      <formula>260</formula>
    </cfRule>
  </conditionalFormatting>
  <conditionalFormatting sqref="S2170 N2170">
    <cfRule type="cellIs" dxfId="496" priority="701" operator="greaterThanOrEqual">
      <formula>200</formula>
    </cfRule>
  </conditionalFormatting>
  <conditionalFormatting sqref="S2170">
    <cfRule type="cellIs" dxfId="495" priority="702" operator="greaterThanOrEqual">
      <formula>130</formula>
    </cfRule>
  </conditionalFormatting>
  <conditionalFormatting sqref="N2170">
    <cfRule type="cellIs" dxfId="494" priority="703" operator="greaterThanOrEqual">
      <formula>120</formula>
    </cfRule>
  </conditionalFormatting>
  <conditionalFormatting sqref="O2170">
    <cfRule type="cellIs" dxfId="493" priority="704" operator="greaterThanOrEqual">
      <formula>250</formula>
    </cfRule>
  </conditionalFormatting>
  <conditionalFormatting sqref="O2170">
    <cfRule type="cellIs" dxfId="492" priority="705" operator="greaterThanOrEqual">
      <formula>175</formula>
    </cfRule>
  </conditionalFormatting>
  <conditionalFormatting sqref="P2170">
    <cfRule type="cellIs" dxfId="491" priority="706" operator="greaterThanOrEqual">
      <formula>2.5</formula>
    </cfRule>
  </conditionalFormatting>
  <conditionalFormatting sqref="Q2170">
    <cfRule type="cellIs" dxfId="490" priority="707" operator="greaterThanOrEqual">
      <formula>500</formula>
    </cfRule>
  </conditionalFormatting>
  <conditionalFormatting sqref="Q2170">
    <cfRule type="cellIs" dxfId="489" priority="708" operator="greaterThanOrEqual">
      <formula>300</formula>
    </cfRule>
  </conditionalFormatting>
  <conditionalFormatting sqref="X2170:AI2170">
    <cfRule type="cellIs" dxfId="488" priority="692" operator="equal">
      <formula>"管制"</formula>
    </cfRule>
    <cfRule type="cellIs" dxfId="487" priority="693" operator="equal">
      <formula>"正常"</formula>
    </cfRule>
    <cfRule type="cellIs" dxfId="486" priority="694" operator="equal">
      <formula>"監測"</formula>
    </cfRule>
  </conditionalFormatting>
  <conditionalFormatting sqref="AJ2170:AK2170">
    <cfRule type="cellIs" dxfId="485" priority="682" operator="equal">
      <formula>"建物"</formula>
    </cfRule>
    <cfRule type="cellIs" dxfId="484" priority="683" operator="equal">
      <formula>"難以採樣"</formula>
    </cfRule>
    <cfRule type="cellIs" dxfId="483" priority="684" operator="equal">
      <formula>"管制"</formula>
    </cfRule>
    <cfRule type="cellIs" dxfId="482" priority="685" operator="equal">
      <formula>"正常"</formula>
    </cfRule>
    <cfRule type="cellIs" dxfId="481" priority="686" operator="equal">
      <formula>"監測"</formula>
    </cfRule>
  </conditionalFormatting>
  <conditionalFormatting sqref="W2043">
    <cfRule type="cellIs" dxfId="480" priority="6406" operator="lessThan">
      <formula>109</formula>
    </cfRule>
  </conditionalFormatting>
  <conditionalFormatting sqref="P2043 L2043">
    <cfRule type="cellIs" dxfId="479" priority="668" operator="greaterThanOrEqual">
      <formula>5</formula>
    </cfRule>
  </conditionalFormatting>
  <conditionalFormatting sqref="L2043">
    <cfRule type="cellIs" dxfId="478" priority="669" operator="greaterThanOrEqual">
      <formula>2</formula>
    </cfRule>
  </conditionalFormatting>
  <conditionalFormatting sqref="M2043">
    <cfRule type="cellIs" dxfId="477" priority="670" operator="greaterThanOrEqual">
      <formula>60</formula>
    </cfRule>
  </conditionalFormatting>
  <conditionalFormatting sqref="M2043">
    <cfRule type="cellIs" dxfId="476" priority="671" operator="greaterThanOrEqual">
      <formula>30</formula>
    </cfRule>
  </conditionalFormatting>
  <conditionalFormatting sqref="R2043">
    <cfRule type="cellIs" dxfId="475" priority="672" operator="greaterThanOrEqual">
      <formula>600</formula>
    </cfRule>
  </conditionalFormatting>
  <conditionalFormatting sqref="R2043">
    <cfRule type="cellIs" dxfId="474" priority="673" operator="greaterThanOrEqual">
      <formula>260</formula>
    </cfRule>
  </conditionalFormatting>
  <conditionalFormatting sqref="N2043 S2043">
    <cfRule type="cellIs" dxfId="473" priority="674" operator="greaterThanOrEqual">
      <formula>200</formula>
    </cfRule>
  </conditionalFormatting>
  <conditionalFormatting sqref="S2043">
    <cfRule type="cellIs" dxfId="472" priority="675" operator="greaterThanOrEqual">
      <formula>130</formula>
    </cfRule>
  </conditionalFormatting>
  <conditionalFormatting sqref="N2043">
    <cfRule type="cellIs" dxfId="471" priority="676" operator="greaterThanOrEqual">
      <formula>120</formula>
    </cfRule>
  </conditionalFormatting>
  <conditionalFormatting sqref="O2043">
    <cfRule type="cellIs" dxfId="470" priority="677" operator="greaterThanOrEqual">
      <formula>250</formula>
    </cfRule>
  </conditionalFormatting>
  <conditionalFormatting sqref="O2043">
    <cfRule type="cellIs" dxfId="469" priority="678" operator="greaterThanOrEqual">
      <formula>175</formula>
    </cfRule>
  </conditionalFormatting>
  <conditionalFormatting sqref="P2043">
    <cfRule type="cellIs" dxfId="468" priority="679" operator="greaterThanOrEqual">
      <formula>2.5</formula>
    </cfRule>
  </conditionalFormatting>
  <conditionalFormatting sqref="Q2043">
    <cfRule type="cellIs" dxfId="467" priority="680" operator="greaterThanOrEqual">
      <formula>500</formula>
    </cfRule>
  </conditionalFormatting>
  <conditionalFormatting sqref="Q2043">
    <cfRule type="cellIs" dxfId="466" priority="681" operator="greaterThanOrEqual">
      <formula>300</formula>
    </cfRule>
  </conditionalFormatting>
  <conditionalFormatting sqref="X2043:AK2043">
    <cfRule type="cellIs" dxfId="465" priority="665" operator="equal">
      <formula>"管制"</formula>
    </cfRule>
    <cfRule type="cellIs" dxfId="464" priority="666" operator="equal">
      <formula>"正常"</formula>
    </cfRule>
    <cfRule type="cellIs" dxfId="463" priority="667" operator="equal">
      <formula>"監測"</formula>
    </cfRule>
  </conditionalFormatting>
  <conditionalFormatting sqref="L1829:L1830 P1829:P1830">
    <cfRule type="cellIs" dxfId="462" priority="648" operator="greaterThanOrEqual">
      <formula>5</formula>
    </cfRule>
  </conditionalFormatting>
  <conditionalFormatting sqref="L1829:L1830">
    <cfRule type="cellIs" dxfId="461" priority="649" operator="greaterThanOrEqual">
      <formula>2</formula>
    </cfRule>
  </conditionalFormatting>
  <conditionalFormatting sqref="M1829:M1830">
    <cfRule type="cellIs" dxfId="460" priority="650" operator="greaterThanOrEqual">
      <formula>60</formula>
    </cfRule>
  </conditionalFormatting>
  <conditionalFormatting sqref="M1829:M1830">
    <cfRule type="cellIs" dxfId="459" priority="651" operator="greaterThanOrEqual">
      <formula>30</formula>
    </cfRule>
  </conditionalFormatting>
  <conditionalFormatting sqref="R1829:R1830">
    <cfRule type="cellIs" dxfId="458" priority="652" operator="greaterThanOrEqual">
      <formula>600</formula>
    </cfRule>
  </conditionalFormatting>
  <conditionalFormatting sqref="R1829:R1830">
    <cfRule type="cellIs" dxfId="457" priority="653" operator="greaterThanOrEqual">
      <formula>260</formula>
    </cfRule>
  </conditionalFormatting>
  <conditionalFormatting sqref="S1829:S1830 N1829:N1830">
    <cfRule type="cellIs" dxfId="456" priority="654" operator="greaterThanOrEqual">
      <formula>200</formula>
    </cfRule>
  </conditionalFormatting>
  <conditionalFormatting sqref="S1829:S1830">
    <cfRule type="cellIs" dxfId="455" priority="655" operator="greaterThanOrEqual">
      <formula>130</formula>
    </cfRule>
  </conditionalFormatting>
  <conditionalFormatting sqref="N1829:N1830">
    <cfRule type="cellIs" dxfId="454" priority="656" operator="greaterThanOrEqual">
      <formula>120</formula>
    </cfRule>
  </conditionalFormatting>
  <conditionalFormatting sqref="O1829:O1830">
    <cfRule type="cellIs" dxfId="453" priority="657" operator="greaterThanOrEqual">
      <formula>250</formula>
    </cfRule>
  </conditionalFormatting>
  <conditionalFormatting sqref="O1829:O1830">
    <cfRule type="cellIs" dxfId="452" priority="658" operator="greaterThanOrEqual">
      <formula>175</formula>
    </cfRule>
  </conditionalFormatting>
  <conditionalFormatting sqref="P1829:P1830">
    <cfRule type="cellIs" dxfId="451" priority="659" operator="greaterThanOrEqual">
      <formula>2.5</formula>
    </cfRule>
  </conditionalFormatting>
  <conditionalFormatting sqref="Q1829:Q1830">
    <cfRule type="cellIs" dxfId="450" priority="660" operator="greaterThanOrEqual">
      <formula>500</formula>
    </cfRule>
  </conditionalFormatting>
  <conditionalFormatting sqref="Q1829:Q1830">
    <cfRule type="cellIs" dxfId="449" priority="661" operator="greaterThanOrEqual">
      <formula>300</formula>
    </cfRule>
  </conditionalFormatting>
  <conditionalFormatting sqref="X1829:AK1830">
    <cfRule type="cellIs" dxfId="448" priority="645" operator="equal">
      <formula>"管制"</formula>
    </cfRule>
    <cfRule type="cellIs" dxfId="447" priority="646" operator="equal">
      <formula>"正常"</formula>
    </cfRule>
    <cfRule type="cellIs" dxfId="446" priority="647" operator="equal">
      <formula>"監測"</formula>
    </cfRule>
  </conditionalFormatting>
  <conditionalFormatting sqref="L2171:L2173 P2171:P2173">
    <cfRule type="cellIs" dxfId="445" priority="630" operator="greaterThanOrEqual">
      <formula>5</formula>
    </cfRule>
  </conditionalFormatting>
  <conditionalFormatting sqref="L2171:L2173">
    <cfRule type="cellIs" dxfId="444" priority="631" operator="greaterThanOrEqual">
      <formula>2</formula>
    </cfRule>
  </conditionalFormatting>
  <conditionalFormatting sqref="M2171:M2173">
    <cfRule type="cellIs" dxfId="443" priority="632" operator="greaterThanOrEqual">
      <formula>60</formula>
    </cfRule>
  </conditionalFormatting>
  <conditionalFormatting sqref="M2171:M2173">
    <cfRule type="cellIs" dxfId="442" priority="633" operator="greaterThanOrEqual">
      <formula>30</formula>
    </cfRule>
  </conditionalFormatting>
  <conditionalFormatting sqref="R2171:R2173">
    <cfRule type="cellIs" dxfId="441" priority="634" operator="greaterThanOrEqual">
      <formula>600</formula>
    </cfRule>
  </conditionalFormatting>
  <conditionalFormatting sqref="R2171:R2173">
    <cfRule type="cellIs" dxfId="440" priority="635" operator="greaterThanOrEqual">
      <formula>260</formula>
    </cfRule>
  </conditionalFormatting>
  <conditionalFormatting sqref="S2171:S2173 N2171:N2173">
    <cfRule type="cellIs" dxfId="439" priority="636" operator="greaterThanOrEqual">
      <formula>200</formula>
    </cfRule>
  </conditionalFormatting>
  <conditionalFormatting sqref="S2171:S2173">
    <cfRule type="cellIs" dxfId="438" priority="637" operator="greaterThanOrEqual">
      <formula>130</formula>
    </cfRule>
  </conditionalFormatting>
  <conditionalFormatting sqref="N2171:N2173">
    <cfRule type="cellIs" dxfId="437" priority="638" operator="greaterThanOrEqual">
      <formula>120</formula>
    </cfRule>
  </conditionalFormatting>
  <conditionalFormatting sqref="O2171:O2173">
    <cfRule type="cellIs" dxfId="436" priority="639" operator="greaterThanOrEqual">
      <formula>250</formula>
    </cfRule>
  </conditionalFormatting>
  <conditionalFormatting sqref="O2171:O2173">
    <cfRule type="cellIs" dxfId="435" priority="640" operator="greaterThanOrEqual">
      <formula>175</formula>
    </cfRule>
  </conditionalFormatting>
  <conditionalFormatting sqref="P2171:P2173">
    <cfRule type="cellIs" dxfId="434" priority="641" operator="greaterThanOrEqual">
      <formula>2.5</formula>
    </cfRule>
  </conditionalFormatting>
  <conditionalFormatting sqref="Q2171:Q2173">
    <cfRule type="cellIs" dxfId="433" priority="642" operator="greaterThanOrEqual">
      <formula>500</formula>
    </cfRule>
  </conditionalFormatting>
  <conditionalFormatting sqref="Q2171:Q2173">
    <cfRule type="cellIs" dxfId="432" priority="643" operator="greaterThanOrEqual">
      <formula>300</formula>
    </cfRule>
  </conditionalFormatting>
  <conditionalFormatting sqref="W2171:W2173">
    <cfRule type="cellIs" dxfId="431" priority="644" operator="lessThan">
      <formula>109</formula>
    </cfRule>
  </conditionalFormatting>
  <conditionalFormatting sqref="X2171:AI2173">
    <cfRule type="cellIs" dxfId="430" priority="627" operator="equal">
      <formula>"管制"</formula>
    </cfRule>
    <cfRule type="cellIs" dxfId="429" priority="628" operator="equal">
      <formula>"正常"</formula>
    </cfRule>
    <cfRule type="cellIs" dxfId="428" priority="629" operator="equal">
      <formula>"監測"</formula>
    </cfRule>
  </conditionalFormatting>
  <conditionalFormatting sqref="S2254:S2255">
    <cfRule type="containsText" dxfId="427" priority="6408" operator="containsText" text="&lt;">
      <formula>NOT(ISERROR(SEARCH(("&lt;"),(S2171))))</formula>
    </cfRule>
  </conditionalFormatting>
  <conditionalFormatting sqref="S2254:S2255">
    <cfRule type="containsText" dxfId="426" priority="6409" operator="containsText" text="ND">
      <formula>NOT(ISERROR(SEARCH(("ND"),(S2171))))</formula>
    </cfRule>
  </conditionalFormatting>
  <conditionalFormatting sqref="O2254:Q2255">
    <cfRule type="containsText" dxfId="425" priority="6410" operator="containsText" text="ND">
      <formula>NOT(ISERROR(SEARCH(("ND"),(O2171))))</formula>
    </cfRule>
  </conditionalFormatting>
  <conditionalFormatting sqref="W2254:W2255">
    <cfRule type="containsBlanks" dxfId="424" priority="6411">
      <formula>LEN(TRIM(W2171))=0</formula>
    </cfRule>
  </conditionalFormatting>
  <conditionalFormatting sqref="S2159">
    <cfRule type="containsText" dxfId="423" priority="6412" operator="containsText" text="&lt;">
      <formula>NOT(ISERROR(SEARCH(("&lt;"),(S2173))))</formula>
    </cfRule>
  </conditionalFormatting>
  <conditionalFormatting sqref="S2159">
    <cfRule type="containsText" dxfId="422" priority="6413" operator="containsText" text="ND">
      <formula>NOT(ISERROR(SEARCH(("ND"),(S2173))))</formula>
    </cfRule>
  </conditionalFormatting>
  <conditionalFormatting sqref="O2159:Q2159">
    <cfRule type="containsText" dxfId="421" priority="6414" operator="containsText" text="ND">
      <formula>NOT(ISERROR(SEARCH(("ND"),(O2173))))</formula>
    </cfRule>
  </conditionalFormatting>
  <conditionalFormatting sqref="W2159">
    <cfRule type="containsBlanks" dxfId="420" priority="6415">
      <formula>LEN(TRIM(W2173))=0</formula>
    </cfRule>
    <cfRule type="cellIs" dxfId="419" priority="6416" operator="lessThan">
      <formula>109</formula>
    </cfRule>
  </conditionalFormatting>
  <conditionalFormatting sqref="AJ2171:AK2172">
    <cfRule type="cellIs" dxfId="418" priority="607" operator="equal">
      <formula>"建物"</formula>
    </cfRule>
    <cfRule type="cellIs" dxfId="417" priority="608" operator="equal">
      <formula>"難以採樣"</formula>
    </cfRule>
    <cfRule type="cellIs" dxfId="416" priority="609" operator="equal">
      <formula>"管制"</formula>
    </cfRule>
    <cfRule type="cellIs" dxfId="415" priority="610" operator="equal">
      <formula>"正常"</formula>
    </cfRule>
    <cfRule type="cellIs" dxfId="414" priority="611" operator="equal">
      <formula>"監測"</formula>
    </cfRule>
  </conditionalFormatting>
  <conditionalFormatting sqref="AJ2173:AK2173">
    <cfRule type="cellIs" dxfId="413" priority="602" operator="equal">
      <formula>"建物"</formula>
    </cfRule>
    <cfRule type="cellIs" dxfId="412" priority="603" operator="equal">
      <formula>"難以採樣"</formula>
    </cfRule>
    <cfRule type="cellIs" dxfId="411" priority="604" operator="equal">
      <formula>"管制"</formula>
    </cfRule>
    <cfRule type="cellIs" dxfId="410" priority="605" operator="equal">
      <formula>"正常"</formula>
    </cfRule>
    <cfRule type="cellIs" dxfId="409" priority="606" operator="equal">
      <formula>"監測"</formula>
    </cfRule>
  </conditionalFormatting>
  <conditionalFormatting sqref="P2323:P2324 L2323:L2324">
    <cfRule type="cellIs" dxfId="408" priority="588" operator="greaterThanOrEqual">
      <formula>5</formula>
    </cfRule>
  </conditionalFormatting>
  <conditionalFormatting sqref="L2323:L2324">
    <cfRule type="cellIs" dxfId="407" priority="589" operator="greaterThanOrEqual">
      <formula>2</formula>
    </cfRule>
  </conditionalFormatting>
  <conditionalFormatting sqref="M2323:M2324">
    <cfRule type="cellIs" dxfId="406" priority="590" operator="greaterThanOrEqual">
      <formula>60</formula>
    </cfRule>
  </conditionalFormatting>
  <conditionalFormatting sqref="M2323:M2324">
    <cfRule type="cellIs" dxfId="405" priority="591" operator="greaterThanOrEqual">
      <formula>30</formula>
    </cfRule>
  </conditionalFormatting>
  <conditionalFormatting sqref="R2323:R2324">
    <cfRule type="cellIs" dxfId="404" priority="592" operator="greaterThanOrEqual">
      <formula>600</formula>
    </cfRule>
  </conditionalFormatting>
  <conditionalFormatting sqref="R2323:R2324">
    <cfRule type="cellIs" dxfId="403" priority="593" operator="greaterThanOrEqual">
      <formula>260</formula>
    </cfRule>
  </conditionalFormatting>
  <conditionalFormatting sqref="N2323:N2324 S2323:S2324">
    <cfRule type="cellIs" dxfId="402" priority="594" operator="greaterThanOrEqual">
      <formula>200</formula>
    </cfRule>
  </conditionalFormatting>
  <conditionalFormatting sqref="S2323:S2324">
    <cfRule type="cellIs" dxfId="401" priority="595" operator="greaterThanOrEqual">
      <formula>130</formula>
    </cfRule>
  </conditionalFormatting>
  <conditionalFormatting sqref="N2323:N2324">
    <cfRule type="cellIs" dxfId="400" priority="596" operator="greaterThanOrEqual">
      <formula>120</formula>
    </cfRule>
  </conditionalFormatting>
  <conditionalFormatting sqref="O2323:O2324">
    <cfRule type="cellIs" dxfId="399" priority="597" operator="greaterThanOrEqual">
      <formula>250</formula>
    </cfRule>
  </conditionalFormatting>
  <conditionalFormatting sqref="O2323:O2324">
    <cfRule type="cellIs" dxfId="398" priority="598" operator="greaterThanOrEqual">
      <formula>175</formula>
    </cfRule>
  </conditionalFormatting>
  <conditionalFormatting sqref="P2323:P2324">
    <cfRule type="cellIs" dxfId="397" priority="599" operator="greaterThanOrEqual">
      <formula>2.5</formula>
    </cfRule>
  </conditionalFormatting>
  <conditionalFormatting sqref="Q2323:Q2324">
    <cfRule type="cellIs" dxfId="396" priority="600" operator="greaterThanOrEqual">
      <formula>500</formula>
    </cfRule>
  </conditionalFormatting>
  <conditionalFormatting sqref="Q2323:Q2324">
    <cfRule type="cellIs" dxfId="395" priority="601" operator="greaterThanOrEqual">
      <formula>300</formula>
    </cfRule>
  </conditionalFormatting>
  <conditionalFormatting sqref="X2323:AI2324">
    <cfRule type="cellIs" dxfId="394" priority="585" operator="equal">
      <formula>"管制"</formula>
    </cfRule>
    <cfRule type="cellIs" dxfId="393" priority="586" operator="equal">
      <formula>"正常"</formula>
    </cfRule>
    <cfRule type="cellIs" dxfId="392" priority="587" operator="equal">
      <formula>"監測"</formula>
    </cfRule>
  </conditionalFormatting>
  <conditionalFormatting sqref="AJ2322:AK2324">
    <cfRule type="cellIs" dxfId="391" priority="574" operator="equal">
      <formula>"管制"</formula>
    </cfRule>
    <cfRule type="cellIs" dxfId="390" priority="575" operator="equal">
      <formula>"正常"</formula>
    </cfRule>
    <cfRule type="cellIs" dxfId="389" priority="576" operator="equal">
      <formula>"監測"</formula>
    </cfRule>
  </conditionalFormatting>
  <conditionalFormatting sqref="P2174 L2174">
    <cfRule type="cellIs" dxfId="388" priority="559" operator="greaterThanOrEqual">
      <formula>5</formula>
    </cfRule>
  </conditionalFormatting>
  <conditionalFormatting sqref="L2174">
    <cfRule type="cellIs" dxfId="387" priority="560" operator="greaterThanOrEqual">
      <formula>2</formula>
    </cfRule>
  </conditionalFormatting>
  <conditionalFormatting sqref="M2174">
    <cfRule type="cellIs" dxfId="386" priority="561" operator="greaterThanOrEqual">
      <formula>60</formula>
    </cfRule>
  </conditionalFormatting>
  <conditionalFormatting sqref="M2174">
    <cfRule type="cellIs" dxfId="385" priority="562" operator="greaterThanOrEqual">
      <formula>30</formula>
    </cfRule>
  </conditionalFormatting>
  <conditionalFormatting sqref="R2174">
    <cfRule type="cellIs" dxfId="384" priority="563" operator="greaterThanOrEqual">
      <formula>600</formula>
    </cfRule>
  </conditionalFormatting>
  <conditionalFormatting sqref="R2174">
    <cfRule type="cellIs" dxfId="383" priority="564" operator="greaterThanOrEqual">
      <formula>260</formula>
    </cfRule>
  </conditionalFormatting>
  <conditionalFormatting sqref="N2174 S2174">
    <cfRule type="cellIs" dxfId="382" priority="565" operator="greaterThanOrEqual">
      <formula>200</formula>
    </cfRule>
  </conditionalFormatting>
  <conditionalFormatting sqref="S2174">
    <cfRule type="cellIs" dxfId="381" priority="566" operator="greaterThanOrEqual">
      <formula>130</formula>
    </cfRule>
  </conditionalFormatting>
  <conditionalFormatting sqref="N2174">
    <cfRule type="cellIs" dxfId="380" priority="567" operator="greaterThanOrEqual">
      <formula>120</formula>
    </cfRule>
  </conditionalFormatting>
  <conditionalFormatting sqref="O2174">
    <cfRule type="cellIs" dxfId="379" priority="568" operator="greaterThanOrEqual">
      <formula>250</formula>
    </cfRule>
  </conditionalFormatting>
  <conditionalFormatting sqref="O2174">
    <cfRule type="cellIs" dxfId="378" priority="569" operator="greaterThanOrEqual">
      <formula>175</formula>
    </cfRule>
  </conditionalFormatting>
  <conditionalFormatting sqref="P2174">
    <cfRule type="cellIs" dxfId="377" priority="570" operator="greaterThanOrEqual">
      <formula>2.5</formula>
    </cfRule>
  </conditionalFormatting>
  <conditionalFormatting sqref="Q2174">
    <cfRule type="cellIs" dxfId="376" priority="571" operator="greaterThanOrEqual">
      <formula>500</formula>
    </cfRule>
  </conditionalFormatting>
  <conditionalFormatting sqref="Q2174">
    <cfRule type="cellIs" dxfId="375" priority="572" operator="greaterThanOrEqual">
      <formula>300</formula>
    </cfRule>
  </conditionalFormatting>
  <conditionalFormatting sqref="W2174">
    <cfRule type="cellIs" dxfId="374" priority="573" operator="lessThan">
      <formula>109</formula>
    </cfRule>
  </conditionalFormatting>
  <conditionalFormatting sqref="X2174:AI2174">
    <cfRule type="cellIs" dxfId="373" priority="556" operator="equal">
      <formula>"管制"</formula>
    </cfRule>
    <cfRule type="cellIs" dxfId="372" priority="557" operator="equal">
      <formula>"正常"</formula>
    </cfRule>
    <cfRule type="cellIs" dxfId="371" priority="558" operator="equal">
      <formula>"監測"</formula>
    </cfRule>
  </conditionalFormatting>
  <conditionalFormatting sqref="AJ2174:AK2174">
    <cfRule type="cellIs" dxfId="370" priority="546" operator="equal">
      <formula>"建物"</formula>
    </cfRule>
    <cfRule type="cellIs" dxfId="369" priority="547" operator="equal">
      <formula>"難以採樣"</formula>
    </cfRule>
    <cfRule type="cellIs" dxfId="368" priority="548" operator="equal">
      <formula>"管制"</formula>
    </cfRule>
    <cfRule type="cellIs" dxfId="367" priority="549" operator="equal">
      <formula>"正常"</formula>
    </cfRule>
    <cfRule type="cellIs" dxfId="366" priority="550" operator="equal">
      <formula>"監測"</formula>
    </cfRule>
  </conditionalFormatting>
  <conditionalFormatting sqref="L2044 P2044">
    <cfRule type="cellIs" dxfId="365" priority="531" operator="greaterThanOrEqual">
      <formula>5</formula>
    </cfRule>
  </conditionalFormatting>
  <conditionalFormatting sqref="L2044">
    <cfRule type="cellIs" dxfId="364" priority="532" operator="greaterThanOrEqual">
      <formula>2</formula>
    </cfRule>
  </conditionalFormatting>
  <conditionalFormatting sqref="M2044">
    <cfRule type="cellIs" dxfId="363" priority="533" operator="greaterThanOrEqual">
      <formula>60</formula>
    </cfRule>
  </conditionalFormatting>
  <conditionalFormatting sqref="M2044">
    <cfRule type="cellIs" dxfId="362" priority="534" operator="greaterThanOrEqual">
      <formula>30</formula>
    </cfRule>
  </conditionalFormatting>
  <conditionalFormatting sqref="R2044">
    <cfRule type="cellIs" dxfId="361" priority="535" operator="greaterThanOrEqual">
      <formula>600</formula>
    </cfRule>
  </conditionalFormatting>
  <conditionalFormatting sqref="R2044">
    <cfRule type="cellIs" dxfId="360" priority="536" operator="greaterThanOrEqual">
      <formula>260</formula>
    </cfRule>
  </conditionalFormatting>
  <conditionalFormatting sqref="S2044 N2044">
    <cfRule type="cellIs" dxfId="359" priority="537" operator="greaterThanOrEqual">
      <formula>200</formula>
    </cfRule>
  </conditionalFormatting>
  <conditionalFormatting sqref="S2044">
    <cfRule type="cellIs" dxfId="358" priority="538" operator="greaterThanOrEqual">
      <formula>130</formula>
    </cfRule>
  </conditionalFormatting>
  <conditionalFormatting sqref="N2044">
    <cfRule type="cellIs" dxfId="357" priority="539" operator="greaterThanOrEqual">
      <formula>120</formula>
    </cfRule>
  </conditionalFormatting>
  <conditionalFormatting sqref="O2044">
    <cfRule type="cellIs" dxfId="356" priority="540" operator="greaterThanOrEqual">
      <formula>250</formula>
    </cfRule>
  </conditionalFormatting>
  <conditionalFormatting sqref="O2044">
    <cfRule type="cellIs" dxfId="355" priority="541" operator="greaterThanOrEqual">
      <formula>175</formula>
    </cfRule>
  </conditionalFormatting>
  <conditionalFormatting sqref="P2044">
    <cfRule type="cellIs" dxfId="354" priority="542" operator="greaterThanOrEqual">
      <formula>2.5</formula>
    </cfRule>
  </conditionalFormatting>
  <conditionalFormatting sqref="Q2044">
    <cfRule type="cellIs" dxfId="353" priority="543" operator="greaterThanOrEqual">
      <formula>500</formula>
    </cfRule>
  </conditionalFormatting>
  <conditionalFormatting sqref="Q2044">
    <cfRule type="cellIs" dxfId="352" priority="544" operator="greaterThanOrEqual">
      <formula>300</formula>
    </cfRule>
  </conditionalFormatting>
  <conditionalFormatting sqref="W2044">
    <cfRule type="cellIs" dxfId="351" priority="545" operator="lessThan">
      <formula>109</formula>
    </cfRule>
  </conditionalFormatting>
  <conditionalFormatting sqref="X2044:AK2044">
    <cfRule type="cellIs" dxfId="350" priority="528" operator="equal">
      <formula>"管制"</formula>
    </cfRule>
    <cfRule type="cellIs" dxfId="349" priority="529" operator="equal">
      <formula>"正常"</formula>
    </cfRule>
    <cfRule type="cellIs" dxfId="348" priority="530" operator="equal">
      <formula>"監測"</formula>
    </cfRule>
  </conditionalFormatting>
  <conditionalFormatting sqref="S2146">
    <cfRule type="containsText" dxfId="347" priority="6423" operator="containsText" text="&lt;">
      <formula>NOT(ISERROR(SEARCH(("&lt;"),(S2044))))</formula>
    </cfRule>
  </conditionalFormatting>
  <conditionalFormatting sqref="S2146">
    <cfRule type="containsText" dxfId="346" priority="6424" operator="containsText" text="ND">
      <formula>NOT(ISERROR(SEARCH(("ND"),(S2044))))</formula>
    </cfRule>
  </conditionalFormatting>
  <conditionalFormatting sqref="O2146:Q2146">
    <cfRule type="containsText" dxfId="345" priority="6425" operator="containsText" text="ND">
      <formula>NOT(ISERROR(SEARCH(("ND"),(O2044))))</formula>
    </cfRule>
  </conditionalFormatting>
  <conditionalFormatting sqref="W2146">
    <cfRule type="containsBlanks" dxfId="344" priority="6426">
      <formula>LEN(TRIM(W2044))=0</formula>
    </cfRule>
  </conditionalFormatting>
  <conditionalFormatting sqref="S2216">
    <cfRule type="containsText" dxfId="343" priority="5093" operator="containsText" text="&lt;">
      <formula>NOT(ISERROR(SEARCH(("&lt;"),(Q2208))))</formula>
    </cfRule>
  </conditionalFormatting>
  <conditionalFormatting sqref="S2216">
    <cfRule type="containsText" dxfId="342" priority="5094" operator="containsText" text="ND">
      <formula>NOT(ISERROR(SEARCH(("ND"),(Q2208))))</formula>
    </cfRule>
  </conditionalFormatting>
  <conditionalFormatting sqref="O2216:Q2216">
    <cfRule type="containsText" dxfId="341" priority="5098" operator="containsText" text="ND">
      <formula>NOT(ISERROR(SEARCH(("ND"),(M2208))))</formula>
    </cfRule>
  </conditionalFormatting>
  <conditionalFormatting sqref="S2308:S2309">
    <cfRule type="containsText" dxfId="340" priority="4875" operator="containsText" text="&lt;">
      <formula>NOT(ISERROR(SEARCH(("&lt;"),(S2230))))</formula>
    </cfRule>
  </conditionalFormatting>
  <conditionalFormatting sqref="S2308:S2309">
    <cfRule type="containsText" dxfId="339" priority="4876" operator="containsText" text="ND">
      <formula>NOT(ISERROR(SEARCH(("ND"),(S2230))))</formula>
    </cfRule>
  </conditionalFormatting>
  <conditionalFormatting sqref="O2308:Q2309">
    <cfRule type="containsText" dxfId="338" priority="4881" operator="containsText" text="ND">
      <formula>NOT(ISERROR(SEARCH(("ND"),(O2230))))</formula>
    </cfRule>
  </conditionalFormatting>
  <conditionalFormatting sqref="S2367">
    <cfRule type="containsText" dxfId="337" priority="4322" operator="containsText" text="&lt;">
      <formula>NOT(ISERROR(SEARCH(("&lt;"),(Q1837))))</formula>
    </cfRule>
  </conditionalFormatting>
  <conditionalFormatting sqref="S2367">
    <cfRule type="containsText" dxfId="336" priority="4323" operator="containsText" text="ND">
      <formula>NOT(ISERROR(SEARCH(("ND"),(Q1837))))</formula>
    </cfRule>
  </conditionalFormatting>
  <conditionalFormatting sqref="O2367:Q2367">
    <cfRule type="containsText" dxfId="335" priority="4324" operator="containsText" text="ND">
      <formula>NOT(ISERROR(SEARCH(("ND"),(M1837))))</formula>
    </cfRule>
  </conditionalFormatting>
  <conditionalFormatting sqref="S2366">
    <cfRule type="containsText" dxfId="334" priority="6306" operator="containsText" text="&lt;">
      <formula>NOT(ISERROR(SEARCH(("&lt;"),(Q1835))))</formula>
    </cfRule>
  </conditionalFormatting>
  <conditionalFormatting sqref="S2366">
    <cfRule type="containsText" dxfId="333" priority="6307" operator="containsText" text="ND">
      <formula>NOT(ISERROR(SEARCH(("ND"),(Q1835))))</formula>
    </cfRule>
  </conditionalFormatting>
  <conditionalFormatting sqref="O2366:Q2366">
    <cfRule type="containsText" dxfId="332" priority="6308" operator="containsText" text="ND">
      <formula>NOT(ISERROR(SEARCH(("ND"),(M1835))))</formula>
    </cfRule>
  </conditionalFormatting>
  <conditionalFormatting sqref="S1903">
    <cfRule type="containsText" dxfId="331" priority="6309" operator="containsText" text="&lt;">
      <formula>NOT(ISERROR(SEARCH(("&lt;"),(Q1834))))</formula>
    </cfRule>
  </conditionalFormatting>
  <conditionalFormatting sqref="S1903">
    <cfRule type="containsText" dxfId="330" priority="6310" operator="containsText" text="ND">
      <formula>NOT(ISERROR(SEARCH(("ND"),(Q1834))))</formula>
    </cfRule>
  </conditionalFormatting>
  <conditionalFormatting sqref="O1903:Q1903">
    <cfRule type="containsText" dxfId="329" priority="6311" operator="containsText" text="ND">
      <formula>NOT(ISERROR(SEARCH(("ND"),(M1834))))</formula>
    </cfRule>
  </conditionalFormatting>
  <conditionalFormatting sqref="S2130">
    <cfRule type="containsText" dxfId="328" priority="2412" operator="containsText" text="&lt;">
      <formula>NOT(ISERROR(SEARCH(("&lt;"),(S2105))))</formula>
    </cfRule>
  </conditionalFormatting>
  <conditionalFormatting sqref="S2130">
    <cfRule type="containsText" dxfId="327" priority="2413" operator="containsText" text="ND">
      <formula>NOT(ISERROR(SEARCH(("ND"),(S2105))))</formula>
    </cfRule>
  </conditionalFormatting>
  <conditionalFormatting sqref="O2130:Q2130">
    <cfRule type="containsText" dxfId="326" priority="2417" operator="containsText" text="ND">
      <formula>NOT(ISERROR(SEARCH(("ND"),(O2105))))</formula>
    </cfRule>
  </conditionalFormatting>
  <conditionalFormatting sqref="S2444:S2445 S2199">
    <cfRule type="containsText" dxfId="325" priority="6313" operator="containsText" text="&lt;">
      <formula>NOT(ISERROR(SEARCH(("&lt;"),(S2099))))</formula>
    </cfRule>
  </conditionalFormatting>
  <conditionalFormatting sqref="S2444:S2445 S2199">
    <cfRule type="containsText" dxfId="324" priority="6314" operator="containsText" text="ND">
      <formula>NOT(ISERROR(SEARCH(("ND"),(S2099))))</formula>
    </cfRule>
  </conditionalFormatting>
  <conditionalFormatting sqref="O2444:Q2445 O2199:Q2199">
    <cfRule type="containsText" dxfId="323" priority="6315" operator="containsText" text="ND">
      <formula>NOT(ISERROR(SEARCH(("ND"),(O2099))))</formula>
    </cfRule>
  </conditionalFormatting>
  <conditionalFormatting sqref="W2444:W2445 W2199">
    <cfRule type="containsBlanks" dxfId="322" priority="6316">
      <formula>LEN(TRIM(W2099))=0</formula>
    </cfRule>
  </conditionalFormatting>
  <conditionalFormatting sqref="S1740">
    <cfRule type="containsText" dxfId="321" priority="6317" operator="containsText" text="&lt;">
      <formula>NOT(ISERROR(SEARCH(("&lt;"),(Q1836))))</formula>
    </cfRule>
  </conditionalFormatting>
  <conditionalFormatting sqref="S1740">
    <cfRule type="containsText" dxfId="320" priority="6318" operator="containsText" text="ND">
      <formula>NOT(ISERROR(SEARCH(("ND"),(Q1836))))</formula>
    </cfRule>
  </conditionalFormatting>
  <conditionalFormatting sqref="O1740:Q1740">
    <cfRule type="containsText" dxfId="319" priority="6319" operator="containsText" text="ND">
      <formula>NOT(ISERROR(SEARCH(("ND"),(M1836))))</formula>
    </cfRule>
  </conditionalFormatting>
  <conditionalFormatting sqref="S2310">
    <cfRule type="containsText" dxfId="318" priority="1752" operator="containsText" text="&lt;">
      <formula>NOT(ISERROR(SEARCH(("&lt;"),(S2235))))</formula>
    </cfRule>
  </conditionalFormatting>
  <conditionalFormatting sqref="S2310">
    <cfRule type="containsText" dxfId="317" priority="1753" operator="containsText" text="ND">
      <formula>NOT(ISERROR(SEARCH(("ND"),(S2235))))</formula>
    </cfRule>
  </conditionalFormatting>
  <conditionalFormatting sqref="O2310:Q2310">
    <cfRule type="containsText" dxfId="316" priority="1757" operator="containsText" text="ND">
      <formula>NOT(ISERROR(SEARCH(("ND"),(O2235))))</formula>
    </cfRule>
  </conditionalFormatting>
  <conditionalFormatting sqref="W2312:W2313">
    <cfRule type="containsBlanks" dxfId="315" priority="1745">
      <formula>LEN(TRIM(W2243))=0</formula>
    </cfRule>
  </conditionalFormatting>
  <conditionalFormatting sqref="W2308:W2309">
    <cfRule type="containsBlanks" dxfId="314" priority="6324">
      <formula>LEN(TRIM(W2230))=0</formula>
    </cfRule>
  </conditionalFormatting>
  <conditionalFormatting sqref="S2306:S2307">
    <cfRule type="containsText" dxfId="313" priority="6326" operator="containsText" text="&lt;">
      <formula>NOT(ISERROR(SEARCH(("&lt;"),(S2222))))</formula>
    </cfRule>
  </conditionalFormatting>
  <conditionalFormatting sqref="S2306:S2307">
    <cfRule type="containsText" dxfId="312" priority="6327" operator="containsText" text="ND">
      <formula>NOT(ISERROR(SEARCH(("ND"),(S2222))))</formula>
    </cfRule>
  </conditionalFormatting>
  <conditionalFormatting sqref="O2306:Q2307">
    <cfRule type="containsText" dxfId="311" priority="6328" operator="containsText" text="ND">
      <formula>NOT(ISERROR(SEARCH(("ND"),(O2222))))</formula>
    </cfRule>
  </conditionalFormatting>
  <conditionalFormatting sqref="W2306:W2307">
    <cfRule type="containsBlanks" dxfId="310" priority="6329">
      <formula>LEN(TRIM(W2222))=0</formula>
    </cfRule>
  </conditionalFormatting>
  <conditionalFormatting sqref="S2305">
    <cfRule type="containsText" dxfId="309" priority="6331" operator="containsText" text="&lt;">
      <formula>NOT(ISERROR(SEARCH(("&lt;"),(S2220))))</formula>
    </cfRule>
  </conditionalFormatting>
  <conditionalFormatting sqref="S2305">
    <cfRule type="containsText" dxfId="308" priority="6332" operator="containsText" text="ND">
      <formula>NOT(ISERROR(SEARCH(("ND"),(S2220))))</formula>
    </cfRule>
  </conditionalFormatting>
  <conditionalFormatting sqref="O2305:Q2305">
    <cfRule type="containsText" dxfId="307" priority="6333" operator="containsText" text="ND">
      <formula>NOT(ISERROR(SEARCH(("ND"),(O2220))))</formula>
    </cfRule>
  </conditionalFormatting>
  <conditionalFormatting sqref="W2305">
    <cfRule type="containsBlanks" dxfId="306" priority="6334">
      <formula>LEN(TRIM(W2220))=0</formula>
    </cfRule>
  </conditionalFormatting>
  <conditionalFormatting sqref="W2310">
    <cfRule type="containsBlanks" dxfId="305" priority="1646">
      <formula>LEN(TRIM(W2235))=0</formula>
    </cfRule>
  </conditionalFormatting>
  <conditionalFormatting sqref="S2316">
    <cfRule type="containsText" dxfId="304" priority="6336" operator="containsText" text="&lt;">
      <formula>NOT(ISERROR(SEARCH(("&lt;"),(S2296))))</formula>
    </cfRule>
  </conditionalFormatting>
  <conditionalFormatting sqref="S2316">
    <cfRule type="containsText" dxfId="303" priority="6337" operator="containsText" text="ND">
      <formula>NOT(ISERROR(SEARCH(("ND"),(S2296))))</formula>
    </cfRule>
  </conditionalFormatting>
  <conditionalFormatting sqref="O2316:Q2316">
    <cfRule type="containsText" dxfId="302" priority="6338" operator="containsText" text="ND">
      <formula>NOT(ISERROR(SEARCH(("ND"),(O2296))))</formula>
    </cfRule>
  </conditionalFormatting>
  <conditionalFormatting sqref="W2316">
    <cfRule type="containsBlanks" dxfId="301" priority="1618">
      <formula>LEN(TRIM(W2296))=0</formula>
    </cfRule>
  </conditionalFormatting>
  <conditionalFormatting sqref="S2312:S2313">
    <cfRule type="containsText" dxfId="300" priority="6339" operator="containsText" text="&lt;">
      <formula>NOT(ISERROR(SEARCH(("&lt;"),(S2243))))</formula>
    </cfRule>
  </conditionalFormatting>
  <conditionalFormatting sqref="S2312:S2313">
    <cfRule type="containsText" dxfId="299" priority="6340" operator="containsText" text="ND">
      <formula>NOT(ISERROR(SEARCH(("ND"),(S2243))))</formula>
    </cfRule>
  </conditionalFormatting>
  <conditionalFormatting sqref="O2312:Q2313">
    <cfRule type="containsText" dxfId="298" priority="6341" operator="containsText" text="ND">
      <formula>NOT(ISERROR(SEARCH(("ND"),(O2243))))</formula>
    </cfRule>
  </conditionalFormatting>
  <conditionalFormatting sqref="S2311">
    <cfRule type="containsText" dxfId="297" priority="6342" operator="containsText" text="&lt;">
      <formula>NOT(ISERROR(SEARCH(("&lt;"),(S2239))))</formula>
    </cfRule>
  </conditionalFormatting>
  <conditionalFormatting sqref="S2311">
    <cfRule type="containsText" dxfId="296" priority="6343" operator="containsText" text="ND">
      <formula>NOT(ISERROR(SEARCH(("ND"),(S2239))))</formula>
    </cfRule>
  </conditionalFormatting>
  <conditionalFormatting sqref="O2311:Q2311">
    <cfRule type="containsText" dxfId="295" priority="6344" operator="containsText" text="ND">
      <formula>NOT(ISERROR(SEARCH(("ND"),(O2239))))</formula>
    </cfRule>
  </conditionalFormatting>
  <conditionalFormatting sqref="W2311">
    <cfRule type="containsBlanks" dxfId="294" priority="6345">
      <formula>LEN(TRIM(W2239))=0</formula>
    </cfRule>
  </conditionalFormatting>
  <conditionalFormatting sqref="W2315">
    <cfRule type="containsBlanks" dxfId="293" priority="6347">
      <formula>LEN(TRIM(W2276))=0</formula>
    </cfRule>
  </conditionalFormatting>
  <conditionalFormatting sqref="S2314">
    <cfRule type="containsText" dxfId="292" priority="6348" operator="containsText" text="&lt;">
      <formula>NOT(ISERROR(SEARCH(("&lt;"),(S2247))))</formula>
    </cfRule>
  </conditionalFormatting>
  <conditionalFormatting sqref="S2314">
    <cfRule type="containsText" dxfId="291" priority="6349" operator="containsText" text="ND">
      <formula>NOT(ISERROR(SEARCH(("ND"),(S2247))))</formula>
    </cfRule>
  </conditionalFormatting>
  <conditionalFormatting sqref="O2314:Q2314">
    <cfRule type="containsText" dxfId="290" priority="6350" operator="containsText" text="ND">
      <formula>NOT(ISERROR(SEARCH(("ND"),(O2247))))</formula>
    </cfRule>
  </conditionalFormatting>
  <conditionalFormatting sqref="W2149:W2150">
    <cfRule type="containsBlanks" dxfId="289" priority="6351">
      <formula>LEN(TRIM(W2114))=0</formula>
    </cfRule>
  </conditionalFormatting>
  <conditionalFormatting sqref="W2314">
    <cfRule type="containsBlanks" dxfId="288" priority="1366">
      <formula>LEN(TRIM(W2247))=0</formula>
    </cfRule>
  </conditionalFormatting>
  <conditionalFormatting sqref="W2157:W2158">
    <cfRule type="containsBlanks" dxfId="287" priority="6352">
      <formula>LEN(TRIM(W2141))=0</formula>
    </cfRule>
  </conditionalFormatting>
  <conditionalFormatting sqref="S1824">
    <cfRule type="containsText" dxfId="286" priority="1270" operator="containsText" text="&lt;">
      <formula>NOT(ISERROR(SEARCH(("&lt;"),(S1835))))</formula>
    </cfRule>
  </conditionalFormatting>
  <conditionalFormatting sqref="S1824">
    <cfRule type="containsText" dxfId="285" priority="1271" operator="containsText" text="ND">
      <formula>NOT(ISERROR(SEARCH(("ND"),(S1835))))</formula>
    </cfRule>
  </conditionalFormatting>
  <conditionalFormatting sqref="O1824:Q1824">
    <cfRule type="containsText" dxfId="284" priority="1275" operator="containsText" text="ND">
      <formula>NOT(ISERROR(SEARCH(("ND"),(O1835))))</formula>
    </cfRule>
  </conditionalFormatting>
  <conditionalFormatting sqref="W1824">
    <cfRule type="containsBlanks" dxfId="283" priority="1263">
      <formula>LEN(TRIM(W1835))=0</formula>
    </cfRule>
  </conditionalFormatting>
  <conditionalFormatting sqref="S2315">
    <cfRule type="containsText" dxfId="282" priority="6353" operator="containsText" text="&lt;">
      <formula>NOT(ISERROR(SEARCH(("&lt;"),(S2276))))</formula>
    </cfRule>
  </conditionalFormatting>
  <conditionalFormatting sqref="S2315">
    <cfRule type="containsText" dxfId="281" priority="6354" operator="containsText" text="ND">
      <formula>NOT(ISERROR(SEARCH(("ND"),(S2276))))</formula>
    </cfRule>
  </conditionalFormatting>
  <conditionalFormatting sqref="O2315:Q2315">
    <cfRule type="containsText" dxfId="280" priority="6355" operator="containsText" text="ND">
      <formula>NOT(ISERROR(SEARCH(("ND"),(O2276))))</formula>
    </cfRule>
  </conditionalFormatting>
  <conditionalFormatting sqref="S2149:S2150">
    <cfRule type="containsText" dxfId="279" priority="6356" operator="containsText" text="&lt;">
      <formula>NOT(ISERROR(SEARCH(("&lt;"),(S2114))))</formula>
    </cfRule>
  </conditionalFormatting>
  <conditionalFormatting sqref="S2149:S2150">
    <cfRule type="containsText" dxfId="278" priority="6357" operator="containsText" text="ND">
      <formula>NOT(ISERROR(SEARCH(("ND"),(S2114))))</formula>
    </cfRule>
  </conditionalFormatting>
  <conditionalFormatting sqref="O2149:Q2150">
    <cfRule type="containsText" dxfId="277" priority="6358" operator="containsText" text="ND">
      <formula>NOT(ISERROR(SEARCH(("ND"),(O2114))))</formula>
    </cfRule>
  </conditionalFormatting>
  <conditionalFormatting sqref="S2160:S2163">
    <cfRule type="containsText" dxfId="276" priority="6360" operator="containsText" text="&lt;">
      <formula>NOT(ISERROR(SEARCH(("&lt;"),(S2151))))</formula>
    </cfRule>
  </conditionalFormatting>
  <conditionalFormatting sqref="S2160:S2163">
    <cfRule type="containsText" dxfId="275" priority="6361" operator="containsText" text="ND">
      <formula>NOT(ISERROR(SEARCH(("ND"),(S2151))))</formula>
    </cfRule>
  </conditionalFormatting>
  <conditionalFormatting sqref="O2160:Q2163">
    <cfRule type="containsText" dxfId="274" priority="6362" operator="containsText" text="ND">
      <formula>NOT(ISERROR(SEARCH(("ND"),(O2151))))</formula>
    </cfRule>
  </conditionalFormatting>
  <conditionalFormatting sqref="S2157:S2158">
    <cfRule type="containsText" dxfId="273" priority="6365" operator="containsText" text="&lt;">
      <formula>NOT(ISERROR(SEARCH(("&lt;"),(S2141))))</formula>
    </cfRule>
  </conditionalFormatting>
  <conditionalFormatting sqref="S2157:S2158">
    <cfRule type="containsText" dxfId="272" priority="6366" operator="containsText" text="ND">
      <formula>NOT(ISERROR(SEARCH(("ND"),(S2141))))</formula>
    </cfRule>
  </conditionalFormatting>
  <conditionalFormatting sqref="O2157:Q2158">
    <cfRule type="containsText" dxfId="271" priority="6367" operator="containsText" text="ND">
      <formula>NOT(ISERROR(SEARCH(("ND"),(O2141))))</formula>
    </cfRule>
  </conditionalFormatting>
  <conditionalFormatting sqref="W2043 W1831">
    <cfRule type="containsBlanks" dxfId="270" priority="6368">
      <formula>LEN(TRIM(W1838))=0</formula>
    </cfRule>
  </conditionalFormatting>
  <conditionalFormatting sqref="W2171:W2173">
    <cfRule type="containsBlanks" dxfId="269" priority="6369">
      <formula>LEN(TRIM(W2171))=0</formula>
    </cfRule>
  </conditionalFormatting>
  <conditionalFormatting sqref="W2323:W2324 W2174 W1832 W1828:W1830 W1812:W1819 W1821:W1823 W1825:W1826">
    <cfRule type="containsBlanks" dxfId="268" priority="6374">
      <formula>LEN(TRIM(W1815))=0</formula>
    </cfRule>
  </conditionalFormatting>
  <conditionalFormatting sqref="W2160:W2163">
    <cfRule type="containsBlanks" dxfId="267" priority="945">
      <formula>LEN(TRIM(W2151))=0</formula>
    </cfRule>
  </conditionalFormatting>
  <conditionalFormatting sqref="S2144">
    <cfRule type="containsText" dxfId="266" priority="6375" operator="containsText" text="&lt;">
      <formula>NOT(ISERROR(SEARCH(("&lt;"),(S2102))))</formula>
    </cfRule>
  </conditionalFormatting>
  <conditionalFormatting sqref="S2144">
    <cfRule type="containsText" dxfId="265" priority="6376" operator="containsText" text="ND">
      <formula>NOT(ISERROR(SEARCH(("ND"),(S2102))))</formula>
    </cfRule>
  </conditionalFormatting>
  <conditionalFormatting sqref="O2144:Q2144">
    <cfRule type="containsText" dxfId="264" priority="6377" operator="containsText" text="ND">
      <formula>NOT(ISERROR(SEARCH(("ND"),(O2102))))</formula>
    </cfRule>
  </conditionalFormatting>
  <conditionalFormatting sqref="W2144">
    <cfRule type="containsBlanks" dxfId="263" priority="6378">
      <formula>LEN(TRIM(W2102))=0</formula>
    </cfRule>
  </conditionalFormatting>
  <conditionalFormatting sqref="W2156">
    <cfRule type="containsBlanks" dxfId="262" priority="6379">
      <formula>LEN(TRIM(W2135))=0</formula>
    </cfRule>
  </conditionalFormatting>
  <conditionalFormatting sqref="S2156">
    <cfRule type="containsText" dxfId="261" priority="6380" operator="containsText" text="&lt;">
      <formula>NOT(ISERROR(SEARCH(("&lt;"),(S2135))))</formula>
    </cfRule>
  </conditionalFormatting>
  <conditionalFormatting sqref="S2156">
    <cfRule type="containsText" dxfId="260" priority="6381" operator="containsText" text="ND">
      <formula>NOT(ISERROR(SEARCH(("ND"),(S2135))))</formula>
    </cfRule>
  </conditionalFormatting>
  <conditionalFormatting sqref="O2156:Q2156">
    <cfRule type="containsText" dxfId="259" priority="6382" operator="containsText" text="ND">
      <formula>NOT(ISERROR(SEARCH(("ND"),(O2135))))</formula>
    </cfRule>
  </conditionalFormatting>
  <conditionalFormatting sqref="W2155">
    <cfRule type="containsBlanks" dxfId="258" priority="6383">
      <formula>LEN(TRIM(W2132))=0</formula>
    </cfRule>
  </conditionalFormatting>
  <conditionalFormatting sqref="S2155">
    <cfRule type="containsText" dxfId="257" priority="6384" operator="containsText" text="&lt;">
      <formula>NOT(ISERROR(SEARCH(("&lt;"),(S2132))))</formula>
    </cfRule>
  </conditionalFormatting>
  <conditionalFormatting sqref="S2155">
    <cfRule type="containsText" dxfId="256" priority="6385" operator="containsText" text="ND">
      <formula>NOT(ISERROR(SEARCH(("ND"),(S2132))))</formula>
    </cfRule>
  </conditionalFormatting>
  <conditionalFormatting sqref="O2155:Q2155">
    <cfRule type="containsText" dxfId="255" priority="6386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54" priority="6387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53" priority="6388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52" priority="6389" operator="containsText" text="ND">
      <formula>NOT(ISERROR(SEARCH(("ND"),(O1815))))</formula>
    </cfRule>
  </conditionalFormatting>
  <conditionalFormatting sqref="W2036">
    <cfRule type="containsBlanks" dxfId="251" priority="6391">
      <formula>LEN(TRIM(W2034))=0</formula>
    </cfRule>
  </conditionalFormatting>
  <conditionalFormatting sqref="S2167">
    <cfRule type="containsText" dxfId="250" priority="6392" operator="containsText" text="&lt;">
      <formula>NOT(ISERROR(SEARCH(("&lt;"),(S2161))))</formula>
    </cfRule>
  </conditionalFormatting>
  <conditionalFormatting sqref="S2167">
    <cfRule type="containsText" dxfId="249" priority="6393" operator="containsText" text="ND">
      <formula>NOT(ISERROR(SEARCH(("ND"),(S2161))))</formula>
    </cfRule>
  </conditionalFormatting>
  <conditionalFormatting sqref="O2167:Q2167">
    <cfRule type="containsText" dxfId="248" priority="6394" operator="containsText" text="ND">
      <formula>NOT(ISERROR(SEARCH(("ND"),(O2161))))</formula>
    </cfRule>
  </conditionalFormatting>
  <conditionalFormatting sqref="W2170">
    <cfRule type="containsBlanks" dxfId="247" priority="853">
      <formula>LEN(TRIM(W2167))=0</formula>
    </cfRule>
  </conditionalFormatting>
  <conditionalFormatting sqref="S2170">
    <cfRule type="containsText" dxfId="246" priority="6395" operator="containsText" text="&lt;">
      <formula>NOT(ISERROR(SEARCH(("&lt;"),(S2167))))</formula>
    </cfRule>
  </conditionalFormatting>
  <conditionalFormatting sqref="S2170">
    <cfRule type="containsText" dxfId="245" priority="6396" operator="containsText" text="ND">
      <formula>NOT(ISERROR(SEARCH(("ND"),(S2167))))</formula>
    </cfRule>
  </conditionalFormatting>
  <conditionalFormatting sqref="O2170:Q2170">
    <cfRule type="containsText" dxfId="244" priority="6397" operator="containsText" text="ND">
      <formula>NOT(ISERROR(SEARCH(("ND"),(O2167))))</formula>
    </cfRule>
  </conditionalFormatting>
  <conditionalFormatting sqref="S2171:S2173">
    <cfRule type="containsText" dxfId="243" priority="6398" operator="containsText" text="&lt;">
      <formula>NOT(ISERROR(SEARCH(("&lt;"),(S2171))))</formula>
    </cfRule>
  </conditionalFormatting>
  <conditionalFormatting sqref="S2171:S2173">
    <cfRule type="containsText" dxfId="242" priority="6399" operator="containsText" text="ND">
      <formula>NOT(ISERROR(SEARCH(("ND"),(S2171))))</formula>
    </cfRule>
  </conditionalFormatting>
  <conditionalFormatting sqref="O2171:Q2173">
    <cfRule type="containsText" dxfId="241" priority="6400" operator="containsText" text="ND">
      <formula>NOT(ISERROR(SEARCH(("ND"),(O2171))))</formula>
    </cfRule>
  </conditionalFormatting>
  <conditionalFormatting sqref="S2317:S2322">
    <cfRule type="containsText" dxfId="240" priority="760" operator="containsText" text="&lt;">
      <formula>NOT(ISERROR(SEARCH(("&lt;"),(S2303))))</formula>
    </cfRule>
  </conditionalFormatting>
  <conditionalFormatting sqref="S2317:S2322">
    <cfRule type="containsText" dxfId="239" priority="761" operator="containsText" text="ND">
      <formula>NOT(ISERROR(SEARCH(("ND"),(S2303))))</formula>
    </cfRule>
  </conditionalFormatting>
  <conditionalFormatting sqref="O2317:Q2322">
    <cfRule type="containsText" dxfId="238" priority="765" operator="containsText" text="ND">
      <formula>NOT(ISERROR(SEARCH(("ND"),(O2303))))</formula>
    </cfRule>
  </conditionalFormatting>
  <conditionalFormatting sqref="W2317:W2322">
    <cfRule type="containsBlanks" dxfId="237" priority="753">
      <formula>LEN(TRIM(W2303))=0</formula>
    </cfRule>
  </conditionalFormatting>
  <conditionalFormatting sqref="W2033:W2035">
    <cfRule type="containsBlanks" dxfId="236" priority="6405">
      <formula>LEN(TRIM(W2028))=0</formula>
    </cfRule>
  </conditionalFormatting>
  <conditionalFormatting sqref="W2042 W2044">
    <cfRule type="containsBlanks" dxfId="235" priority="6407">
      <formula>LEN(TRIM(W2051))=0</formula>
    </cfRule>
  </conditionalFormatting>
  <conditionalFormatting sqref="S2042 S2044">
    <cfRule type="containsText" dxfId="234" priority="6417" operator="containsText" text="&lt;">
      <formula>NOT(ISERROR(SEARCH(("&lt;"),(S2051))))</formula>
    </cfRule>
  </conditionalFormatting>
  <conditionalFormatting sqref="S2042 S2044">
    <cfRule type="containsText" dxfId="233" priority="6418" operator="containsText" text="ND">
      <formula>NOT(ISERROR(SEARCH(("ND"),(S2051))))</formula>
    </cfRule>
  </conditionalFormatting>
  <conditionalFormatting sqref="O2042:Q2042 O2044:Q2044">
    <cfRule type="containsText" dxfId="232" priority="6419" operator="containsText" text="ND">
      <formula>NOT(ISERROR(SEARCH(("ND"),(O2051))))</formula>
    </cfRule>
  </conditionalFormatting>
  <conditionalFormatting sqref="S1831 S2043">
    <cfRule type="containsText" dxfId="231" priority="6420" operator="containsText" text="&lt;">
      <formula>NOT(ISERROR(SEARCH(("&lt;"),(S1838))))</formula>
    </cfRule>
  </conditionalFormatting>
  <conditionalFormatting sqref="S1831 S2043">
    <cfRule type="containsText" dxfId="230" priority="6421" operator="containsText" text="ND">
      <formula>NOT(ISERROR(SEARCH(("ND"),(S1838))))</formula>
    </cfRule>
  </conditionalFormatting>
  <conditionalFormatting sqref="O1831:Q1831 O2043:Q2043">
    <cfRule type="containsText" dxfId="229" priority="6422" operator="containsText" text="ND">
      <formula>NOT(ISERROR(SEARCH(("ND"),(O1838))))</formula>
    </cfRule>
  </conditionalFormatting>
  <conditionalFormatting sqref="W2030:W2032">
    <cfRule type="containsBlanks" dxfId="228" priority="6427">
      <formula>LEN(TRIM(W2015))=0</formula>
    </cfRule>
  </conditionalFormatting>
  <conditionalFormatting sqref="S2030:S2032">
    <cfRule type="containsText" dxfId="227" priority="6428" operator="containsText" text="&lt;">
      <formula>NOT(ISERROR(SEARCH(("&lt;"),(S2015))))</formula>
    </cfRule>
  </conditionalFormatting>
  <conditionalFormatting sqref="S2030:S2032">
    <cfRule type="containsText" dxfId="226" priority="6429" operator="containsText" text="ND">
      <formula>NOT(ISERROR(SEARCH(("ND"),(S2015))))</formula>
    </cfRule>
  </conditionalFormatting>
  <conditionalFormatting sqref="O2030:Q2032">
    <cfRule type="containsText" dxfId="225" priority="6430" operator="containsText" text="ND">
      <formula>NOT(ISERROR(SEARCH(("ND"),(O2015))))</formula>
    </cfRule>
  </conditionalFormatting>
  <conditionalFormatting sqref="S2033:S2035">
    <cfRule type="containsText" dxfId="224" priority="6431" operator="containsText" text="&lt;">
      <formula>NOT(ISERROR(SEARCH(("&lt;"),(S2028))))</formula>
    </cfRule>
  </conditionalFormatting>
  <conditionalFormatting sqref="S2033:S2035">
    <cfRule type="containsText" dxfId="223" priority="6432" operator="containsText" text="ND">
      <formula>NOT(ISERROR(SEARCH(("ND"),(S2028))))</formula>
    </cfRule>
  </conditionalFormatting>
  <conditionalFormatting sqref="O2033:Q2035">
    <cfRule type="containsText" dxfId="222" priority="6433" operator="containsText" text="ND">
      <formula>NOT(ISERROR(SEARCH(("ND"),(O2028))))</formula>
    </cfRule>
  </conditionalFormatting>
  <conditionalFormatting sqref="W2045">
    <cfRule type="containsBlanks" dxfId="221" priority="6434">
      <formula>LEN(TRIM(W1839))=0</formula>
    </cfRule>
  </conditionalFormatting>
  <conditionalFormatting sqref="S2045">
    <cfRule type="containsText" dxfId="220" priority="6435" operator="containsText" text="&lt;">
      <formula>NOT(ISERROR(SEARCH(("&lt;"),(S1839))))</formula>
    </cfRule>
  </conditionalFormatting>
  <conditionalFormatting sqref="S2045">
    <cfRule type="containsText" dxfId="219" priority="6436" operator="containsText" text="ND">
      <formula>NOT(ISERROR(SEARCH(("ND"),(S1839))))</formula>
    </cfRule>
  </conditionalFormatting>
  <conditionalFormatting sqref="O2045:Q2045">
    <cfRule type="containsText" dxfId="218" priority="6437" operator="containsText" text="ND">
      <formula>NOT(ISERROR(SEARCH(("ND"),(O1839))))</formula>
    </cfRule>
  </conditionalFormatting>
  <conditionalFormatting sqref="W2325">
    <cfRule type="containsBlanks" dxfId="217" priority="6438">
      <formula>LEN(TRIM(W1831))=0</formula>
    </cfRule>
  </conditionalFormatting>
  <conditionalFormatting sqref="S2325">
    <cfRule type="containsText" dxfId="216" priority="6439" operator="containsText" text="&lt;">
      <formula>NOT(ISERROR(SEARCH(("&lt;"),(S1831))))</formula>
    </cfRule>
  </conditionalFormatting>
  <conditionalFormatting sqref="S2325">
    <cfRule type="containsText" dxfId="215" priority="6440" operator="containsText" text="ND">
      <formula>NOT(ISERROR(SEARCH(("ND"),(S1831))))</formula>
    </cfRule>
  </conditionalFormatting>
  <conditionalFormatting sqref="O2325:Q2325">
    <cfRule type="containsText" dxfId="214" priority="6441" operator="containsText" text="ND">
      <formula>NOT(ISERROR(SEARCH(("ND"),(O1831))))</formula>
    </cfRule>
  </conditionalFormatting>
  <conditionalFormatting sqref="W2037:W2041">
    <cfRule type="containsBlanks" dxfId="213" priority="6442">
      <formula>LEN(TRIM(W2039))=0</formula>
    </cfRule>
  </conditionalFormatting>
  <conditionalFormatting sqref="S2037:S2041">
    <cfRule type="containsText" dxfId="212" priority="6443" operator="containsText" text="&lt;">
      <formula>NOT(ISERROR(SEARCH(("&lt;"),(S2039))))</formula>
    </cfRule>
  </conditionalFormatting>
  <conditionalFormatting sqref="S2037:S2041">
    <cfRule type="containsText" dxfId="211" priority="6444" operator="containsText" text="ND">
      <formula>NOT(ISERROR(SEARCH(("ND"),(S2039))))</formula>
    </cfRule>
  </conditionalFormatting>
  <conditionalFormatting sqref="O2037:Q2041">
    <cfRule type="containsText" dxfId="210" priority="6445" operator="containsText" text="ND">
      <formula>NOT(ISERROR(SEARCH(("ND"),(O2039))))</formula>
    </cfRule>
  </conditionalFormatting>
  <conditionalFormatting sqref="S1856">
    <cfRule type="containsText" dxfId="209" priority="6446" operator="containsText" text="&lt;">
      <formula>NOT(ISERROR(SEARCH(("&lt;"),(S1791))))</formula>
    </cfRule>
  </conditionalFormatting>
  <conditionalFormatting sqref="S1856">
    <cfRule type="containsText" dxfId="208" priority="6447" operator="containsText" text="ND">
      <formula>NOT(ISERROR(SEARCH(("ND"),(S1791))))</formula>
    </cfRule>
  </conditionalFormatting>
  <conditionalFormatting sqref="O1856:Q1856">
    <cfRule type="containsText" dxfId="207" priority="6448" operator="containsText" text="ND">
      <formula>NOT(ISERROR(SEARCH(("ND"),(O1791))))</formula>
    </cfRule>
  </conditionalFormatting>
  <conditionalFormatting sqref="S2201">
    <cfRule type="containsText" dxfId="206" priority="6449" operator="containsText" text="&lt;">
      <formula>NOT(ISERROR(SEARCH(("&lt;"),(S2102))))</formula>
    </cfRule>
  </conditionalFormatting>
  <conditionalFormatting sqref="S2201">
    <cfRule type="containsText" dxfId="205" priority="6450" operator="containsText" text="ND">
      <formula>NOT(ISERROR(SEARCH(("ND"),(S2102))))</formula>
    </cfRule>
  </conditionalFormatting>
  <conditionalFormatting sqref="O2201:Q2201">
    <cfRule type="containsText" dxfId="204" priority="6451" operator="containsText" text="ND">
      <formula>NOT(ISERROR(SEARCH(("ND"),(O2102))))</formula>
    </cfRule>
  </conditionalFormatting>
  <conditionalFormatting sqref="W2201">
    <cfRule type="containsBlanks" dxfId="203" priority="6452">
      <formula>LEN(TRIM(W2102))=0</formula>
    </cfRule>
  </conditionalFormatting>
  <conditionalFormatting sqref="S2036">
    <cfRule type="containsText" dxfId="202" priority="6453" operator="containsText" text="&lt;">
      <formula>NOT(ISERROR(SEARCH(("&lt;"),(S2034))))</formula>
    </cfRule>
  </conditionalFormatting>
  <conditionalFormatting sqref="S2036">
    <cfRule type="containsText" dxfId="201" priority="6454" operator="containsText" text="ND">
      <formula>NOT(ISERROR(SEARCH(("ND"),(S2034))))</formula>
    </cfRule>
  </conditionalFormatting>
  <conditionalFormatting sqref="O2036:Q2036">
    <cfRule type="containsText" dxfId="200" priority="6455" operator="containsText" text="ND">
      <formula>NOT(ISERROR(SEARCH(("ND"),(O2034))))</formula>
    </cfRule>
  </conditionalFormatting>
  <conditionalFormatting sqref="G1600:G1601">
    <cfRule type="cellIs" dxfId="199" priority="518" operator="equal">
      <formula>"難以採樣"</formula>
    </cfRule>
    <cfRule type="cellIs" dxfId="198" priority="519" operator="equal">
      <formula>"管制"</formula>
    </cfRule>
    <cfRule type="cellIs" dxfId="197" priority="520" operator="equal">
      <formula>"正常"</formula>
    </cfRule>
    <cfRule type="cellIs" dxfId="196" priority="521" operator="equal">
      <formula>"監測"</formula>
    </cfRule>
  </conditionalFormatting>
  <conditionalFormatting sqref="G1606:G1607">
    <cfRule type="cellIs" dxfId="195" priority="514" operator="equal">
      <formula>"難以採樣"</formula>
    </cfRule>
    <cfRule type="cellIs" dxfId="194" priority="515" operator="equal">
      <formula>"管制"</formula>
    </cfRule>
    <cfRule type="cellIs" dxfId="193" priority="516" operator="equal">
      <formula>"正常"</formula>
    </cfRule>
    <cfRule type="cellIs" dxfId="192" priority="517" operator="equal">
      <formula>"監測"</formula>
    </cfRule>
  </conditionalFormatting>
  <conditionalFormatting sqref="G1614:G1615">
    <cfRule type="cellIs" dxfId="191" priority="510" operator="equal">
      <formula>"難以採樣"</formula>
    </cfRule>
    <cfRule type="cellIs" dxfId="190" priority="511" operator="equal">
      <formula>"管制"</formula>
    </cfRule>
    <cfRule type="cellIs" dxfId="189" priority="512" operator="equal">
      <formula>"正常"</formula>
    </cfRule>
    <cfRule type="cellIs" dxfId="188" priority="513" operator="equal">
      <formula>"監測"</formula>
    </cfRule>
  </conditionalFormatting>
  <conditionalFormatting sqref="V233">
    <cfRule type="cellIs" dxfId="187" priority="167" operator="equal">
      <formula>"延長"</formula>
    </cfRule>
  </conditionalFormatting>
  <conditionalFormatting sqref="V233">
    <cfRule type="cellIs" dxfId="186" priority="163" operator="equal">
      <formula>"退場"</formula>
    </cfRule>
    <cfRule type="cellIs" dxfId="185" priority="164" operator="equal">
      <formula>"持續"</formula>
    </cfRule>
    <cfRule type="cellIs" dxfId="184" priority="165" operator="equal">
      <formula>"延長"</formula>
    </cfRule>
    <cfRule type="cellIs" dxfId="183" priority="166" operator="equal">
      <formula>"尚未調查"</formula>
    </cfRule>
  </conditionalFormatting>
  <conditionalFormatting sqref="W2140">
    <cfRule type="containsBlanks" dxfId="182" priority="15539">
      <formula>LEN(TRIM(U473))=0</formula>
    </cfRule>
  </conditionalFormatting>
  <conditionalFormatting sqref="V1723:V1795 V2146:V2301 V2305:V2316 V2444:V2454 V1799:V1821 V1825:V1827 V2402:V2441 V1829:V1840 V1842:V1857 V2057:V2142 V1713:V1721 V2144 V1626:V1709 V1860:V1924 V1926:V2055 V2323:V2400">
    <cfRule type="cellIs" dxfId="181" priority="159" operator="equal">
      <formula>"退場"</formula>
    </cfRule>
    <cfRule type="cellIs" dxfId="180" priority="160" operator="equal">
      <formula>"持續"</formula>
    </cfRule>
    <cfRule type="cellIs" dxfId="179" priority="161" operator="equal">
      <formula>"延長"</formula>
    </cfRule>
    <cfRule type="cellIs" dxfId="178" priority="162" operator="equal">
      <formula>"尚未調查"</formula>
    </cfRule>
  </conditionalFormatting>
  <conditionalFormatting sqref="V303">
    <cfRule type="cellIs" dxfId="177" priority="158" operator="equal">
      <formula>"延長"</formula>
    </cfRule>
  </conditionalFormatting>
  <conditionalFormatting sqref="V303">
    <cfRule type="cellIs" dxfId="176" priority="154" operator="equal">
      <formula>"退場"</formula>
    </cfRule>
    <cfRule type="cellIs" dxfId="175" priority="155" operator="equal">
      <formula>"持續"</formula>
    </cfRule>
    <cfRule type="cellIs" dxfId="174" priority="156" operator="equal">
      <formula>"延長"</formula>
    </cfRule>
    <cfRule type="cellIs" dxfId="173" priority="157" operator="equal">
      <formula>"尚未調查"</formula>
    </cfRule>
  </conditionalFormatting>
  <conditionalFormatting sqref="V304">
    <cfRule type="cellIs" dxfId="172" priority="153" operator="equal">
      <formula>"延長"</formula>
    </cfRule>
  </conditionalFormatting>
  <conditionalFormatting sqref="V304">
    <cfRule type="cellIs" dxfId="171" priority="149" operator="equal">
      <formula>"退場"</formula>
    </cfRule>
    <cfRule type="cellIs" dxfId="170" priority="150" operator="equal">
      <formula>"持續"</formula>
    </cfRule>
    <cfRule type="cellIs" dxfId="169" priority="151" operator="equal">
      <formula>"延長"</formula>
    </cfRule>
    <cfRule type="cellIs" dxfId="168" priority="152" operator="equal">
      <formula>"尚未調查"</formula>
    </cfRule>
  </conditionalFormatting>
  <conditionalFormatting sqref="V305">
    <cfRule type="cellIs" dxfId="167" priority="148" operator="equal">
      <formula>"延長"</formula>
    </cfRule>
  </conditionalFormatting>
  <conditionalFormatting sqref="V305">
    <cfRule type="cellIs" dxfId="166" priority="144" operator="equal">
      <formula>"退場"</formula>
    </cfRule>
    <cfRule type="cellIs" dxfId="165" priority="145" operator="equal">
      <formula>"持續"</formula>
    </cfRule>
    <cfRule type="cellIs" dxfId="164" priority="146" operator="equal">
      <formula>"延長"</formula>
    </cfRule>
    <cfRule type="cellIs" dxfId="163" priority="147" operator="equal">
      <formula>"尚未調查"</formula>
    </cfRule>
  </conditionalFormatting>
  <conditionalFormatting sqref="V306">
    <cfRule type="cellIs" dxfId="162" priority="143" operator="equal">
      <formula>"延長"</formula>
    </cfRule>
  </conditionalFormatting>
  <conditionalFormatting sqref="V306">
    <cfRule type="cellIs" dxfId="161" priority="139" operator="equal">
      <formula>"退場"</formula>
    </cfRule>
    <cfRule type="cellIs" dxfId="160" priority="140" operator="equal">
      <formula>"持續"</formula>
    </cfRule>
    <cfRule type="cellIs" dxfId="159" priority="141" operator="equal">
      <formula>"延長"</formula>
    </cfRule>
    <cfRule type="cellIs" dxfId="158" priority="142" operator="equal">
      <formula>"尚未調查"</formula>
    </cfRule>
  </conditionalFormatting>
  <conditionalFormatting sqref="V307">
    <cfRule type="cellIs" dxfId="157" priority="138" operator="equal">
      <formula>"延長"</formula>
    </cfRule>
  </conditionalFormatting>
  <conditionalFormatting sqref="V307">
    <cfRule type="cellIs" dxfId="156" priority="134" operator="equal">
      <formula>"退場"</formula>
    </cfRule>
    <cfRule type="cellIs" dxfId="155" priority="135" operator="equal">
      <formula>"持續"</formula>
    </cfRule>
    <cfRule type="cellIs" dxfId="154" priority="136" operator="equal">
      <formula>"延長"</formula>
    </cfRule>
    <cfRule type="cellIs" dxfId="153" priority="137" operator="equal">
      <formula>"尚未調查"</formula>
    </cfRule>
  </conditionalFormatting>
  <conditionalFormatting sqref="V1722">
    <cfRule type="cellIs" dxfId="152" priority="133" operator="equal">
      <formula>"延長"</formula>
    </cfRule>
  </conditionalFormatting>
  <conditionalFormatting sqref="V1722">
    <cfRule type="cellIs" dxfId="151" priority="129" operator="equal">
      <formula>"退場"</formula>
    </cfRule>
    <cfRule type="cellIs" dxfId="150" priority="130" operator="equal">
      <formula>"持續"</formula>
    </cfRule>
    <cfRule type="cellIs" dxfId="149" priority="131" operator="equal">
      <formula>"延長"</formula>
    </cfRule>
    <cfRule type="cellIs" dxfId="148" priority="132" operator="equal">
      <formula>"尚未調查"</formula>
    </cfRule>
  </conditionalFormatting>
  <conditionalFormatting sqref="V1858">
    <cfRule type="cellIs" dxfId="147" priority="128" operator="equal">
      <formula>"延長"</formula>
    </cfRule>
  </conditionalFormatting>
  <conditionalFormatting sqref="V1858">
    <cfRule type="cellIs" dxfId="146" priority="124" operator="equal">
      <formula>"退場"</formula>
    </cfRule>
    <cfRule type="cellIs" dxfId="145" priority="125" operator="equal">
      <formula>"持續"</formula>
    </cfRule>
    <cfRule type="cellIs" dxfId="144" priority="126" operator="equal">
      <formula>"延長"</formula>
    </cfRule>
    <cfRule type="cellIs" dxfId="143" priority="127" operator="equal">
      <formula>"尚未調查"</formula>
    </cfRule>
  </conditionalFormatting>
  <conditionalFormatting sqref="V1859">
    <cfRule type="cellIs" dxfId="142" priority="123" operator="equal">
      <formula>"延長"</formula>
    </cfRule>
  </conditionalFormatting>
  <conditionalFormatting sqref="V1859">
    <cfRule type="cellIs" dxfId="141" priority="119" operator="equal">
      <formula>"退場"</formula>
    </cfRule>
    <cfRule type="cellIs" dxfId="140" priority="120" operator="equal">
      <formula>"持續"</formula>
    </cfRule>
    <cfRule type="cellIs" dxfId="139" priority="121" operator="equal">
      <formula>"延長"</formula>
    </cfRule>
    <cfRule type="cellIs" dxfId="138" priority="122" operator="equal">
      <formula>"尚未調查"</formula>
    </cfRule>
  </conditionalFormatting>
  <conditionalFormatting sqref="V2145">
    <cfRule type="cellIs" dxfId="137" priority="118" operator="equal">
      <formula>"延長"</formula>
    </cfRule>
  </conditionalFormatting>
  <conditionalFormatting sqref="V2145">
    <cfRule type="cellIs" dxfId="136" priority="114" operator="equal">
      <formula>"退場"</formula>
    </cfRule>
    <cfRule type="cellIs" dxfId="135" priority="115" operator="equal">
      <formula>"持續"</formula>
    </cfRule>
    <cfRule type="cellIs" dxfId="134" priority="116" operator="equal">
      <formula>"延長"</formula>
    </cfRule>
    <cfRule type="cellIs" dxfId="133" priority="117" operator="equal">
      <formula>"尚未調查"</formula>
    </cfRule>
  </conditionalFormatting>
  <conditionalFormatting sqref="V2302">
    <cfRule type="cellIs" dxfId="132" priority="113" operator="equal">
      <formula>"延長"</formula>
    </cfRule>
  </conditionalFormatting>
  <conditionalFormatting sqref="V2302">
    <cfRule type="cellIs" dxfId="131" priority="109" operator="equal">
      <formula>"退場"</formula>
    </cfRule>
    <cfRule type="cellIs" dxfId="130" priority="110" operator="equal">
      <formula>"持續"</formula>
    </cfRule>
    <cfRule type="cellIs" dxfId="129" priority="111" operator="equal">
      <formula>"延長"</formula>
    </cfRule>
    <cfRule type="cellIs" dxfId="128" priority="112" operator="equal">
      <formula>"尚未調查"</formula>
    </cfRule>
  </conditionalFormatting>
  <conditionalFormatting sqref="V2303">
    <cfRule type="cellIs" dxfId="127" priority="108" operator="equal">
      <formula>"延長"</formula>
    </cfRule>
  </conditionalFormatting>
  <conditionalFormatting sqref="V2303">
    <cfRule type="cellIs" dxfId="126" priority="104" operator="equal">
      <formula>"退場"</formula>
    </cfRule>
    <cfRule type="cellIs" dxfId="125" priority="105" operator="equal">
      <formula>"持續"</formula>
    </cfRule>
    <cfRule type="cellIs" dxfId="124" priority="106" operator="equal">
      <formula>"延長"</formula>
    </cfRule>
    <cfRule type="cellIs" dxfId="123" priority="107" operator="equal">
      <formula>"尚未調查"</formula>
    </cfRule>
  </conditionalFormatting>
  <conditionalFormatting sqref="V2304">
    <cfRule type="cellIs" dxfId="122" priority="103" operator="equal">
      <formula>"延長"</formula>
    </cfRule>
  </conditionalFormatting>
  <conditionalFormatting sqref="V2304">
    <cfRule type="cellIs" dxfId="121" priority="99" operator="equal">
      <formula>"退場"</formula>
    </cfRule>
    <cfRule type="cellIs" dxfId="120" priority="100" operator="equal">
      <formula>"持續"</formula>
    </cfRule>
    <cfRule type="cellIs" dxfId="119" priority="101" operator="equal">
      <formula>"延長"</formula>
    </cfRule>
    <cfRule type="cellIs" dxfId="118" priority="102" operator="equal">
      <formula>"尚未調查"</formula>
    </cfRule>
  </conditionalFormatting>
  <conditionalFormatting sqref="V2443">
    <cfRule type="cellIs" dxfId="117" priority="98" operator="equal">
      <formula>"延長"</formula>
    </cfRule>
  </conditionalFormatting>
  <conditionalFormatting sqref="V2443">
    <cfRule type="cellIs" dxfId="116" priority="94" operator="equal">
      <formula>"退場"</formula>
    </cfRule>
    <cfRule type="cellIs" dxfId="115" priority="95" operator="equal">
      <formula>"持續"</formula>
    </cfRule>
    <cfRule type="cellIs" dxfId="114" priority="96" operator="equal">
      <formula>"延長"</formula>
    </cfRule>
    <cfRule type="cellIs" dxfId="113" priority="97" operator="equal">
      <formula>"尚未調查"</formula>
    </cfRule>
  </conditionalFormatting>
  <conditionalFormatting sqref="V1796">
    <cfRule type="cellIs" dxfId="112" priority="91" operator="equal">
      <formula>"退場"</formula>
    </cfRule>
    <cfRule type="cellIs" dxfId="111" priority="92" operator="equal">
      <formula>"延長"</formula>
    </cfRule>
    <cfRule type="cellIs" dxfId="110" priority="93" operator="equal">
      <formula>"持續"</formula>
    </cfRule>
  </conditionalFormatting>
  <conditionalFormatting sqref="V1797">
    <cfRule type="cellIs" dxfId="109" priority="88" operator="equal">
      <formula>"退場"</formula>
    </cfRule>
    <cfRule type="cellIs" dxfId="108" priority="89" operator="equal">
      <formula>"延長"</formula>
    </cfRule>
    <cfRule type="cellIs" dxfId="107" priority="90" operator="equal">
      <formula>"持續"</formula>
    </cfRule>
  </conditionalFormatting>
  <conditionalFormatting sqref="V1798">
    <cfRule type="cellIs" dxfId="106" priority="85" operator="equal">
      <formula>"退場"</formula>
    </cfRule>
    <cfRule type="cellIs" dxfId="105" priority="86" operator="equal">
      <formula>"延長"</formula>
    </cfRule>
    <cfRule type="cellIs" dxfId="104" priority="87" operator="equal">
      <formula>"持續"</formula>
    </cfRule>
  </conditionalFormatting>
  <conditionalFormatting sqref="V1822">
    <cfRule type="cellIs" dxfId="103" priority="82" operator="equal">
      <formula>"延長"</formula>
    </cfRule>
  </conditionalFormatting>
  <conditionalFormatting sqref="V1822">
    <cfRule type="cellIs" dxfId="102" priority="78" operator="equal">
      <formula>"退場"</formula>
    </cfRule>
    <cfRule type="cellIs" dxfId="101" priority="79" operator="equal">
      <formula>"持續"</formula>
    </cfRule>
    <cfRule type="cellIs" dxfId="100" priority="80" operator="equal">
      <formula>"延長"</formula>
    </cfRule>
    <cfRule type="cellIs" dxfId="99" priority="81" operator="equal">
      <formula>"尚未調查"</formula>
    </cfRule>
  </conditionalFormatting>
  <conditionalFormatting sqref="V1823">
    <cfRule type="cellIs" dxfId="98" priority="77" operator="equal">
      <formula>"延長"</formula>
    </cfRule>
  </conditionalFormatting>
  <conditionalFormatting sqref="V1823">
    <cfRule type="cellIs" dxfId="97" priority="73" operator="equal">
      <formula>"退場"</formula>
    </cfRule>
    <cfRule type="cellIs" dxfId="96" priority="74" operator="equal">
      <formula>"持續"</formula>
    </cfRule>
    <cfRule type="cellIs" dxfId="95" priority="75" operator="equal">
      <formula>"延長"</formula>
    </cfRule>
    <cfRule type="cellIs" dxfId="94" priority="76" operator="equal">
      <formula>"尚未調查"</formula>
    </cfRule>
  </conditionalFormatting>
  <conditionalFormatting sqref="V1824">
    <cfRule type="cellIs" dxfId="93" priority="72" operator="equal">
      <formula>"延長"</formula>
    </cfRule>
  </conditionalFormatting>
  <conditionalFormatting sqref="V1824">
    <cfRule type="cellIs" dxfId="92" priority="68" operator="equal">
      <formula>"退場"</formula>
    </cfRule>
    <cfRule type="cellIs" dxfId="91" priority="69" operator="equal">
      <formula>"持續"</formula>
    </cfRule>
    <cfRule type="cellIs" dxfId="90" priority="70" operator="equal">
      <formula>"延長"</formula>
    </cfRule>
    <cfRule type="cellIs" dxfId="89" priority="71" operator="equal">
      <formula>"尚未調查"</formula>
    </cfRule>
  </conditionalFormatting>
  <conditionalFormatting sqref="V1925">
    <cfRule type="cellIs" dxfId="88" priority="67" operator="equal">
      <formula>"延長"</formula>
    </cfRule>
  </conditionalFormatting>
  <conditionalFormatting sqref="V1925">
    <cfRule type="cellIs" dxfId="87" priority="63" operator="equal">
      <formula>"退場"</formula>
    </cfRule>
    <cfRule type="cellIs" dxfId="86" priority="64" operator="equal">
      <formula>"持續"</formula>
    </cfRule>
    <cfRule type="cellIs" dxfId="85" priority="65" operator="equal">
      <formula>"延長"</formula>
    </cfRule>
    <cfRule type="cellIs" dxfId="84" priority="66" operator="equal">
      <formula>"尚未調查"</formula>
    </cfRule>
  </conditionalFormatting>
  <conditionalFormatting sqref="V2401">
    <cfRule type="cellIs" dxfId="83" priority="62" operator="equal">
      <formula>"延長"</formula>
    </cfRule>
  </conditionalFormatting>
  <conditionalFormatting sqref="V2401">
    <cfRule type="cellIs" dxfId="82" priority="58" operator="equal">
      <formula>"退場"</formula>
    </cfRule>
    <cfRule type="cellIs" dxfId="81" priority="59" operator="equal">
      <formula>"持續"</formula>
    </cfRule>
    <cfRule type="cellIs" dxfId="80" priority="60" operator="equal">
      <formula>"延長"</formula>
    </cfRule>
    <cfRule type="cellIs" dxfId="79" priority="61" operator="equal">
      <formula>"尚未調查"</formula>
    </cfRule>
  </conditionalFormatting>
  <conditionalFormatting sqref="V1828">
    <cfRule type="cellIs" dxfId="78" priority="55" operator="equal">
      <formula>"退場"</formula>
    </cfRule>
    <cfRule type="cellIs" dxfId="77" priority="56" operator="equal">
      <formula>"延長"</formula>
    </cfRule>
    <cfRule type="cellIs" dxfId="76" priority="57" operator="equal">
      <formula>"持續"</formula>
    </cfRule>
  </conditionalFormatting>
  <conditionalFormatting sqref="V2317">
    <cfRule type="cellIs" dxfId="75" priority="52" operator="equal">
      <formula>"退場"</formula>
    </cfRule>
    <cfRule type="cellIs" dxfId="74" priority="53" operator="equal">
      <formula>"延長"</formula>
    </cfRule>
    <cfRule type="cellIs" dxfId="73" priority="54" operator="equal">
      <formula>"持續"</formula>
    </cfRule>
  </conditionalFormatting>
  <conditionalFormatting sqref="V2318">
    <cfRule type="cellIs" dxfId="72" priority="49" operator="equal">
      <formula>"退場"</formula>
    </cfRule>
    <cfRule type="cellIs" dxfId="71" priority="50" operator="equal">
      <formula>"延長"</formula>
    </cfRule>
    <cfRule type="cellIs" dxfId="70" priority="51" operator="equal">
      <formula>"持續"</formula>
    </cfRule>
  </conditionalFormatting>
  <conditionalFormatting sqref="V2319">
    <cfRule type="cellIs" dxfId="69" priority="46" operator="equal">
      <formula>"退場"</formula>
    </cfRule>
    <cfRule type="cellIs" dxfId="68" priority="47" operator="equal">
      <formula>"延長"</formula>
    </cfRule>
    <cfRule type="cellIs" dxfId="67" priority="48" operator="equal">
      <formula>"持續"</formula>
    </cfRule>
  </conditionalFormatting>
  <conditionalFormatting sqref="V2320">
    <cfRule type="cellIs" dxfId="66" priority="43" operator="equal">
      <formula>"退場"</formula>
    </cfRule>
    <cfRule type="cellIs" dxfId="65" priority="44" operator="equal">
      <formula>"延長"</formula>
    </cfRule>
    <cfRule type="cellIs" dxfId="64" priority="45" operator="equal">
      <formula>"持續"</formula>
    </cfRule>
  </conditionalFormatting>
  <conditionalFormatting sqref="V2321">
    <cfRule type="cellIs" dxfId="63" priority="40" operator="equal">
      <formula>"退場"</formula>
    </cfRule>
    <cfRule type="cellIs" dxfId="62" priority="41" operator="equal">
      <formula>"延長"</formula>
    </cfRule>
    <cfRule type="cellIs" dxfId="61" priority="42" operator="equal">
      <formula>"持續"</formula>
    </cfRule>
  </conditionalFormatting>
  <conditionalFormatting sqref="V2322">
    <cfRule type="cellIs" dxfId="60" priority="37" operator="equal">
      <formula>"退場"</formula>
    </cfRule>
    <cfRule type="cellIs" dxfId="59" priority="38" operator="equal">
      <formula>"延長"</formula>
    </cfRule>
    <cfRule type="cellIs" dxfId="58" priority="39" operator="equal">
      <formula>"持續"</formula>
    </cfRule>
  </conditionalFormatting>
  <conditionalFormatting sqref="T1:U1048576">
    <cfRule type="cellIs" dxfId="57" priority="34" operator="equal">
      <formula>"延長"</formula>
    </cfRule>
    <cfRule type="cellIs" dxfId="56" priority="33" operator="equal">
      <formula>"管制"</formula>
    </cfRule>
    <cfRule type="cellIs" dxfId="55" priority="32" operator="equal">
      <formula>"增量"</formula>
    </cfRule>
    <cfRule type="cellIs" dxfId="54" priority="31" operator="equal">
      <formula>"正常"</formula>
    </cfRule>
  </conditionalFormatting>
  <conditionalFormatting sqref="S1600:S1601">
    <cfRule type="containsText" dxfId="53" priority="8453" operator="containsText" text="&lt;">
      <formula>NOT(ISERROR(SEARCH(("&lt;"),(#REF!))))</formula>
    </cfRule>
  </conditionalFormatting>
  <conditionalFormatting sqref="S1600:S1601">
    <cfRule type="containsText" dxfId="52" priority="8454" operator="containsText" text="ND">
      <formula>NOT(ISERROR(SEARCH(("ND"),(#REF!))))</formula>
    </cfRule>
  </conditionalFormatting>
  <conditionalFormatting sqref="O1600:Q1601">
    <cfRule type="containsText" dxfId="51" priority="8458" operator="containsText" text="ND">
      <formula>NOT(ISERROR(SEARCH(("ND"),(#REF!))))</formula>
    </cfRule>
  </conditionalFormatting>
  <conditionalFormatting sqref="W1600:W1601">
    <cfRule type="containsBlanks" dxfId="50" priority="8438">
      <formula>LEN(TRIM(#REF!))=0</formula>
    </cfRule>
  </conditionalFormatting>
  <conditionalFormatting sqref="S1606:S1607">
    <cfRule type="containsText" dxfId="49" priority="8420" operator="containsText" text="&lt;">
      <formula>NOT(ISERROR(SEARCH(("&lt;"),(#REF!))))</formula>
    </cfRule>
  </conditionalFormatting>
  <conditionalFormatting sqref="S1606:S1607">
    <cfRule type="containsText" dxfId="48" priority="8421" operator="containsText" text="ND">
      <formula>NOT(ISERROR(SEARCH(("ND"),(#REF!))))</formula>
    </cfRule>
  </conditionalFormatting>
  <conditionalFormatting sqref="O1606:Q1607">
    <cfRule type="containsText" dxfId="47" priority="8425" operator="containsText" text="ND">
      <formula>NOT(ISERROR(SEARCH(("ND"),(#REF!))))</formula>
    </cfRule>
  </conditionalFormatting>
  <conditionalFormatting sqref="W1606:W1607">
    <cfRule type="containsBlanks" dxfId="46" priority="8391">
      <formula>LEN(TRIM(#REF!))=0</formula>
    </cfRule>
  </conditionalFormatting>
  <conditionalFormatting sqref="S1614:S1615">
    <cfRule type="containsText" dxfId="45" priority="8368" operator="containsText" text="&lt;">
      <formula>NOT(ISERROR(SEARCH(("&lt;"),(#REF!))))</formula>
    </cfRule>
  </conditionalFormatting>
  <conditionalFormatting sqref="S1614:S1615">
    <cfRule type="containsText" dxfId="44" priority="8369" operator="containsText" text="ND">
      <formula>NOT(ISERROR(SEARCH(("ND"),(#REF!))))</formula>
    </cfRule>
  </conditionalFormatting>
  <conditionalFormatting sqref="O1614:Q1615">
    <cfRule type="containsText" dxfId="43" priority="8373" operator="containsText" text="ND">
      <formula>NOT(ISERROR(SEARCH(("ND"),(#REF!))))</formula>
    </cfRule>
  </conditionalFormatting>
  <conditionalFormatting sqref="W1614:W1615">
    <cfRule type="containsBlanks" dxfId="42" priority="8353">
      <formula>LEN(TRIM(#REF!))=0</formula>
    </cfRule>
  </conditionalFormatting>
  <conditionalFormatting sqref="S1594:S1595">
    <cfRule type="containsText" dxfId="41" priority="8302" operator="containsText" text="&lt;">
      <formula>NOT(ISERROR(SEARCH(("&lt;"),(#REF!))))</formula>
    </cfRule>
  </conditionalFormatting>
  <conditionalFormatting sqref="S1594:S1595">
    <cfRule type="containsText" dxfId="40" priority="8303" operator="containsText" text="ND">
      <formula>NOT(ISERROR(SEARCH(("ND"),(#REF!))))</formula>
    </cfRule>
  </conditionalFormatting>
  <conditionalFormatting sqref="O1594:Q1595">
    <cfRule type="containsText" dxfId="39" priority="8307" operator="containsText" text="ND">
      <formula>NOT(ISERROR(SEARCH(("ND"),(#REF!))))</formula>
    </cfRule>
  </conditionalFormatting>
  <conditionalFormatting sqref="W459">
    <cfRule type="containsBlanks" dxfId="38" priority="8290">
      <formula>LEN(TRIM(#REF!))=0</formula>
    </cfRule>
  </conditionalFormatting>
  <conditionalFormatting sqref="S459">
    <cfRule type="containsText" dxfId="37" priority="15261" operator="containsText" text="&lt;">
      <formula>NOT(ISERROR(SEARCH(("&lt;"),(#REF!))))</formula>
    </cfRule>
  </conditionalFormatting>
  <conditionalFormatting sqref="S459">
    <cfRule type="containsText" dxfId="36" priority="15262" operator="containsText" text="ND">
      <formula>NOT(ISERROR(SEARCH(("ND"),(#REF!))))</formula>
    </cfRule>
  </conditionalFormatting>
  <conditionalFormatting sqref="O459:Q459">
    <cfRule type="containsText" dxfId="35" priority="15263" operator="containsText" text="ND">
      <formula>NOT(ISERROR(SEARCH(("ND"),(#REF!))))</formula>
    </cfRule>
  </conditionalFormatting>
  <conditionalFormatting sqref="V1841">
    <cfRule type="cellIs" dxfId="29" priority="30" operator="equal">
      <formula>"延長"</formula>
    </cfRule>
  </conditionalFormatting>
  <conditionalFormatting sqref="V1841">
    <cfRule type="cellIs" dxfId="28" priority="26" operator="equal">
      <formula>"退場"</formula>
    </cfRule>
    <cfRule type="cellIs" dxfId="27" priority="27" operator="equal">
      <formula>"持續"</formula>
    </cfRule>
    <cfRule type="cellIs" dxfId="26" priority="28" operator="equal">
      <formula>"延長"</formula>
    </cfRule>
    <cfRule type="cellIs" dxfId="25" priority="29" operator="equal">
      <formula>"尚未調查"</formula>
    </cfRule>
  </conditionalFormatting>
  <conditionalFormatting sqref="V2056">
    <cfRule type="cellIs" dxfId="24" priority="25" operator="equal">
      <formula>"延長"</formula>
    </cfRule>
  </conditionalFormatting>
  <conditionalFormatting sqref="V2056">
    <cfRule type="cellIs" dxfId="23" priority="21" operator="equal">
      <formula>"退場"</formula>
    </cfRule>
    <cfRule type="cellIs" dxfId="22" priority="22" operator="equal">
      <formula>"持續"</formula>
    </cfRule>
    <cfRule type="cellIs" dxfId="21" priority="23" operator="equal">
      <formula>"延長"</formula>
    </cfRule>
    <cfRule type="cellIs" dxfId="20" priority="24" operator="equal">
      <formula>"尚未調查"</formula>
    </cfRule>
  </conditionalFormatting>
  <conditionalFormatting sqref="V1710">
    <cfRule type="cellIs" dxfId="16" priority="17" operator="equal">
      <formula>"正常"</formula>
    </cfRule>
    <cfRule type="cellIs" dxfId="17" priority="18" operator="equal">
      <formula>"增量"</formula>
    </cfRule>
    <cfRule type="cellIs" dxfId="18" priority="19" operator="equal">
      <formula>"管制"</formula>
    </cfRule>
    <cfRule type="cellIs" dxfId="19" priority="20" operator="equal">
      <formula>"延長"</formula>
    </cfRule>
  </conditionalFormatting>
  <conditionalFormatting sqref="V1711">
    <cfRule type="cellIs" dxfId="12" priority="13" operator="equal">
      <formula>"正常"</formula>
    </cfRule>
    <cfRule type="cellIs" dxfId="13" priority="14" operator="equal">
      <formula>"增量"</formula>
    </cfRule>
    <cfRule type="cellIs" dxfId="14" priority="15" operator="equal">
      <formula>"管制"</formula>
    </cfRule>
    <cfRule type="cellIs" dxfId="15" priority="16" operator="equal">
      <formula>"延長"</formula>
    </cfRule>
  </conditionalFormatting>
  <conditionalFormatting sqref="V1712">
    <cfRule type="cellIs" dxfId="8" priority="9" operator="equal">
      <formula>"正常"</formula>
    </cfRule>
    <cfRule type="cellIs" dxfId="9" priority="10" operator="equal">
      <formula>"增量"</formula>
    </cfRule>
    <cfRule type="cellIs" dxfId="10" priority="11" operator="equal">
      <formula>"管制"</formula>
    </cfRule>
    <cfRule type="cellIs" dxfId="11" priority="12" operator="equal">
      <formula>"延長"</formula>
    </cfRule>
  </conditionalFormatting>
  <conditionalFormatting sqref="V2143">
    <cfRule type="cellIs" dxfId="4" priority="5" operator="equal">
      <formula>"正常"</formula>
    </cfRule>
    <cfRule type="cellIs" dxfId="5" priority="6" operator="equal">
      <formula>"增量"</formula>
    </cfRule>
    <cfRule type="cellIs" dxfId="6" priority="7" operator="equal">
      <formula>"管制"</formula>
    </cfRule>
    <cfRule type="cellIs" dxfId="7" priority="8" operator="equal">
      <formula>"延長"</formula>
    </cfRule>
  </conditionalFormatting>
  <conditionalFormatting sqref="V2442">
    <cfRule type="cellIs" dxfId="0" priority="1" operator="equal">
      <formula>"正常"</formula>
    </cfRule>
    <cfRule type="cellIs" dxfId="1" priority="2" operator="equal">
      <formula>"增量"</formula>
    </cfRule>
    <cfRule type="cellIs" dxfId="2" priority="3" operator="equal">
      <formula>"管制"</formula>
    </cfRule>
    <cfRule type="cellIs" dxfId="3" priority="4" operator="equal">
      <formula>"延長"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5620</v>
      </c>
      <c r="B1" t="s">
        <v>2878</v>
      </c>
      <c r="C1" t="s">
        <v>5621</v>
      </c>
      <c r="D1" t="s">
        <v>5622</v>
      </c>
      <c r="E1" s="493" t="s">
        <v>5866</v>
      </c>
      <c r="F1" s="494" t="s">
        <v>5867</v>
      </c>
      <c r="G1" s="494" t="s">
        <v>5868</v>
      </c>
      <c r="H1" s="494" t="s">
        <v>5869</v>
      </c>
      <c r="I1" s="494" t="s">
        <v>5870</v>
      </c>
      <c r="J1" s="494" t="s">
        <v>5871</v>
      </c>
      <c r="K1" s="494" t="s">
        <v>5872</v>
      </c>
      <c r="L1" s="494" t="s">
        <v>5873</v>
      </c>
      <c r="M1" s="461" t="s">
        <v>5874</v>
      </c>
      <c r="N1" s="462" t="s">
        <v>5875</v>
      </c>
      <c r="O1" s="462" t="s">
        <v>5876</v>
      </c>
      <c r="P1" s="462" t="s">
        <v>5877</v>
      </c>
      <c r="Q1" s="462" t="s">
        <v>5878</v>
      </c>
      <c r="R1" s="462" t="s">
        <v>5879</v>
      </c>
      <c r="S1" s="462" t="s">
        <v>5880</v>
      </c>
      <c r="T1" s="462" t="s">
        <v>5881</v>
      </c>
    </row>
  </sheetData>
  <phoneticPr fontId="3" type="noConversion"/>
  <conditionalFormatting sqref="E1:L1">
    <cfRule type="cellIs" dxfId="34" priority="2" operator="equal">
      <formula>"P"</formula>
    </cfRule>
  </conditionalFormatting>
  <conditionalFormatting sqref="M1:T1">
    <cfRule type="cellIs" dxfId="33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B7" sqref="B7"/>
    </sheetView>
  </sheetViews>
  <sheetFormatPr defaultRowHeight="16.2" x14ac:dyDescent="0.3"/>
  <cols>
    <col min="1" max="1" width="22.21875" style="476" customWidth="1"/>
    <col min="2" max="2" width="28.109375" style="478" customWidth="1"/>
    <col min="3" max="3" width="20.44140625" bestFit="1" customWidth="1"/>
  </cols>
  <sheetData>
    <row r="1" spans="1:3" x14ac:dyDescent="0.3">
      <c r="A1" s="479" t="s">
        <v>5882</v>
      </c>
      <c r="B1" s="469" t="s">
        <v>5883</v>
      </c>
      <c r="C1" t="s">
        <v>5884</v>
      </c>
    </row>
    <row r="2" spans="1:3" x14ac:dyDescent="0.3">
      <c r="A2" s="447" t="s">
        <v>5631</v>
      </c>
      <c r="B2" s="470" t="s">
        <v>4772</v>
      </c>
      <c r="C2" s="495" t="s">
        <v>5885</v>
      </c>
    </row>
    <row r="3" spans="1:3" x14ac:dyDescent="0.3">
      <c r="A3" s="447" t="s">
        <v>5631</v>
      </c>
      <c r="B3" s="497" t="s">
        <v>5890</v>
      </c>
      <c r="C3" s="471" t="s">
        <v>5630</v>
      </c>
    </row>
    <row r="4" spans="1:3" x14ac:dyDescent="0.3">
      <c r="A4" s="447" t="s">
        <v>5631</v>
      </c>
      <c r="B4" s="470" t="s">
        <v>4774</v>
      </c>
      <c r="C4" s="471" t="s">
        <v>5630</v>
      </c>
    </row>
    <row r="5" spans="1:3" x14ac:dyDescent="0.3">
      <c r="A5" s="447" t="s">
        <v>5632</v>
      </c>
      <c r="B5" s="472" t="s">
        <v>3151</v>
      </c>
      <c r="C5" s="447" t="s">
        <v>5628</v>
      </c>
    </row>
    <row r="6" spans="1:3" x14ac:dyDescent="0.3">
      <c r="A6" s="447" t="s">
        <v>5632</v>
      </c>
      <c r="B6" s="472" t="s">
        <v>3152</v>
      </c>
      <c r="C6" s="471" t="s">
        <v>5630</v>
      </c>
    </row>
    <row r="7" spans="1:3" x14ac:dyDescent="0.3">
      <c r="A7" s="447" t="s">
        <v>5632</v>
      </c>
      <c r="B7" s="472" t="s">
        <v>3153</v>
      </c>
      <c r="C7" s="471" t="s">
        <v>5630</v>
      </c>
    </row>
    <row r="8" spans="1:3" x14ac:dyDescent="0.3">
      <c r="A8" s="447" t="s">
        <v>5633</v>
      </c>
      <c r="B8" s="472" t="s">
        <v>3159</v>
      </c>
      <c r="C8" s="447" t="s">
        <v>5628</v>
      </c>
    </row>
    <row r="9" spans="1:3" x14ac:dyDescent="0.3">
      <c r="A9" s="447" t="s">
        <v>5633</v>
      </c>
      <c r="B9" s="472" t="s">
        <v>3160</v>
      </c>
      <c r="C9" s="471" t="s">
        <v>5630</v>
      </c>
    </row>
    <row r="10" spans="1:3" x14ac:dyDescent="0.3">
      <c r="A10" s="447" t="s">
        <v>5633</v>
      </c>
      <c r="B10" s="472" t="s">
        <v>3162</v>
      </c>
      <c r="C10" s="471" t="s">
        <v>5630</v>
      </c>
    </row>
    <row r="11" spans="1:3" x14ac:dyDescent="0.3">
      <c r="A11" s="447" t="s">
        <v>5634</v>
      </c>
      <c r="B11" s="472" t="s">
        <v>5277</v>
      </c>
      <c r="C11" s="447" t="s">
        <v>5628</v>
      </c>
    </row>
    <row r="12" spans="1:3" x14ac:dyDescent="0.3">
      <c r="A12" s="447" t="s">
        <v>5634</v>
      </c>
      <c r="B12" s="472" t="s">
        <v>5279</v>
      </c>
      <c r="C12" s="471" t="s">
        <v>5630</v>
      </c>
    </row>
    <row r="13" spans="1:3" x14ac:dyDescent="0.3">
      <c r="A13" s="447" t="s">
        <v>5634</v>
      </c>
      <c r="B13" s="472" t="s">
        <v>5278</v>
      </c>
      <c r="C13" s="471" t="s">
        <v>5630</v>
      </c>
    </row>
    <row r="14" spans="1:3" x14ac:dyDescent="0.3">
      <c r="A14" s="447" t="s">
        <v>5635</v>
      </c>
      <c r="B14" s="472" t="s">
        <v>5281</v>
      </c>
      <c r="C14" s="447" t="s">
        <v>5628</v>
      </c>
    </row>
    <row r="15" spans="1:3" x14ac:dyDescent="0.3">
      <c r="A15" s="447" t="s">
        <v>5635</v>
      </c>
      <c r="B15" s="472" t="s">
        <v>5282</v>
      </c>
      <c r="C15" s="471" t="s">
        <v>5630</v>
      </c>
    </row>
    <row r="16" spans="1:3" x14ac:dyDescent="0.3">
      <c r="A16" s="447" t="s">
        <v>5635</v>
      </c>
      <c r="B16" s="472" t="s">
        <v>5283</v>
      </c>
      <c r="C16" s="471" t="s">
        <v>5630</v>
      </c>
    </row>
    <row r="17" spans="1:3" x14ac:dyDescent="0.3">
      <c r="A17" s="447" t="s">
        <v>5636</v>
      </c>
      <c r="B17" s="472" t="s">
        <v>5623</v>
      </c>
      <c r="C17" s="471" t="s">
        <v>5630</v>
      </c>
    </row>
    <row r="18" spans="1:3" x14ac:dyDescent="0.3">
      <c r="A18" s="447" t="s">
        <v>5636</v>
      </c>
      <c r="B18" s="472" t="s">
        <v>3168</v>
      </c>
      <c r="C18" s="447" t="s">
        <v>5628</v>
      </c>
    </row>
    <row r="19" spans="1:3" x14ac:dyDescent="0.3">
      <c r="A19" s="447" t="s">
        <v>5637</v>
      </c>
      <c r="B19" s="472" t="s">
        <v>5326</v>
      </c>
      <c r="C19" s="447" t="s">
        <v>5628</v>
      </c>
    </row>
    <row r="20" spans="1:3" x14ac:dyDescent="0.3">
      <c r="A20" s="447" t="s">
        <v>5637</v>
      </c>
      <c r="B20" s="472" t="s">
        <v>5327</v>
      </c>
      <c r="C20" s="471" t="s">
        <v>5630</v>
      </c>
    </row>
    <row r="21" spans="1:3" x14ac:dyDescent="0.3">
      <c r="A21" s="447" t="s">
        <v>5637</v>
      </c>
      <c r="B21" s="472" t="s">
        <v>5328</v>
      </c>
      <c r="C21" s="471" t="s">
        <v>5630</v>
      </c>
    </row>
    <row r="22" spans="1:3" x14ac:dyDescent="0.3">
      <c r="A22" s="447" t="s">
        <v>5638</v>
      </c>
      <c r="B22" s="472" t="s">
        <v>4839</v>
      </c>
      <c r="C22" s="447" t="s">
        <v>5628</v>
      </c>
    </row>
    <row r="23" spans="1:3" x14ac:dyDescent="0.3">
      <c r="A23" s="447" t="s">
        <v>5638</v>
      </c>
      <c r="B23" s="472" t="s">
        <v>4840</v>
      </c>
      <c r="C23" s="471" t="s">
        <v>5630</v>
      </c>
    </row>
    <row r="24" spans="1:3" x14ac:dyDescent="0.3">
      <c r="A24" s="447" t="s">
        <v>5638</v>
      </c>
      <c r="B24" s="472" t="s">
        <v>4841</v>
      </c>
      <c r="C24" s="471" t="s">
        <v>5630</v>
      </c>
    </row>
    <row r="25" spans="1:3" x14ac:dyDescent="0.3">
      <c r="A25" s="447" t="s">
        <v>5639</v>
      </c>
      <c r="B25" s="472" t="s">
        <v>3193</v>
      </c>
      <c r="C25" s="447" t="s">
        <v>5628</v>
      </c>
    </row>
    <row r="26" spans="1:3" x14ac:dyDescent="0.3">
      <c r="A26" s="447" t="s">
        <v>5639</v>
      </c>
      <c r="B26" s="472" t="s">
        <v>3195</v>
      </c>
      <c r="C26" s="471" t="s">
        <v>5630</v>
      </c>
    </row>
    <row r="27" spans="1:3" x14ac:dyDescent="0.3">
      <c r="A27" s="447" t="s">
        <v>5640</v>
      </c>
      <c r="B27" s="472" t="s">
        <v>3194</v>
      </c>
      <c r="C27" s="447" t="s">
        <v>5628</v>
      </c>
    </row>
    <row r="28" spans="1:3" x14ac:dyDescent="0.3">
      <c r="A28" s="447" t="s">
        <v>5640</v>
      </c>
      <c r="B28" s="472" t="s">
        <v>3726</v>
      </c>
      <c r="C28" s="471" t="s">
        <v>5630</v>
      </c>
    </row>
    <row r="29" spans="1:3" x14ac:dyDescent="0.3">
      <c r="A29" s="447" t="s">
        <v>5641</v>
      </c>
      <c r="B29" s="472" t="s">
        <v>3200</v>
      </c>
      <c r="C29" s="447" t="s">
        <v>5628</v>
      </c>
    </row>
    <row r="30" spans="1:3" x14ac:dyDescent="0.3">
      <c r="A30" s="447" t="s">
        <v>5641</v>
      </c>
      <c r="B30" s="472" t="s">
        <v>3751</v>
      </c>
      <c r="C30" s="471" t="s">
        <v>5630</v>
      </c>
    </row>
    <row r="31" spans="1:3" x14ac:dyDescent="0.3">
      <c r="A31" s="447" t="s">
        <v>5642</v>
      </c>
      <c r="B31" s="472" t="s">
        <v>3201</v>
      </c>
      <c r="C31" s="447" t="s">
        <v>5628</v>
      </c>
    </row>
    <row r="32" spans="1:3" x14ac:dyDescent="0.3">
      <c r="A32" s="447" t="s">
        <v>5642</v>
      </c>
      <c r="B32" s="472" t="s">
        <v>3752</v>
      </c>
      <c r="C32" s="471" t="s">
        <v>5630</v>
      </c>
    </row>
    <row r="33" spans="1:3" x14ac:dyDescent="0.3">
      <c r="A33" s="447" t="s">
        <v>5643</v>
      </c>
      <c r="B33" s="472" t="s">
        <v>3211</v>
      </c>
      <c r="C33" s="447" t="s">
        <v>5628</v>
      </c>
    </row>
    <row r="34" spans="1:3" x14ac:dyDescent="0.3">
      <c r="A34" s="447" t="s">
        <v>5643</v>
      </c>
      <c r="B34" s="472" t="s">
        <v>3753</v>
      </c>
      <c r="C34" s="471" t="s">
        <v>5630</v>
      </c>
    </row>
    <row r="35" spans="1:3" x14ac:dyDescent="0.3">
      <c r="A35" s="447" t="s">
        <v>5644</v>
      </c>
      <c r="B35" s="472" t="s">
        <v>3203</v>
      </c>
      <c r="C35" s="447" t="s">
        <v>5628</v>
      </c>
    </row>
    <row r="36" spans="1:3" x14ac:dyDescent="0.3">
      <c r="A36" s="447" t="s">
        <v>5644</v>
      </c>
      <c r="B36" s="472" t="s">
        <v>3205</v>
      </c>
      <c r="C36" s="471" t="s">
        <v>5630</v>
      </c>
    </row>
    <row r="37" spans="1:3" x14ac:dyDescent="0.3">
      <c r="A37" s="447" t="s">
        <v>5644</v>
      </c>
      <c r="B37" s="472" t="s">
        <v>3206</v>
      </c>
      <c r="C37" s="471" t="s">
        <v>5630</v>
      </c>
    </row>
    <row r="38" spans="1:3" x14ac:dyDescent="0.3">
      <c r="A38" s="447" t="s">
        <v>5644</v>
      </c>
      <c r="B38" s="472" t="s">
        <v>3754</v>
      </c>
      <c r="C38" s="471" t="s">
        <v>5630</v>
      </c>
    </row>
    <row r="39" spans="1:3" x14ac:dyDescent="0.3">
      <c r="A39" s="447" t="s">
        <v>5645</v>
      </c>
      <c r="B39" s="472" t="s">
        <v>3204</v>
      </c>
      <c r="C39" s="447" t="s">
        <v>5628</v>
      </c>
    </row>
    <row r="40" spans="1:3" x14ac:dyDescent="0.3">
      <c r="A40" s="447" t="s">
        <v>5645</v>
      </c>
      <c r="B40" s="472" t="s">
        <v>3207</v>
      </c>
      <c r="C40" s="471" t="s">
        <v>5630</v>
      </c>
    </row>
    <row r="41" spans="1:3" x14ac:dyDescent="0.3">
      <c r="A41" s="447" t="s">
        <v>5646</v>
      </c>
      <c r="B41" s="472" t="s">
        <v>3699</v>
      </c>
      <c r="C41" s="447" t="s">
        <v>5628</v>
      </c>
    </row>
    <row r="42" spans="1:3" x14ac:dyDescent="0.3">
      <c r="A42" s="447" t="s">
        <v>5646</v>
      </c>
      <c r="B42" s="472" t="s">
        <v>3755</v>
      </c>
      <c r="C42" s="471" t="s">
        <v>5630</v>
      </c>
    </row>
    <row r="43" spans="1:3" x14ac:dyDescent="0.3">
      <c r="A43" s="447" t="s">
        <v>5647</v>
      </c>
      <c r="B43" s="472" t="s">
        <v>3700</v>
      </c>
      <c r="C43" s="447" t="s">
        <v>5628</v>
      </c>
    </row>
    <row r="44" spans="1:3" x14ac:dyDescent="0.3">
      <c r="A44" s="447" t="s">
        <v>5647</v>
      </c>
      <c r="B44" s="472" t="s">
        <v>3756</v>
      </c>
      <c r="C44" s="471" t="s">
        <v>5630</v>
      </c>
    </row>
    <row r="45" spans="1:3" x14ac:dyDescent="0.3">
      <c r="A45" s="447" t="s">
        <v>5647</v>
      </c>
      <c r="B45" s="472" t="s">
        <v>3702</v>
      </c>
      <c r="C45" s="471" t="s">
        <v>5630</v>
      </c>
    </row>
    <row r="46" spans="1:3" x14ac:dyDescent="0.3">
      <c r="A46" s="447" t="s">
        <v>5648</v>
      </c>
      <c r="B46" s="472" t="s">
        <v>3701</v>
      </c>
      <c r="C46" s="447" t="s">
        <v>5628</v>
      </c>
    </row>
    <row r="47" spans="1:3" x14ac:dyDescent="0.3">
      <c r="A47" s="447" t="s">
        <v>5648</v>
      </c>
      <c r="B47" s="472" t="s">
        <v>3703</v>
      </c>
      <c r="C47" s="471" t="s">
        <v>5630</v>
      </c>
    </row>
    <row r="48" spans="1:3" x14ac:dyDescent="0.3">
      <c r="A48" s="447" t="s">
        <v>5648</v>
      </c>
      <c r="B48" s="472" t="s">
        <v>3765</v>
      </c>
      <c r="C48" s="471" t="s">
        <v>5630</v>
      </c>
    </row>
    <row r="49" spans="1:3" x14ac:dyDescent="0.3">
      <c r="A49" s="447" t="s">
        <v>5649</v>
      </c>
      <c r="B49" s="472" t="s">
        <v>3709</v>
      </c>
      <c r="C49" s="447" t="s">
        <v>5628</v>
      </c>
    </row>
    <row r="50" spans="1:3" x14ac:dyDescent="0.3">
      <c r="A50" s="447" t="s">
        <v>5649</v>
      </c>
      <c r="B50" s="472" t="s">
        <v>3711</v>
      </c>
      <c r="C50" s="471" t="s">
        <v>5630</v>
      </c>
    </row>
    <row r="51" spans="1:3" x14ac:dyDescent="0.3">
      <c r="A51" s="447" t="s">
        <v>5650</v>
      </c>
      <c r="B51" s="472" t="s">
        <v>3738</v>
      </c>
      <c r="C51" s="447" t="s">
        <v>5628</v>
      </c>
    </row>
    <row r="52" spans="1:3" x14ac:dyDescent="0.3">
      <c r="A52" s="447" t="s">
        <v>5650</v>
      </c>
      <c r="B52" s="472" t="s">
        <v>3749</v>
      </c>
      <c r="C52" s="471" t="s">
        <v>5630</v>
      </c>
    </row>
    <row r="53" spans="1:3" x14ac:dyDescent="0.3">
      <c r="A53" s="447" t="s">
        <v>5651</v>
      </c>
      <c r="B53" s="472" t="s">
        <v>5336</v>
      </c>
      <c r="C53" s="447" t="s">
        <v>5628</v>
      </c>
    </row>
    <row r="54" spans="1:3" x14ac:dyDescent="0.3">
      <c r="A54" s="447" t="s">
        <v>5651</v>
      </c>
      <c r="B54" s="472" t="s">
        <v>5337</v>
      </c>
      <c r="C54" s="471" t="s">
        <v>5630</v>
      </c>
    </row>
    <row r="55" spans="1:3" x14ac:dyDescent="0.3">
      <c r="A55" s="447" t="s">
        <v>5651</v>
      </c>
      <c r="B55" s="472" t="s">
        <v>5338</v>
      </c>
      <c r="C55" s="471" t="s">
        <v>5630</v>
      </c>
    </row>
    <row r="56" spans="1:3" x14ac:dyDescent="0.3">
      <c r="A56" s="447" t="s">
        <v>5652</v>
      </c>
      <c r="B56" s="472" t="s">
        <v>3769</v>
      </c>
      <c r="C56" s="447" t="s">
        <v>5628</v>
      </c>
    </row>
    <row r="57" spans="1:3" x14ac:dyDescent="0.3">
      <c r="A57" s="447" t="s">
        <v>5652</v>
      </c>
      <c r="B57" s="472" t="s">
        <v>3784</v>
      </c>
      <c r="C57" s="471" t="s">
        <v>5630</v>
      </c>
    </row>
    <row r="58" spans="1:3" x14ac:dyDescent="0.3">
      <c r="A58" s="447" t="s">
        <v>5653</v>
      </c>
      <c r="B58" s="472" t="s">
        <v>3770</v>
      </c>
      <c r="C58" s="447" t="s">
        <v>5628</v>
      </c>
    </row>
    <row r="59" spans="1:3" x14ac:dyDescent="0.3">
      <c r="A59" s="447" t="s">
        <v>5653</v>
      </c>
      <c r="B59" s="472" t="s">
        <v>4632</v>
      </c>
      <c r="C59" s="471" t="s">
        <v>5630</v>
      </c>
    </row>
    <row r="60" spans="1:3" x14ac:dyDescent="0.3">
      <c r="A60" s="447" t="s">
        <v>5654</v>
      </c>
      <c r="B60" s="472" t="s">
        <v>3774</v>
      </c>
      <c r="C60" s="447" t="s">
        <v>5628</v>
      </c>
    </row>
    <row r="61" spans="1:3" x14ac:dyDescent="0.3">
      <c r="A61" s="447" t="s">
        <v>5654</v>
      </c>
      <c r="B61" s="472" t="s">
        <v>3781</v>
      </c>
      <c r="C61" s="471" t="s">
        <v>5630</v>
      </c>
    </row>
    <row r="62" spans="1:3" x14ac:dyDescent="0.3">
      <c r="A62" s="447" t="s">
        <v>5655</v>
      </c>
      <c r="B62" s="472" t="s">
        <v>3776</v>
      </c>
      <c r="C62" s="447" t="s">
        <v>5628</v>
      </c>
    </row>
    <row r="63" spans="1:3" x14ac:dyDescent="0.3">
      <c r="A63" s="447" t="s">
        <v>5655</v>
      </c>
      <c r="B63" s="472" t="s">
        <v>3782</v>
      </c>
      <c r="C63" s="471" t="s">
        <v>5630</v>
      </c>
    </row>
    <row r="64" spans="1:3" x14ac:dyDescent="0.3">
      <c r="A64" s="447" t="s">
        <v>5656</v>
      </c>
      <c r="B64" s="472" t="s">
        <v>3777</v>
      </c>
      <c r="C64" s="447" t="s">
        <v>5628</v>
      </c>
    </row>
    <row r="65" spans="1:3" x14ac:dyDescent="0.3">
      <c r="A65" s="447" t="s">
        <v>5656</v>
      </c>
      <c r="B65" s="472" t="s">
        <v>3783</v>
      </c>
      <c r="C65" s="471" t="s">
        <v>5630</v>
      </c>
    </row>
    <row r="66" spans="1:3" x14ac:dyDescent="0.3">
      <c r="A66" s="447" t="s">
        <v>5657</v>
      </c>
      <c r="B66" s="472" t="s">
        <v>4630</v>
      </c>
      <c r="C66" s="447" t="s">
        <v>5628</v>
      </c>
    </row>
    <row r="67" spans="1:3" x14ac:dyDescent="0.3">
      <c r="A67" s="447" t="s">
        <v>5657</v>
      </c>
      <c r="B67" s="472" t="s">
        <v>4989</v>
      </c>
      <c r="C67" s="471" t="s">
        <v>5630</v>
      </c>
    </row>
    <row r="68" spans="1:3" x14ac:dyDescent="0.3">
      <c r="A68" s="447" t="s">
        <v>5658</v>
      </c>
      <c r="B68" s="472" t="s">
        <v>3790</v>
      </c>
      <c r="C68" s="447" t="s">
        <v>5628</v>
      </c>
    </row>
    <row r="69" spans="1:3" x14ac:dyDescent="0.3">
      <c r="A69" s="447" t="s">
        <v>5658</v>
      </c>
      <c r="B69" s="472" t="s">
        <v>3791</v>
      </c>
      <c r="C69" s="471" t="s">
        <v>5630</v>
      </c>
    </row>
    <row r="70" spans="1:3" x14ac:dyDescent="0.3">
      <c r="A70" s="447" t="s">
        <v>5659</v>
      </c>
      <c r="B70" s="472" t="s">
        <v>4743</v>
      </c>
      <c r="C70" s="447" t="s">
        <v>5628</v>
      </c>
    </row>
    <row r="71" spans="1:3" x14ac:dyDescent="0.3">
      <c r="A71" s="447" t="s">
        <v>5659</v>
      </c>
      <c r="B71" s="472" t="s">
        <v>4744</v>
      </c>
      <c r="C71" s="471" t="s">
        <v>5630</v>
      </c>
    </row>
    <row r="72" spans="1:3" x14ac:dyDescent="0.3">
      <c r="A72" s="447" t="s">
        <v>5660</v>
      </c>
      <c r="B72" s="472" t="s">
        <v>4740</v>
      </c>
      <c r="C72" s="447" t="s">
        <v>5628</v>
      </c>
    </row>
    <row r="73" spans="1:3" x14ac:dyDescent="0.3">
      <c r="A73" s="447" t="s">
        <v>5660</v>
      </c>
      <c r="B73" s="472" t="s">
        <v>4741</v>
      </c>
      <c r="C73" s="471" t="s">
        <v>5630</v>
      </c>
    </row>
    <row r="74" spans="1:3" x14ac:dyDescent="0.3">
      <c r="A74" s="447" t="s">
        <v>5661</v>
      </c>
      <c r="B74" s="472" t="s">
        <v>4747</v>
      </c>
      <c r="C74" s="447" t="s">
        <v>5628</v>
      </c>
    </row>
    <row r="75" spans="1:3" x14ac:dyDescent="0.3">
      <c r="A75" s="447" t="s">
        <v>5661</v>
      </c>
      <c r="B75" s="472" t="s">
        <v>4746</v>
      </c>
      <c r="C75" s="471" t="s">
        <v>5630</v>
      </c>
    </row>
    <row r="76" spans="1:3" x14ac:dyDescent="0.3">
      <c r="A76" s="447" t="s">
        <v>5662</v>
      </c>
      <c r="B76" s="472" t="s">
        <v>3792</v>
      </c>
      <c r="C76" s="447" t="s">
        <v>5628</v>
      </c>
    </row>
    <row r="77" spans="1:3" x14ac:dyDescent="0.3">
      <c r="A77" s="447" t="s">
        <v>5662</v>
      </c>
      <c r="B77" s="472" t="s">
        <v>3794</v>
      </c>
      <c r="C77" s="471" t="s">
        <v>5630</v>
      </c>
    </row>
    <row r="78" spans="1:3" x14ac:dyDescent="0.3">
      <c r="A78" s="447" t="s">
        <v>5663</v>
      </c>
      <c r="B78" s="472" t="s">
        <v>3235</v>
      </c>
      <c r="C78" s="447" t="s">
        <v>5628</v>
      </c>
    </row>
    <row r="79" spans="1:3" x14ac:dyDescent="0.3">
      <c r="A79" s="447" t="s">
        <v>5663</v>
      </c>
      <c r="B79" s="472" t="s">
        <v>3220</v>
      </c>
      <c r="C79" s="471" t="s">
        <v>5630</v>
      </c>
    </row>
    <row r="80" spans="1:3" x14ac:dyDescent="0.3">
      <c r="A80" s="447" t="s">
        <v>5664</v>
      </c>
      <c r="B80" s="472" t="s">
        <v>5343</v>
      </c>
      <c r="C80" s="447" t="s">
        <v>5628</v>
      </c>
    </row>
    <row r="81" spans="1:3" x14ac:dyDescent="0.3">
      <c r="A81" s="447" t="s">
        <v>5664</v>
      </c>
      <c r="B81" s="472" t="s">
        <v>5344</v>
      </c>
      <c r="C81" s="471" t="s">
        <v>5630</v>
      </c>
    </row>
    <row r="82" spans="1:3" x14ac:dyDescent="0.3">
      <c r="A82" s="447" t="s">
        <v>5664</v>
      </c>
      <c r="B82" s="472" t="s">
        <v>5346</v>
      </c>
      <c r="C82" s="471" t="s">
        <v>5630</v>
      </c>
    </row>
    <row r="83" spans="1:3" x14ac:dyDescent="0.3">
      <c r="A83" s="447" t="s">
        <v>5664</v>
      </c>
      <c r="B83" s="472" t="s">
        <v>5345</v>
      </c>
      <c r="C83" s="471" t="s">
        <v>5630</v>
      </c>
    </row>
    <row r="84" spans="1:3" x14ac:dyDescent="0.3">
      <c r="A84" s="447" t="s">
        <v>5665</v>
      </c>
      <c r="B84" s="472" t="s">
        <v>3212</v>
      </c>
      <c r="C84" s="447" t="s">
        <v>5628</v>
      </c>
    </row>
    <row r="85" spans="1:3" x14ac:dyDescent="0.3">
      <c r="A85" s="447" t="s">
        <v>5665</v>
      </c>
      <c r="B85" s="472" t="s">
        <v>3221</v>
      </c>
      <c r="C85" s="471" t="s">
        <v>5630</v>
      </c>
    </row>
    <row r="86" spans="1:3" x14ac:dyDescent="0.3">
      <c r="A86" s="447" t="s">
        <v>5666</v>
      </c>
      <c r="B86" s="472" t="s">
        <v>3217</v>
      </c>
      <c r="C86" s="447" t="s">
        <v>5628</v>
      </c>
    </row>
    <row r="87" spans="1:3" x14ac:dyDescent="0.3">
      <c r="A87" s="447" t="s">
        <v>5666</v>
      </c>
      <c r="B87" s="472" t="s">
        <v>3223</v>
      </c>
      <c r="C87" s="471" t="s">
        <v>5630</v>
      </c>
    </row>
    <row r="88" spans="1:3" x14ac:dyDescent="0.3">
      <c r="A88" s="447" t="s">
        <v>5667</v>
      </c>
      <c r="B88" s="472" t="s">
        <v>3804</v>
      </c>
      <c r="C88" s="447" t="s">
        <v>5628</v>
      </c>
    </row>
    <row r="89" spans="1:3" x14ac:dyDescent="0.3">
      <c r="A89" s="447" t="s">
        <v>5667</v>
      </c>
      <c r="B89" s="472" t="s">
        <v>3805</v>
      </c>
      <c r="C89" s="471" t="s">
        <v>5630</v>
      </c>
    </row>
    <row r="90" spans="1:3" x14ac:dyDescent="0.3">
      <c r="A90" s="447" t="s">
        <v>5668</v>
      </c>
      <c r="B90" s="472" t="s">
        <v>3224</v>
      </c>
      <c r="C90" s="447" t="s">
        <v>5628</v>
      </c>
    </row>
    <row r="91" spans="1:3" x14ac:dyDescent="0.3">
      <c r="A91" s="447" t="s">
        <v>5668</v>
      </c>
      <c r="B91" s="447" t="s">
        <v>3225</v>
      </c>
      <c r="C91" s="471" t="s">
        <v>5630</v>
      </c>
    </row>
    <row r="92" spans="1:3" x14ac:dyDescent="0.3">
      <c r="A92" s="447" t="s">
        <v>5669</v>
      </c>
      <c r="B92" s="472" t="s">
        <v>4846</v>
      </c>
      <c r="C92" s="447" t="s">
        <v>5628</v>
      </c>
    </row>
    <row r="93" spans="1:3" x14ac:dyDescent="0.3">
      <c r="A93" s="447" t="s">
        <v>5669</v>
      </c>
      <c r="B93" s="472" t="s">
        <v>4847</v>
      </c>
      <c r="C93" s="471" t="s">
        <v>5630</v>
      </c>
    </row>
    <row r="94" spans="1:3" x14ac:dyDescent="0.3">
      <c r="A94" s="447" t="s">
        <v>5669</v>
      </c>
      <c r="B94" s="472" t="s">
        <v>4848</v>
      </c>
      <c r="C94" s="471" t="s">
        <v>5630</v>
      </c>
    </row>
    <row r="95" spans="1:3" x14ac:dyDescent="0.3">
      <c r="A95" s="447" t="s">
        <v>5670</v>
      </c>
      <c r="B95" s="472" t="s">
        <v>3811</v>
      </c>
      <c r="C95" s="447" t="s">
        <v>5628</v>
      </c>
    </row>
    <row r="96" spans="1:3" x14ac:dyDescent="0.3">
      <c r="A96" s="447" t="s">
        <v>5670</v>
      </c>
      <c r="B96" s="472" t="s">
        <v>3812</v>
      </c>
      <c r="C96" s="471" t="s">
        <v>5630</v>
      </c>
    </row>
    <row r="97" spans="1:3" x14ac:dyDescent="0.3">
      <c r="A97" s="447" t="s">
        <v>5671</v>
      </c>
      <c r="B97" s="472" t="s">
        <v>3820</v>
      </c>
      <c r="C97" s="447" t="s">
        <v>5628</v>
      </c>
    </row>
    <row r="98" spans="1:3" x14ac:dyDescent="0.3">
      <c r="A98" s="447" t="s">
        <v>5671</v>
      </c>
      <c r="B98" s="472" t="s">
        <v>3822</v>
      </c>
      <c r="C98" s="471" t="s">
        <v>5630</v>
      </c>
    </row>
    <row r="99" spans="1:3" x14ac:dyDescent="0.3">
      <c r="A99" s="447" t="s">
        <v>5672</v>
      </c>
      <c r="B99" s="472" t="s">
        <v>3230</v>
      </c>
      <c r="C99" s="447" t="s">
        <v>5628</v>
      </c>
    </row>
    <row r="100" spans="1:3" x14ac:dyDescent="0.3">
      <c r="A100" s="447" t="s">
        <v>5672</v>
      </c>
      <c r="B100" s="472" t="s">
        <v>3232</v>
      </c>
      <c r="C100" s="471" t="s">
        <v>5630</v>
      </c>
    </row>
    <row r="101" spans="1:3" x14ac:dyDescent="0.3">
      <c r="A101" s="447" t="s">
        <v>5673</v>
      </c>
      <c r="B101" s="472" t="s">
        <v>3826</v>
      </c>
      <c r="C101" s="447" t="s">
        <v>5628</v>
      </c>
    </row>
    <row r="102" spans="1:3" x14ac:dyDescent="0.3">
      <c r="A102" s="447" t="s">
        <v>5673</v>
      </c>
      <c r="B102" s="472" t="s">
        <v>3827</v>
      </c>
      <c r="C102" s="471" t="s">
        <v>5630</v>
      </c>
    </row>
    <row r="103" spans="1:3" x14ac:dyDescent="0.3">
      <c r="A103" s="447" t="s">
        <v>5673</v>
      </c>
      <c r="B103" s="472" t="s">
        <v>3828</v>
      </c>
      <c r="C103" s="471" t="s">
        <v>5630</v>
      </c>
    </row>
    <row r="104" spans="1:3" x14ac:dyDescent="0.3">
      <c r="A104" s="447" t="s">
        <v>5673</v>
      </c>
      <c r="B104" s="472" t="s">
        <v>3829</v>
      </c>
      <c r="C104" s="471" t="s">
        <v>5630</v>
      </c>
    </row>
    <row r="105" spans="1:3" x14ac:dyDescent="0.3">
      <c r="A105" s="447" t="s">
        <v>5673</v>
      </c>
      <c r="B105" s="472" t="s">
        <v>3830</v>
      </c>
      <c r="C105" s="471" t="s">
        <v>5630</v>
      </c>
    </row>
    <row r="106" spans="1:3" x14ac:dyDescent="0.3">
      <c r="A106" s="447" t="s">
        <v>5674</v>
      </c>
      <c r="B106" s="472" t="s">
        <v>4779</v>
      </c>
      <c r="C106" s="447" t="s">
        <v>5628</v>
      </c>
    </row>
    <row r="107" spans="1:3" x14ac:dyDescent="0.3">
      <c r="A107" s="447" t="s">
        <v>5674</v>
      </c>
      <c r="B107" s="472" t="s">
        <v>4780</v>
      </c>
      <c r="C107" s="471" t="s">
        <v>5630</v>
      </c>
    </row>
    <row r="108" spans="1:3" x14ac:dyDescent="0.3">
      <c r="A108" s="447" t="s">
        <v>5675</v>
      </c>
      <c r="B108" s="472" t="s">
        <v>4531</v>
      </c>
      <c r="C108" s="447" t="s">
        <v>5628</v>
      </c>
    </row>
    <row r="109" spans="1:3" x14ac:dyDescent="0.3">
      <c r="A109" s="447" t="s">
        <v>5675</v>
      </c>
      <c r="B109" s="472" t="s">
        <v>4532</v>
      </c>
      <c r="C109" s="471" t="s">
        <v>5630</v>
      </c>
    </row>
    <row r="110" spans="1:3" x14ac:dyDescent="0.3">
      <c r="A110" s="447" t="s">
        <v>5676</v>
      </c>
      <c r="B110" s="472" t="s">
        <v>3835</v>
      </c>
      <c r="C110" s="447" t="s">
        <v>5628</v>
      </c>
    </row>
    <row r="111" spans="1:3" x14ac:dyDescent="0.3">
      <c r="A111" s="447" t="s">
        <v>5676</v>
      </c>
      <c r="B111" s="472" t="s">
        <v>4636</v>
      </c>
      <c r="C111" s="471" t="s">
        <v>5630</v>
      </c>
    </row>
    <row r="112" spans="1:3" x14ac:dyDescent="0.3">
      <c r="A112" s="447" t="s">
        <v>5677</v>
      </c>
      <c r="B112" s="472" t="s">
        <v>3242</v>
      </c>
      <c r="C112" s="447" t="s">
        <v>5628</v>
      </c>
    </row>
    <row r="113" spans="1:3" x14ac:dyDescent="0.3">
      <c r="A113" s="447" t="s">
        <v>5677</v>
      </c>
      <c r="B113" s="472" t="s">
        <v>3246</v>
      </c>
      <c r="C113" s="471" t="s">
        <v>5630</v>
      </c>
    </row>
    <row r="114" spans="1:3" x14ac:dyDescent="0.3">
      <c r="A114" s="447" t="s">
        <v>5678</v>
      </c>
      <c r="B114" s="472" t="s">
        <v>3243</v>
      </c>
      <c r="C114" s="471" t="s">
        <v>5630</v>
      </c>
    </row>
    <row r="115" spans="1:3" x14ac:dyDescent="0.3">
      <c r="A115" s="447" t="s">
        <v>5678</v>
      </c>
      <c r="B115" s="472" t="s">
        <v>3244</v>
      </c>
      <c r="C115" s="447" t="s">
        <v>5628</v>
      </c>
    </row>
    <row r="116" spans="1:3" x14ac:dyDescent="0.3">
      <c r="A116" s="447" t="s">
        <v>5679</v>
      </c>
      <c r="B116" s="472" t="s">
        <v>3247</v>
      </c>
      <c r="C116" s="471" t="s">
        <v>5630</v>
      </c>
    </row>
    <row r="117" spans="1:3" x14ac:dyDescent="0.3">
      <c r="A117" s="447" t="s">
        <v>5679</v>
      </c>
      <c r="B117" s="472" t="s">
        <v>3249</v>
      </c>
      <c r="C117" s="471" t="s">
        <v>5630</v>
      </c>
    </row>
    <row r="118" spans="1:3" x14ac:dyDescent="0.3">
      <c r="A118" s="447" t="s">
        <v>5679</v>
      </c>
      <c r="B118" s="472" t="s">
        <v>3250</v>
      </c>
      <c r="C118" s="447" t="s">
        <v>5628</v>
      </c>
    </row>
    <row r="119" spans="1:3" x14ac:dyDescent="0.3">
      <c r="A119" s="447" t="s">
        <v>5679</v>
      </c>
      <c r="B119" s="472" t="s">
        <v>3251</v>
      </c>
      <c r="C119" s="471" t="s">
        <v>5630</v>
      </c>
    </row>
    <row r="120" spans="1:3" x14ac:dyDescent="0.3">
      <c r="A120" s="447" t="s">
        <v>5680</v>
      </c>
      <c r="B120" s="472" t="s">
        <v>3254</v>
      </c>
      <c r="C120" s="447" t="s">
        <v>5628</v>
      </c>
    </row>
    <row r="121" spans="1:3" x14ac:dyDescent="0.3">
      <c r="A121" s="447" t="s">
        <v>5680</v>
      </c>
      <c r="B121" s="472" t="s">
        <v>3265</v>
      </c>
      <c r="C121" s="471" t="s">
        <v>5630</v>
      </c>
    </row>
    <row r="122" spans="1:3" x14ac:dyDescent="0.3">
      <c r="A122" s="447" t="s">
        <v>5681</v>
      </c>
      <c r="B122" s="472" t="s">
        <v>3257</v>
      </c>
      <c r="C122" s="447" t="s">
        <v>5628</v>
      </c>
    </row>
    <row r="123" spans="1:3" x14ac:dyDescent="0.3">
      <c r="A123" s="447" t="s">
        <v>5681</v>
      </c>
      <c r="B123" s="472" t="s">
        <v>3259</v>
      </c>
      <c r="C123" s="471" t="s">
        <v>5630</v>
      </c>
    </row>
    <row r="124" spans="1:3" x14ac:dyDescent="0.3">
      <c r="A124" s="447" t="s">
        <v>5681</v>
      </c>
      <c r="B124" s="472" t="s">
        <v>3260</v>
      </c>
      <c r="C124" s="471" t="s">
        <v>5630</v>
      </c>
    </row>
    <row r="125" spans="1:3" x14ac:dyDescent="0.3">
      <c r="A125" s="447" t="s">
        <v>5681</v>
      </c>
      <c r="B125" s="472" t="s">
        <v>3261</v>
      </c>
      <c r="C125" s="471" t="s">
        <v>5630</v>
      </c>
    </row>
    <row r="126" spans="1:3" x14ac:dyDescent="0.3">
      <c r="A126" s="447" t="s">
        <v>5681</v>
      </c>
      <c r="B126" s="472" t="s">
        <v>3262</v>
      </c>
      <c r="C126" s="471" t="s">
        <v>5630</v>
      </c>
    </row>
    <row r="127" spans="1:3" x14ac:dyDescent="0.3">
      <c r="A127" s="447" t="s">
        <v>5681</v>
      </c>
      <c r="B127" s="472" t="s">
        <v>3263</v>
      </c>
      <c r="C127" s="471" t="s">
        <v>5630</v>
      </c>
    </row>
    <row r="128" spans="1:3" x14ac:dyDescent="0.3">
      <c r="A128" s="447" t="s">
        <v>5682</v>
      </c>
      <c r="B128" s="472" t="s">
        <v>3266</v>
      </c>
      <c r="C128" s="447" t="s">
        <v>5628</v>
      </c>
    </row>
    <row r="129" spans="1:3" x14ac:dyDescent="0.3">
      <c r="A129" s="447" t="s">
        <v>5682</v>
      </c>
      <c r="B129" s="472" t="s">
        <v>3267</v>
      </c>
      <c r="C129" s="471" t="s">
        <v>5630</v>
      </c>
    </row>
    <row r="130" spans="1:3" x14ac:dyDescent="0.3">
      <c r="A130" s="447" t="s">
        <v>5682</v>
      </c>
      <c r="B130" s="472" t="s">
        <v>3268</v>
      </c>
      <c r="C130" s="471" t="s">
        <v>5630</v>
      </c>
    </row>
    <row r="131" spans="1:3" x14ac:dyDescent="0.3">
      <c r="A131" s="447" t="s">
        <v>5682</v>
      </c>
      <c r="B131" s="472" t="s">
        <v>3269</v>
      </c>
      <c r="C131" s="471" t="s">
        <v>5630</v>
      </c>
    </row>
    <row r="132" spans="1:3" x14ac:dyDescent="0.3">
      <c r="A132" s="447" t="s">
        <v>5683</v>
      </c>
      <c r="B132" s="472" t="s">
        <v>3252</v>
      </c>
      <c r="C132" s="447" t="s">
        <v>5628</v>
      </c>
    </row>
    <row r="133" spans="1:3" x14ac:dyDescent="0.3">
      <c r="A133" s="447" t="s">
        <v>5683</v>
      </c>
      <c r="B133" s="472" t="s">
        <v>4769</v>
      </c>
      <c r="C133" s="471" t="s">
        <v>5630</v>
      </c>
    </row>
    <row r="134" spans="1:3" x14ac:dyDescent="0.3">
      <c r="A134" s="447" t="s">
        <v>5683</v>
      </c>
      <c r="B134" s="472" t="s">
        <v>4770</v>
      </c>
      <c r="C134" s="471" t="s">
        <v>5630</v>
      </c>
    </row>
    <row r="135" spans="1:3" x14ac:dyDescent="0.3">
      <c r="A135" s="447" t="s">
        <v>5684</v>
      </c>
      <c r="B135" s="472" t="s">
        <v>5624</v>
      </c>
      <c r="C135" s="447" t="s">
        <v>5628</v>
      </c>
    </row>
    <row r="136" spans="1:3" x14ac:dyDescent="0.3">
      <c r="A136" s="447" t="s">
        <v>5684</v>
      </c>
      <c r="B136" s="472" t="s">
        <v>4771</v>
      </c>
      <c r="C136" s="471" t="s">
        <v>5630</v>
      </c>
    </row>
    <row r="137" spans="1:3" x14ac:dyDescent="0.3">
      <c r="A137" s="447" t="s">
        <v>5685</v>
      </c>
      <c r="B137" s="472" t="s">
        <v>5625</v>
      </c>
      <c r="C137" s="447" t="s">
        <v>5628</v>
      </c>
    </row>
    <row r="138" spans="1:3" x14ac:dyDescent="0.3">
      <c r="A138" s="447" t="s">
        <v>5685</v>
      </c>
      <c r="B138" s="472" t="s">
        <v>5626</v>
      </c>
      <c r="C138" s="471" t="s">
        <v>5630</v>
      </c>
    </row>
    <row r="139" spans="1:3" x14ac:dyDescent="0.3">
      <c r="A139" s="447" t="s">
        <v>5685</v>
      </c>
      <c r="B139" s="472" t="s">
        <v>5627</v>
      </c>
      <c r="C139" s="471" t="s">
        <v>5630</v>
      </c>
    </row>
    <row r="140" spans="1:3" x14ac:dyDescent="0.3">
      <c r="A140" s="447" t="s">
        <v>5686</v>
      </c>
      <c r="B140" s="472" t="s">
        <v>4786</v>
      </c>
      <c r="C140" s="471" t="s">
        <v>5630</v>
      </c>
    </row>
    <row r="141" spans="1:3" x14ac:dyDescent="0.3">
      <c r="A141" s="447" t="s">
        <v>5686</v>
      </c>
      <c r="B141" s="472" t="s">
        <v>4787</v>
      </c>
      <c r="C141" s="447" t="s">
        <v>5628</v>
      </c>
    </row>
    <row r="142" spans="1:3" x14ac:dyDescent="0.3">
      <c r="A142" s="447" t="s">
        <v>5686</v>
      </c>
      <c r="B142" s="472" t="s">
        <v>4788</v>
      </c>
      <c r="C142" s="471" t="s">
        <v>5630</v>
      </c>
    </row>
    <row r="143" spans="1:3" x14ac:dyDescent="0.3">
      <c r="A143" s="447" t="s">
        <v>5687</v>
      </c>
      <c r="B143" s="472" t="s">
        <v>5347</v>
      </c>
      <c r="C143" s="447" t="s">
        <v>5628</v>
      </c>
    </row>
    <row r="144" spans="1:3" x14ac:dyDescent="0.3">
      <c r="A144" s="447" t="s">
        <v>5687</v>
      </c>
      <c r="B144" s="472" t="s">
        <v>5348</v>
      </c>
      <c r="C144" s="471" t="s">
        <v>5630</v>
      </c>
    </row>
    <row r="145" spans="1:3" x14ac:dyDescent="0.3">
      <c r="A145" s="447" t="s">
        <v>5688</v>
      </c>
      <c r="B145" s="472" t="s">
        <v>3273</v>
      </c>
      <c r="C145" s="447" t="s">
        <v>5628</v>
      </c>
    </row>
    <row r="146" spans="1:3" x14ac:dyDescent="0.3">
      <c r="A146" s="447" t="s">
        <v>5688</v>
      </c>
      <c r="B146" s="472" t="s">
        <v>3274</v>
      </c>
      <c r="C146" s="471" t="s">
        <v>5630</v>
      </c>
    </row>
    <row r="147" spans="1:3" x14ac:dyDescent="0.3">
      <c r="A147" s="447" t="s">
        <v>5688</v>
      </c>
      <c r="B147" s="472" t="s">
        <v>3275</v>
      </c>
      <c r="C147" s="471" t="s">
        <v>5630</v>
      </c>
    </row>
    <row r="148" spans="1:3" x14ac:dyDescent="0.3">
      <c r="A148" s="447" t="s">
        <v>5689</v>
      </c>
      <c r="B148" s="472" t="s">
        <v>3276</v>
      </c>
      <c r="C148" s="447" t="s">
        <v>5628</v>
      </c>
    </row>
    <row r="149" spans="1:3" x14ac:dyDescent="0.3">
      <c r="A149" s="447" t="s">
        <v>5689</v>
      </c>
      <c r="B149" s="472" t="s">
        <v>3277</v>
      </c>
      <c r="C149" s="471" t="s">
        <v>5630</v>
      </c>
    </row>
    <row r="150" spans="1:3" x14ac:dyDescent="0.3">
      <c r="A150" s="447" t="s">
        <v>5690</v>
      </c>
      <c r="B150" s="472" t="s">
        <v>3842</v>
      </c>
      <c r="C150" s="447" t="s">
        <v>5628</v>
      </c>
    </row>
    <row r="151" spans="1:3" x14ac:dyDescent="0.3">
      <c r="A151" s="447" t="s">
        <v>5690</v>
      </c>
      <c r="B151" s="472" t="s">
        <v>4859</v>
      </c>
      <c r="C151" s="471" t="s">
        <v>5630</v>
      </c>
    </row>
    <row r="152" spans="1:3" x14ac:dyDescent="0.3">
      <c r="A152" s="447" t="s">
        <v>5690</v>
      </c>
      <c r="B152" s="472" t="s">
        <v>4860</v>
      </c>
      <c r="C152" s="471" t="s">
        <v>5630</v>
      </c>
    </row>
    <row r="153" spans="1:3" x14ac:dyDescent="0.3">
      <c r="A153" s="447" t="s">
        <v>5691</v>
      </c>
      <c r="B153" s="472" t="s">
        <v>4646</v>
      </c>
      <c r="C153" s="447" t="s">
        <v>5628</v>
      </c>
    </row>
    <row r="154" spans="1:3" x14ac:dyDescent="0.3">
      <c r="A154" s="447" t="s">
        <v>5691</v>
      </c>
      <c r="B154" s="472" t="s">
        <v>4647</v>
      </c>
      <c r="C154" s="471" t="s">
        <v>5630</v>
      </c>
    </row>
    <row r="155" spans="1:3" x14ac:dyDescent="0.3">
      <c r="A155" s="447" t="s">
        <v>5692</v>
      </c>
      <c r="B155" s="472" t="s">
        <v>3849</v>
      </c>
      <c r="C155" s="447" t="s">
        <v>5628</v>
      </c>
    </row>
    <row r="156" spans="1:3" x14ac:dyDescent="0.3">
      <c r="A156" s="447" t="s">
        <v>5692</v>
      </c>
      <c r="B156" s="472" t="s">
        <v>3850</v>
      </c>
      <c r="C156" s="471" t="s">
        <v>5630</v>
      </c>
    </row>
    <row r="157" spans="1:3" x14ac:dyDescent="0.3">
      <c r="A157" s="447" t="s">
        <v>5693</v>
      </c>
      <c r="B157" s="472" t="s">
        <v>3302</v>
      </c>
      <c r="C157" s="447" t="s">
        <v>5628</v>
      </c>
    </row>
    <row r="158" spans="1:3" x14ac:dyDescent="0.3">
      <c r="A158" s="447" t="s">
        <v>5693</v>
      </c>
      <c r="B158" s="472" t="s">
        <v>3303</v>
      </c>
      <c r="C158" s="471" t="s">
        <v>5630</v>
      </c>
    </row>
    <row r="159" spans="1:3" x14ac:dyDescent="0.3">
      <c r="A159" s="447" t="s">
        <v>5694</v>
      </c>
      <c r="B159" s="472" t="s">
        <v>3859</v>
      </c>
      <c r="C159" s="447" t="s">
        <v>5628</v>
      </c>
    </row>
    <row r="160" spans="1:3" x14ac:dyDescent="0.3">
      <c r="A160" s="447" t="s">
        <v>5694</v>
      </c>
      <c r="B160" s="472" t="s">
        <v>3860</v>
      </c>
      <c r="C160" s="471" t="s">
        <v>5630</v>
      </c>
    </row>
    <row r="161" spans="1:3" x14ac:dyDescent="0.3">
      <c r="A161" s="447" t="s">
        <v>5694</v>
      </c>
      <c r="B161" s="472" t="s">
        <v>3861</v>
      </c>
      <c r="C161" s="471" t="s">
        <v>5630</v>
      </c>
    </row>
    <row r="162" spans="1:3" x14ac:dyDescent="0.3">
      <c r="A162" s="447" t="s">
        <v>5694</v>
      </c>
      <c r="B162" s="472" t="s">
        <v>3884</v>
      </c>
      <c r="C162" s="471" t="s">
        <v>5630</v>
      </c>
    </row>
    <row r="163" spans="1:3" x14ac:dyDescent="0.3">
      <c r="A163" s="447" t="s">
        <v>5695</v>
      </c>
      <c r="B163" s="473" t="s">
        <v>3293</v>
      </c>
      <c r="C163" s="471" t="s">
        <v>5630</v>
      </c>
    </row>
    <row r="164" spans="1:3" x14ac:dyDescent="0.3">
      <c r="A164" s="447" t="s">
        <v>5695</v>
      </c>
      <c r="B164" s="473" t="s">
        <v>3863</v>
      </c>
      <c r="C164" s="447" t="s">
        <v>5628</v>
      </c>
    </row>
    <row r="165" spans="1:3" x14ac:dyDescent="0.3">
      <c r="A165" s="447" t="s">
        <v>5696</v>
      </c>
      <c r="B165" s="472" t="s">
        <v>3865</v>
      </c>
      <c r="C165" s="447" t="s">
        <v>5628</v>
      </c>
    </row>
    <row r="166" spans="1:3" x14ac:dyDescent="0.3">
      <c r="A166" s="447" t="s">
        <v>5696</v>
      </c>
      <c r="B166" s="472" t="s">
        <v>3868</v>
      </c>
      <c r="C166" s="471" t="s">
        <v>5630</v>
      </c>
    </row>
    <row r="167" spans="1:3" x14ac:dyDescent="0.3">
      <c r="A167" s="447" t="s">
        <v>5697</v>
      </c>
      <c r="B167" s="472" t="s">
        <v>3869</v>
      </c>
      <c r="C167" s="471" t="s">
        <v>5630</v>
      </c>
    </row>
    <row r="168" spans="1:3" x14ac:dyDescent="0.3">
      <c r="A168" s="447" t="s">
        <v>5697</v>
      </c>
      <c r="B168" s="472" t="s">
        <v>3871</v>
      </c>
      <c r="C168" s="447" t="s">
        <v>5628</v>
      </c>
    </row>
    <row r="169" spans="1:3" x14ac:dyDescent="0.3">
      <c r="A169" s="447" t="s">
        <v>5697</v>
      </c>
      <c r="B169" s="472" t="s">
        <v>3872</v>
      </c>
      <c r="C169" s="471" t="s">
        <v>5630</v>
      </c>
    </row>
    <row r="170" spans="1:3" x14ac:dyDescent="0.3">
      <c r="A170" s="447" t="s">
        <v>5698</v>
      </c>
      <c r="B170" s="472" t="s">
        <v>3876</v>
      </c>
      <c r="C170" s="447" t="s">
        <v>5628</v>
      </c>
    </row>
    <row r="171" spans="1:3" x14ac:dyDescent="0.3">
      <c r="A171" s="447" t="s">
        <v>5698</v>
      </c>
      <c r="B171" s="472" t="s">
        <v>3877</v>
      </c>
      <c r="C171" s="471" t="s">
        <v>5630</v>
      </c>
    </row>
    <row r="172" spans="1:3" x14ac:dyDescent="0.3">
      <c r="A172" s="447" t="s">
        <v>5699</v>
      </c>
      <c r="B172" s="472" t="s">
        <v>4648</v>
      </c>
      <c r="C172" s="447" t="s">
        <v>5628</v>
      </c>
    </row>
    <row r="173" spans="1:3" x14ac:dyDescent="0.3">
      <c r="A173" s="447" t="s">
        <v>5699</v>
      </c>
      <c r="B173" s="472" t="s">
        <v>4650</v>
      </c>
      <c r="C173" s="471" t="s">
        <v>5630</v>
      </c>
    </row>
    <row r="174" spans="1:3" x14ac:dyDescent="0.3">
      <c r="A174" s="447" t="s">
        <v>5699</v>
      </c>
      <c r="B174" s="472" t="s">
        <v>4651</v>
      </c>
      <c r="C174" s="471" t="s">
        <v>5630</v>
      </c>
    </row>
    <row r="175" spans="1:3" x14ac:dyDescent="0.3">
      <c r="A175" s="447" t="s">
        <v>5700</v>
      </c>
      <c r="B175" s="472" t="s">
        <v>4652</v>
      </c>
      <c r="C175" s="447" t="s">
        <v>5628</v>
      </c>
    </row>
    <row r="176" spans="1:3" x14ac:dyDescent="0.3">
      <c r="A176" s="447" t="s">
        <v>5700</v>
      </c>
      <c r="B176" s="472" t="s">
        <v>4653</v>
      </c>
      <c r="C176" s="471" t="s">
        <v>5630</v>
      </c>
    </row>
    <row r="177" spans="1:3" x14ac:dyDescent="0.3">
      <c r="A177" s="447" t="s">
        <v>5700</v>
      </c>
      <c r="B177" s="472" t="s">
        <v>4654</v>
      </c>
      <c r="C177" s="471" t="s">
        <v>5630</v>
      </c>
    </row>
    <row r="178" spans="1:3" x14ac:dyDescent="0.3">
      <c r="A178" s="447" t="s">
        <v>5701</v>
      </c>
      <c r="B178" s="472" t="s">
        <v>4862</v>
      </c>
      <c r="C178" s="447" t="s">
        <v>5628</v>
      </c>
    </row>
    <row r="179" spans="1:3" x14ac:dyDescent="0.3">
      <c r="A179" s="447" t="s">
        <v>5701</v>
      </c>
      <c r="B179" s="472" t="s">
        <v>4863</v>
      </c>
      <c r="C179" s="471" t="s">
        <v>5630</v>
      </c>
    </row>
    <row r="180" spans="1:3" x14ac:dyDescent="0.3">
      <c r="A180" s="447" t="s">
        <v>5702</v>
      </c>
      <c r="B180" s="472" t="s">
        <v>4657</v>
      </c>
      <c r="C180" s="447" t="s">
        <v>5628</v>
      </c>
    </row>
    <row r="181" spans="1:3" x14ac:dyDescent="0.3">
      <c r="A181" s="447" t="s">
        <v>5702</v>
      </c>
      <c r="B181" s="472" t="s">
        <v>4658</v>
      </c>
      <c r="C181" s="471" t="s">
        <v>5630</v>
      </c>
    </row>
    <row r="182" spans="1:3" x14ac:dyDescent="0.3">
      <c r="A182" s="447" t="s">
        <v>5702</v>
      </c>
      <c r="B182" s="472" t="s">
        <v>4659</v>
      </c>
      <c r="C182" s="471" t="s">
        <v>5630</v>
      </c>
    </row>
    <row r="183" spans="1:3" x14ac:dyDescent="0.3">
      <c r="A183" s="447" t="s">
        <v>5703</v>
      </c>
      <c r="B183" s="472" t="s">
        <v>3892</v>
      </c>
      <c r="C183" s="447" t="s">
        <v>5628</v>
      </c>
    </row>
    <row r="184" spans="1:3" x14ac:dyDescent="0.3">
      <c r="A184" s="447" t="s">
        <v>5703</v>
      </c>
      <c r="B184" s="472" t="s">
        <v>3895</v>
      </c>
      <c r="C184" s="471" t="s">
        <v>5630</v>
      </c>
    </row>
    <row r="185" spans="1:3" x14ac:dyDescent="0.3">
      <c r="A185" s="447" t="s">
        <v>5704</v>
      </c>
      <c r="B185" s="472" t="s">
        <v>3311</v>
      </c>
      <c r="C185" s="447" t="s">
        <v>5628</v>
      </c>
    </row>
    <row r="186" spans="1:3" x14ac:dyDescent="0.3">
      <c r="A186" s="447" t="s">
        <v>5704</v>
      </c>
      <c r="B186" s="472" t="s">
        <v>3313</v>
      </c>
      <c r="C186" s="471" t="s">
        <v>5630</v>
      </c>
    </row>
    <row r="187" spans="1:3" x14ac:dyDescent="0.3">
      <c r="A187" s="447" t="s">
        <v>5705</v>
      </c>
      <c r="B187" s="472" t="s">
        <v>3899</v>
      </c>
      <c r="C187" s="471" t="s">
        <v>5630</v>
      </c>
    </row>
    <row r="188" spans="1:3" x14ac:dyDescent="0.3">
      <c r="A188" s="447" t="s">
        <v>5705</v>
      </c>
      <c r="B188" s="472" t="s">
        <v>3900</v>
      </c>
      <c r="C188" s="447" t="s">
        <v>5628</v>
      </c>
    </row>
    <row r="189" spans="1:3" x14ac:dyDescent="0.3">
      <c r="A189" s="447" t="s">
        <v>5706</v>
      </c>
      <c r="B189" s="472" t="s">
        <v>4662</v>
      </c>
      <c r="C189" s="447" t="s">
        <v>5628</v>
      </c>
    </row>
    <row r="190" spans="1:3" x14ac:dyDescent="0.3">
      <c r="A190" s="447" t="s">
        <v>5706</v>
      </c>
      <c r="B190" s="472" t="s">
        <v>4664</v>
      </c>
      <c r="C190" s="471" t="s">
        <v>5630</v>
      </c>
    </row>
    <row r="191" spans="1:3" x14ac:dyDescent="0.3">
      <c r="A191" s="447" t="s">
        <v>5707</v>
      </c>
      <c r="B191" s="472" t="s">
        <v>3909</v>
      </c>
      <c r="C191" s="471" t="s">
        <v>5630</v>
      </c>
    </row>
    <row r="192" spans="1:3" x14ac:dyDescent="0.3">
      <c r="A192" s="447" t="s">
        <v>5707</v>
      </c>
      <c r="B192" s="472" t="s">
        <v>3910</v>
      </c>
      <c r="C192" s="447" t="s">
        <v>5628</v>
      </c>
    </row>
    <row r="193" spans="1:3" x14ac:dyDescent="0.3">
      <c r="A193" s="447" t="s">
        <v>5708</v>
      </c>
      <c r="B193" s="472" t="s">
        <v>3904</v>
      </c>
      <c r="C193" s="447" t="s">
        <v>5628</v>
      </c>
    </row>
    <row r="194" spans="1:3" x14ac:dyDescent="0.3">
      <c r="A194" s="447" t="s">
        <v>5708</v>
      </c>
      <c r="B194" s="472" t="s">
        <v>3908</v>
      </c>
      <c r="C194" s="471" t="s">
        <v>5630</v>
      </c>
    </row>
    <row r="195" spans="1:3" x14ac:dyDescent="0.3">
      <c r="A195" s="447" t="s">
        <v>5709</v>
      </c>
      <c r="B195" s="472" t="s">
        <v>3912</v>
      </c>
      <c r="C195" s="447" t="s">
        <v>5628</v>
      </c>
    </row>
    <row r="196" spans="1:3" x14ac:dyDescent="0.3">
      <c r="A196" s="447" t="s">
        <v>5709</v>
      </c>
      <c r="B196" s="472" t="s">
        <v>3917</v>
      </c>
      <c r="C196" s="471" t="s">
        <v>5630</v>
      </c>
    </row>
    <row r="197" spans="1:3" x14ac:dyDescent="0.3">
      <c r="A197" s="447" t="s">
        <v>5710</v>
      </c>
      <c r="B197" s="472" t="s">
        <v>3913</v>
      </c>
      <c r="C197" s="447" t="s">
        <v>5628</v>
      </c>
    </row>
    <row r="198" spans="1:3" x14ac:dyDescent="0.3">
      <c r="A198" s="447" t="s">
        <v>5710</v>
      </c>
      <c r="B198" s="472" t="s">
        <v>3918</v>
      </c>
      <c r="C198" s="471" t="s">
        <v>5630</v>
      </c>
    </row>
    <row r="199" spans="1:3" x14ac:dyDescent="0.3">
      <c r="A199" s="447" t="s">
        <v>5711</v>
      </c>
      <c r="B199" s="472" t="s">
        <v>5357</v>
      </c>
      <c r="C199" s="447" t="s">
        <v>5628</v>
      </c>
    </row>
    <row r="200" spans="1:3" x14ac:dyDescent="0.3">
      <c r="A200" s="447" t="s">
        <v>5711</v>
      </c>
      <c r="B200" s="472" t="s">
        <v>5359</v>
      </c>
      <c r="C200" s="471" t="s">
        <v>5630</v>
      </c>
    </row>
    <row r="201" spans="1:3" x14ac:dyDescent="0.3">
      <c r="A201" s="447" t="s">
        <v>5712</v>
      </c>
      <c r="B201" s="472" t="s">
        <v>5358</v>
      </c>
      <c r="C201" s="447" t="s">
        <v>5628</v>
      </c>
    </row>
    <row r="202" spans="1:3" x14ac:dyDescent="0.3">
      <c r="A202" s="447" t="s">
        <v>5712</v>
      </c>
      <c r="B202" s="472" t="s">
        <v>5360</v>
      </c>
      <c r="C202" s="471" t="s">
        <v>5630</v>
      </c>
    </row>
    <row r="203" spans="1:3" x14ac:dyDescent="0.3">
      <c r="A203" s="447" t="s">
        <v>5713</v>
      </c>
      <c r="B203" s="472" t="s">
        <v>3327</v>
      </c>
      <c r="C203" s="471" t="s">
        <v>5630</v>
      </c>
    </row>
    <row r="204" spans="1:3" x14ac:dyDescent="0.3">
      <c r="A204" s="447" t="s">
        <v>5713</v>
      </c>
      <c r="B204" s="472" t="s">
        <v>3329</v>
      </c>
      <c r="C204" s="447" t="s">
        <v>5628</v>
      </c>
    </row>
    <row r="205" spans="1:3" x14ac:dyDescent="0.3">
      <c r="A205" s="447" t="s">
        <v>5713</v>
      </c>
      <c r="B205" s="472" t="s">
        <v>3336</v>
      </c>
      <c r="C205" s="471" t="s">
        <v>5630</v>
      </c>
    </row>
    <row r="206" spans="1:3" x14ac:dyDescent="0.3">
      <c r="A206" s="447" t="s">
        <v>5713</v>
      </c>
      <c r="B206" s="472" t="s">
        <v>3337</v>
      </c>
      <c r="C206" s="471" t="s">
        <v>5630</v>
      </c>
    </row>
    <row r="207" spans="1:3" x14ac:dyDescent="0.3">
      <c r="A207" s="447" t="s">
        <v>5714</v>
      </c>
      <c r="B207" s="472" t="s">
        <v>3326</v>
      </c>
      <c r="C207" s="447" t="s">
        <v>5628</v>
      </c>
    </row>
    <row r="208" spans="1:3" x14ac:dyDescent="0.3">
      <c r="A208" s="447" t="s">
        <v>5714</v>
      </c>
      <c r="B208" s="472" t="s">
        <v>3335</v>
      </c>
      <c r="C208" s="471" t="s">
        <v>5630</v>
      </c>
    </row>
    <row r="209" spans="1:3" x14ac:dyDescent="0.3">
      <c r="A209" s="447" t="s">
        <v>5715</v>
      </c>
      <c r="B209" s="472" t="s">
        <v>3330</v>
      </c>
      <c r="C209" s="447" t="s">
        <v>5628</v>
      </c>
    </row>
    <row r="210" spans="1:3" x14ac:dyDescent="0.3">
      <c r="A210" s="447" t="s">
        <v>5715</v>
      </c>
      <c r="B210" s="472" t="s">
        <v>3931</v>
      </c>
      <c r="C210" s="471" t="s">
        <v>5630</v>
      </c>
    </row>
    <row r="211" spans="1:3" x14ac:dyDescent="0.3">
      <c r="A211" s="447" t="s">
        <v>5716</v>
      </c>
      <c r="B211" s="472" t="s">
        <v>3953</v>
      </c>
      <c r="C211" s="447" t="s">
        <v>5628</v>
      </c>
    </row>
    <row r="212" spans="1:3" x14ac:dyDescent="0.3">
      <c r="A212" s="447" t="s">
        <v>5716</v>
      </c>
      <c r="B212" s="472" t="s">
        <v>3964</v>
      </c>
      <c r="C212" s="471" t="s">
        <v>5630</v>
      </c>
    </row>
    <row r="213" spans="1:3" x14ac:dyDescent="0.3">
      <c r="A213" s="447" t="s">
        <v>5717</v>
      </c>
      <c r="B213" s="472" t="s">
        <v>3960</v>
      </c>
      <c r="C213" s="471" t="s">
        <v>5630</v>
      </c>
    </row>
    <row r="214" spans="1:3" x14ac:dyDescent="0.3">
      <c r="A214" s="447" t="s">
        <v>5717</v>
      </c>
      <c r="B214" s="472" t="s">
        <v>3967</v>
      </c>
      <c r="C214" s="447" t="s">
        <v>5628</v>
      </c>
    </row>
    <row r="215" spans="1:3" x14ac:dyDescent="0.3">
      <c r="A215" s="447" t="s">
        <v>5718</v>
      </c>
      <c r="B215" s="472" t="s">
        <v>3961</v>
      </c>
      <c r="C215" s="471" t="s">
        <v>5630</v>
      </c>
    </row>
    <row r="216" spans="1:3" x14ac:dyDescent="0.3">
      <c r="A216" s="447" t="s">
        <v>5718</v>
      </c>
      <c r="B216" s="472" t="s">
        <v>3963</v>
      </c>
      <c r="C216" s="447" t="s">
        <v>5628</v>
      </c>
    </row>
    <row r="217" spans="1:3" x14ac:dyDescent="0.3">
      <c r="A217" s="447" t="s">
        <v>5719</v>
      </c>
      <c r="B217" s="472" t="s">
        <v>3965</v>
      </c>
      <c r="C217" s="447" t="s">
        <v>5628</v>
      </c>
    </row>
    <row r="218" spans="1:3" x14ac:dyDescent="0.3">
      <c r="A218" s="447" t="s">
        <v>5719</v>
      </c>
      <c r="B218" s="472" t="s">
        <v>3966</v>
      </c>
      <c r="C218" s="471" t="s">
        <v>5630</v>
      </c>
    </row>
    <row r="219" spans="1:3" x14ac:dyDescent="0.3">
      <c r="A219" s="447" t="s">
        <v>5720</v>
      </c>
      <c r="B219" s="474" t="s">
        <v>3971</v>
      </c>
      <c r="C219" s="447" t="s">
        <v>5628</v>
      </c>
    </row>
    <row r="220" spans="1:3" x14ac:dyDescent="0.3">
      <c r="A220" s="447" t="s">
        <v>5720</v>
      </c>
      <c r="B220" s="474" t="s">
        <v>4040</v>
      </c>
      <c r="C220" s="471" t="s">
        <v>5630</v>
      </c>
    </row>
    <row r="221" spans="1:3" x14ac:dyDescent="0.3">
      <c r="A221" s="447" t="s">
        <v>5721</v>
      </c>
      <c r="B221" s="472" t="s">
        <v>4765</v>
      </c>
      <c r="C221" s="447" t="s">
        <v>5628</v>
      </c>
    </row>
    <row r="222" spans="1:3" x14ac:dyDescent="0.3">
      <c r="A222" s="447" t="s">
        <v>5721</v>
      </c>
      <c r="B222" s="472" t="s">
        <v>4766</v>
      </c>
      <c r="C222" s="471" t="s">
        <v>5630</v>
      </c>
    </row>
    <row r="223" spans="1:3" x14ac:dyDescent="0.3">
      <c r="A223" s="447" t="s">
        <v>5721</v>
      </c>
      <c r="B223" s="472" t="s">
        <v>4767</v>
      </c>
      <c r="C223" s="471" t="s">
        <v>5630</v>
      </c>
    </row>
    <row r="224" spans="1:3" x14ac:dyDescent="0.3">
      <c r="A224" s="447" t="s">
        <v>5722</v>
      </c>
      <c r="B224" s="472" t="s">
        <v>3977</v>
      </c>
      <c r="C224" s="447" t="s">
        <v>5628</v>
      </c>
    </row>
    <row r="225" spans="1:3" x14ac:dyDescent="0.3">
      <c r="A225" s="447" t="s">
        <v>5722</v>
      </c>
      <c r="B225" s="472" t="s">
        <v>3978</v>
      </c>
      <c r="C225" s="471" t="s">
        <v>5630</v>
      </c>
    </row>
    <row r="226" spans="1:3" x14ac:dyDescent="0.3">
      <c r="A226" s="447" t="s">
        <v>5722</v>
      </c>
      <c r="B226" s="472" t="s">
        <v>3979</v>
      </c>
      <c r="C226" s="471" t="s">
        <v>5630</v>
      </c>
    </row>
    <row r="227" spans="1:3" x14ac:dyDescent="0.3">
      <c r="A227" s="447" t="s">
        <v>5722</v>
      </c>
      <c r="B227" s="472" t="s">
        <v>3980</v>
      </c>
      <c r="C227" s="471" t="s">
        <v>5630</v>
      </c>
    </row>
    <row r="228" spans="1:3" x14ac:dyDescent="0.3">
      <c r="A228" s="447" t="s">
        <v>5722</v>
      </c>
      <c r="B228" s="472" t="s">
        <v>3981</v>
      </c>
      <c r="C228" s="471" t="s">
        <v>5630</v>
      </c>
    </row>
    <row r="229" spans="1:3" x14ac:dyDescent="0.3">
      <c r="A229" s="447" t="s">
        <v>5722</v>
      </c>
      <c r="B229" s="472" t="s">
        <v>3982</v>
      </c>
      <c r="C229" s="471" t="s">
        <v>5630</v>
      </c>
    </row>
    <row r="230" spans="1:3" x14ac:dyDescent="0.3">
      <c r="A230" s="447" t="s">
        <v>5722</v>
      </c>
      <c r="B230" s="472" t="s">
        <v>3983</v>
      </c>
      <c r="C230" s="471" t="s">
        <v>5630</v>
      </c>
    </row>
    <row r="231" spans="1:3" x14ac:dyDescent="0.3">
      <c r="A231" s="447" t="s">
        <v>5722</v>
      </c>
      <c r="B231" s="472" t="s">
        <v>3984</v>
      </c>
      <c r="C231" s="471" t="s">
        <v>5630</v>
      </c>
    </row>
    <row r="232" spans="1:3" x14ac:dyDescent="0.3">
      <c r="A232" s="447" t="s">
        <v>5723</v>
      </c>
      <c r="B232" s="472" t="s">
        <v>5374</v>
      </c>
      <c r="C232" s="447" t="s">
        <v>5628</v>
      </c>
    </row>
    <row r="233" spans="1:3" x14ac:dyDescent="0.3">
      <c r="A233" s="447" t="s">
        <v>5723</v>
      </c>
      <c r="B233" s="472" t="s">
        <v>5375</v>
      </c>
      <c r="C233" s="471" t="s">
        <v>5630</v>
      </c>
    </row>
    <row r="234" spans="1:3" x14ac:dyDescent="0.3">
      <c r="A234" s="447" t="s">
        <v>5724</v>
      </c>
      <c r="B234" s="472" t="s">
        <v>4795</v>
      </c>
      <c r="C234" s="447" t="s">
        <v>5628</v>
      </c>
    </row>
    <row r="235" spans="1:3" x14ac:dyDescent="0.3">
      <c r="A235" s="447" t="s">
        <v>5724</v>
      </c>
      <c r="B235" s="472" t="s">
        <v>4796</v>
      </c>
      <c r="C235" s="471" t="s">
        <v>5630</v>
      </c>
    </row>
    <row r="236" spans="1:3" x14ac:dyDescent="0.3">
      <c r="A236" s="447" t="s">
        <v>5725</v>
      </c>
      <c r="B236" s="472" t="s">
        <v>4002</v>
      </c>
      <c r="C236" s="447" t="s">
        <v>5628</v>
      </c>
    </row>
    <row r="237" spans="1:3" x14ac:dyDescent="0.3">
      <c r="A237" s="447" t="s">
        <v>5725</v>
      </c>
      <c r="B237" s="472" t="s">
        <v>4010</v>
      </c>
      <c r="C237" s="471" t="s">
        <v>5630</v>
      </c>
    </row>
    <row r="238" spans="1:3" x14ac:dyDescent="0.3">
      <c r="A238" s="447" t="s">
        <v>5726</v>
      </c>
      <c r="B238" s="472" t="s">
        <v>4001</v>
      </c>
      <c r="C238" s="447" t="s">
        <v>5628</v>
      </c>
    </row>
    <row r="239" spans="1:3" x14ac:dyDescent="0.3">
      <c r="A239" s="447" t="s">
        <v>5726</v>
      </c>
      <c r="B239" s="472" t="s">
        <v>4009</v>
      </c>
      <c r="C239" s="471" t="s">
        <v>5630</v>
      </c>
    </row>
    <row r="240" spans="1:3" x14ac:dyDescent="0.3">
      <c r="A240" s="447" t="s">
        <v>5727</v>
      </c>
      <c r="B240" s="472" t="s">
        <v>4000</v>
      </c>
      <c r="C240" s="447" t="s">
        <v>5628</v>
      </c>
    </row>
    <row r="241" spans="1:3" x14ac:dyDescent="0.3">
      <c r="A241" s="447" t="s">
        <v>5727</v>
      </c>
      <c r="B241" s="472" t="s">
        <v>4008</v>
      </c>
      <c r="C241" s="471" t="s">
        <v>5630</v>
      </c>
    </row>
    <row r="242" spans="1:3" x14ac:dyDescent="0.3">
      <c r="A242" s="447" t="s">
        <v>5728</v>
      </c>
      <c r="B242" s="472" t="s">
        <v>3997</v>
      </c>
      <c r="C242" s="471" t="s">
        <v>5630</v>
      </c>
    </row>
    <row r="243" spans="1:3" x14ac:dyDescent="0.3">
      <c r="A243" s="447" t="s">
        <v>5728</v>
      </c>
      <c r="B243" s="472" t="s">
        <v>3998</v>
      </c>
      <c r="C243" s="447" t="s">
        <v>5628</v>
      </c>
    </row>
    <row r="244" spans="1:3" x14ac:dyDescent="0.3">
      <c r="A244" s="447" t="s">
        <v>5729</v>
      </c>
      <c r="B244" s="472" t="s">
        <v>3996</v>
      </c>
      <c r="C244" s="447" t="s">
        <v>5628</v>
      </c>
    </row>
    <row r="245" spans="1:3" x14ac:dyDescent="0.3">
      <c r="A245" s="447" t="s">
        <v>5729</v>
      </c>
      <c r="B245" s="472" t="s">
        <v>4007</v>
      </c>
      <c r="C245" s="471" t="s">
        <v>5630</v>
      </c>
    </row>
    <row r="246" spans="1:3" x14ac:dyDescent="0.3">
      <c r="A246" s="447" t="s">
        <v>5730</v>
      </c>
      <c r="B246" s="472" t="s">
        <v>3349</v>
      </c>
      <c r="C246" s="447" t="s">
        <v>5628</v>
      </c>
    </row>
    <row r="247" spans="1:3" x14ac:dyDescent="0.3">
      <c r="A247" s="447" t="s">
        <v>5730</v>
      </c>
      <c r="B247" s="472" t="s">
        <v>3351</v>
      </c>
      <c r="C247" s="471" t="s">
        <v>5630</v>
      </c>
    </row>
    <row r="248" spans="1:3" x14ac:dyDescent="0.3">
      <c r="A248" s="447" t="s">
        <v>5731</v>
      </c>
      <c r="B248" s="472" t="s">
        <v>4017</v>
      </c>
      <c r="C248" s="447" t="s">
        <v>5628</v>
      </c>
    </row>
    <row r="249" spans="1:3" x14ac:dyDescent="0.3">
      <c r="A249" s="447" t="s">
        <v>5731</v>
      </c>
      <c r="B249" s="472" t="s">
        <v>4020</v>
      </c>
      <c r="C249" s="471" t="s">
        <v>5630</v>
      </c>
    </row>
    <row r="250" spans="1:3" x14ac:dyDescent="0.3">
      <c r="A250" s="447" t="s">
        <v>5732</v>
      </c>
      <c r="B250" s="472" t="s">
        <v>4669</v>
      </c>
      <c r="C250" s="447" t="s">
        <v>5628</v>
      </c>
    </row>
    <row r="251" spans="1:3" x14ac:dyDescent="0.3">
      <c r="A251" s="447" t="s">
        <v>5732</v>
      </c>
      <c r="B251" s="472" t="s">
        <v>4675</v>
      </c>
      <c r="C251" s="471" t="s">
        <v>5630</v>
      </c>
    </row>
    <row r="252" spans="1:3" x14ac:dyDescent="0.3">
      <c r="A252" s="447" t="s">
        <v>5733</v>
      </c>
      <c r="B252" s="472" t="s">
        <v>3354</v>
      </c>
      <c r="C252" s="471" t="s">
        <v>5630</v>
      </c>
    </row>
    <row r="253" spans="1:3" x14ac:dyDescent="0.3">
      <c r="A253" s="447" t="s">
        <v>5733</v>
      </c>
      <c r="B253" s="472" t="s">
        <v>3356</v>
      </c>
      <c r="C253" s="447" t="s">
        <v>5628</v>
      </c>
    </row>
    <row r="254" spans="1:3" x14ac:dyDescent="0.3">
      <c r="A254" s="447" t="s">
        <v>5734</v>
      </c>
      <c r="B254" s="472" t="s">
        <v>4037</v>
      </c>
      <c r="C254" s="447" t="s">
        <v>5628</v>
      </c>
    </row>
    <row r="255" spans="1:3" x14ac:dyDescent="0.3">
      <c r="A255" s="447" t="s">
        <v>5734</v>
      </c>
      <c r="B255" s="472" t="s">
        <v>4038</v>
      </c>
      <c r="C255" s="471" t="s">
        <v>5630</v>
      </c>
    </row>
    <row r="256" spans="1:3" x14ac:dyDescent="0.3">
      <c r="A256" s="447" t="s">
        <v>5734</v>
      </c>
      <c r="B256" s="472" t="s">
        <v>4039</v>
      </c>
      <c r="C256" s="471" t="s">
        <v>5630</v>
      </c>
    </row>
    <row r="257" spans="1:3" x14ac:dyDescent="0.3">
      <c r="A257" s="447" t="s">
        <v>5735</v>
      </c>
      <c r="B257" s="472" t="s">
        <v>4798</v>
      </c>
      <c r="C257" s="447" t="s">
        <v>5628</v>
      </c>
    </row>
    <row r="258" spans="1:3" x14ac:dyDescent="0.3">
      <c r="A258" s="447" t="s">
        <v>5735</v>
      </c>
      <c r="B258" s="472" t="s">
        <v>4799</v>
      </c>
      <c r="C258" s="471" t="s">
        <v>5630</v>
      </c>
    </row>
    <row r="259" spans="1:3" x14ac:dyDescent="0.3">
      <c r="A259" s="447" t="s">
        <v>5736</v>
      </c>
      <c r="B259" s="472" t="s">
        <v>5385</v>
      </c>
      <c r="C259" s="447" t="s">
        <v>5628</v>
      </c>
    </row>
    <row r="260" spans="1:3" x14ac:dyDescent="0.3">
      <c r="A260" s="447" t="s">
        <v>5736</v>
      </c>
      <c r="B260" s="472" t="s">
        <v>5386</v>
      </c>
      <c r="C260" s="471" t="s">
        <v>5630</v>
      </c>
    </row>
    <row r="261" spans="1:3" x14ac:dyDescent="0.3">
      <c r="A261" s="447" t="s">
        <v>5736</v>
      </c>
      <c r="B261" s="472" t="s">
        <v>5387</v>
      </c>
      <c r="C261" s="471" t="s">
        <v>5630</v>
      </c>
    </row>
    <row r="262" spans="1:3" x14ac:dyDescent="0.3">
      <c r="A262" s="447" t="s">
        <v>5736</v>
      </c>
      <c r="B262" s="472" t="s">
        <v>5388</v>
      </c>
      <c r="C262" s="471" t="s">
        <v>5630</v>
      </c>
    </row>
    <row r="263" spans="1:3" x14ac:dyDescent="0.3">
      <c r="A263" s="447" t="s">
        <v>5736</v>
      </c>
      <c r="B263" s="472" t="s">
        <v>5389</v>
      </c>
      <c r="C263" s="471" t="s">
        <v>5630</v>
      </c>
    </row>
    <row r="264" spans="1:3" x14ac:dyDescent="0.3">
      <c r="A264" s="447" t="s">
        <v>5736</v>
      </c>
      <c r="B264" s="472" t="s">
        <v>5390</v>
      </c>
      <c r="C264" s="471" t="s">
        <v>5630</v>
      </c>
    </row>
    <row r="265" spans="1:3" x14ac:dyDescent="0.3">
      <c r="A265" s="447" t="s">
        <v>5737</v>
      </c>
      <c r="B265" s="472" t="s">
        <v>4679</v>
      </c>
      <c r="C265" s="447" t="s">
        <v>5628</v>
      </c>
    </row>
    <row r="266" spans="1:3" x14ac:dyDescent="0.3">
      <c r="A266" s="447" t="s">
        <v>5737</v>
      </c>
      <c r="B266" s="472" t="s">
        <v>4682</v>
      </c>
      <c r="C266" s="471" t="s">
        <v>5630</v>
      </c>
    </row>
    <row r="267" spans="1:3" x14ac:dyDescent="0.3">
      <c r="A267" s="447" t="s">
        <v>5738</v>
      </c>
      <c r="B267" s="472" t="s">
        <v>4680</v>
      </c>
      <c r="C267" s="447" t="s">
        <v>5628</v>
      </c>
    </row>
    <row r="268" spans="1:3" x14ac:dyDescent="0.3">
      <c r="A268" s="447" t="s">
        <v>5738</v>
      </c>
      <c r="B268" s="472" t="s">
        <v>4683</v>
      </c>
      <c r="C268" s="471" t="s">
        <v>5630</v>
      </c>
    </row>
    <row r="269" spans="1:3" x14ac:dyDescent="0.3">
      <c r="A269" s="447" t="s">
        <v>5739</v>
      </c>
      <c r="B269" s="472" t="s">
        <v>3361</v>
      </c>
      <c r="C269" s="447" t="s">
        <v>5628</v>
      </c>
    </row>
    <row r="270" spans="1:3" x14ac:dyDescent="0.3">
      <c r="A270" s="447" t="s">
        <v>5739</v>
      </c>
      <c r="B270" s="472" t="s">
        <v>3363</v>
      </c>
      <c r="C270" s="471" t="s">
        <v>5630</v>
      </c>
    </row>
    <row r="271" spans="1:3" x14ac:dyDescent="0.3">
      <c r="A271" s="447" t="s">
        <v>5739</v>
      </c>
      <c r="B271" s="472" t="s">
        <v>3364</v>
      </c>
      <c r="C271" s="471" t="s">
        <v>5630</v>
      </c>
    </row>
    <row r="272" spans="1:3" x14ac:dyDescent="0.3">
      <c r="A272" s="447" t="s">
        <v>5740</v>
      </c>
      <c r="B272" s="472" t="s">
        <v>3372</v>
      </c>
      <c r="C272" s="447" t="s">
        <v>5628</v>
      </c>
    </row>
    <row r="273" spans="1:3" x14ac:dyDescent="0.3">
      <c r="A273" s="447" t="s">
        <v>5740</v>
      </c>
      <c r="B273" s="472" t="s">
        <v>3377</v>
      </c>
      <c r="C273" s="471" t="s">
        <v>5630</v>
      </c>
    </row>
    <row r="274" spans="1:3" x14ac:dyDescent="0.3">
      <c r="A274" s="447" t="s">
        <v>5740</v>
      </c>
      <c r="B274" s="472" t="s">
        <v>3378</v>
      </c>
      <c r="C274" s="471" t="s">
        <v>5630</v>
      </c>
    </row>
    <row r="275" spans="1:3" x14ac:dyDescent="0.3">
      <c r="A275" s="447" t="s">
        <v>5741</v>
      </c>
      <c r="B275" s="472" t="s">
        <v>3371</v>
      </c>
      <c r="C275" s="447" t="s">
        <v>5628</v>
      </c>
    </row>
    <row r="276" spans="1:3" x14ac:dyDescent="0.3">
      <c r="A276" s="447" t="s">
        <v>5741</v>
      </c>
      <c r="B276" s="472" t="s">
        <v>3375</v>
      </c>
      <c r="C276" s="471" t="s">
        <v>5630</v>
      </c>
    </row>
    <row r="277" spans="1:3" x14ac:dyDescent="0.3">
      <c r="A277" s="447" t="s">
        <v>5741</v>
      </c>
      <c r="B277" s="472" t="s">
        <v>3376</v>
      </c>
      <c r="C277" s="471" t="s">
        <v>5630</v>
      </c>
    </row>
    <row r="278" spans="1:3" x14ac:dyDescent="0.3">
      <c r="A278" s="447" t="s">
        <v>5742</v>
      </c>
      <c r="B278" s="472" t="s">
        <v>4061</v>
      </c>
      <c r="C278" s="447" t="s">
        <v>5628</v>
      </c>
    </row>
    <row r="279" spans="1:3" x14ac:dyDescent="0.3">
      <c r="A279" s="447" t="s">
        <v>5742</v>
      </c>
      <c r="B279" s="472" t="s">
        <v>4064</v>
      </c>
      <c r="C279" s="471" t="s">
        <v>5630</v>
      </c>
    </row>
    <row r="280" spans="1:3" x14ac:dyDescent="0.3">
      <c r="A280" s="447" t="s">
        <v>5742</v>
      </c>
      <c r="B280" s="472" t="s">
        <v>4065</v>
      </c>
      <c r="C280" s="471" t="s">
        <v>5630</v>
      </c>
    </row>
    <row r="281" spans="1:3" x14ac:dyDescent="0.3">
      <c r="A281" s="447" t="s">
        <v>5743</v>
      </c>
      <c r="B281" s="472" t="s">
        <v>4880</v>
      </c>
      <c r="C281" s="447" t="s">
        <v>5628</v>
      </c>
    </row>
    <row r="282" spans="1:3" x14ac:dyDescent="0.3">
      <c r="A282" s="447" t="s">
        <v>5743</v>
      </c>
      <c r="B282" s="472" t="s">
        <v>4881</v>
      </c>
      <c r="C282" s="471" t="s">
        <v>5630</v>
      </c>
    </row>
    <row r="283" spans="1:3" x14ac:dyDescent="0.3">
      <c r="A283" s="447" t="s">
        <v>5744</v>
      </c>
      <c r="B283" s="472" t="s">
        <v>4882</v>
      </c>
      <c r="C283" s="447" t="s">
        <v>5628</v>
      </c>
    </row>
    <row r="284" spans="1:3" x14ac:dyDescent="0.3">
      <c r="A284" s="447" t="s">
        <v>5744</v>
      </c>
      <c r="B284" s="472" t="s">
        <v>4883</v>
      </c>
      <c r="C284" s="471" t="s">
        <v>5630</v>
      </c>
    </row>
    <row r="285" spans="1:3" x14ac:dyDescent="0.3">
      <c r="A285" s="447" t="s">
        <v>5745</v>
      </c>
      <c r="B285" s="472" t="s">
        <v>4073</v>
      </c>
      <c r="C285" s="447" t="s">
        <v>5628</v>
      </c>
    </row>
    <row r="286" spans="1:3" x14ac:dyDescent="0.3">
      <c r="A286" s="447" t="s">
        <v>5745</v>
      </c>
      <c r="B286" s="472" t="s">
        <v>4074</v>
      </c>
      <c r="C286" s="471" t="s">
        <v>5630</v>
      </c>
    </row>
    <row r="287" spans="1:3" x14ac:dyDescent="0.3">
      <c r="A287" s="447" t="s">
        <v>5746</v>
      </c>
      <c r="B287" s="472" t="s">
        <v>4076</v>
      </c>
      <c r="C287" s="447" t="s">
        <v>5628</v>
      </c>
    </row>
    <row r="288" spans="1:3" x14ac:dyDescent="0.3">
      <c r="A288" s="447" t="s">
        <v>5746</v>
      </c>
      <c r="B288" s="472" t="s">
        <v>4087</v>
      </c>
      <c r="C288" s="471" t="s">
        <v>5630</v>
      </c>
    </row>
    <row r="289" spans="1:3" x14ac:dyDescent="0.3">
      <c r="A289" s="447" t="s">
        <v>5747</v>
      </c>
      <c r="B289" s="472" t="s">
        <v>4078</v>
      </c>
      <c r="C289" s="447" t="s">
        <v>5628</v>
      </c>
    </row>
    <row r="290" spans="1:3" x14ac:dyDescent="0.3">
      <c r="A290" s="447" t="s">
        <v>5747</v>
      </c>
      <c r="B290" s="472" t="s">
        <v>4088</v>
      </c>
      <c r="C290" s="471" t="s">
        <v>5630</v>
      </c>
    </row>
    <row r="291" spans="1:3" x14ac:dyDescent="0.3">
      <c r="A291" s="447" t="s">
        <v>5747</v>
      </c>
      <c r="B291" s="472" t="s">
        <v>4089</v>
      </c>
      <c r="C291" s="471" t="s">
        <v>5630</v>
      </c>
    </row>
    <row r="292" spans="1:3" x14ac:dyDescent="0.3">
      <c r="A292" s="447" t="s">
        <v>5747</v>
      </c>
      <c r="B292" s="472" t="s">
        <v>4090</v>
      </c>
      <c r="C292" s="471" t="s">
        <v>5630</v>
      </c>
    </row>
    <row r="293" spans="1:3" x14ac:dyDescent="0.3">
      <c r="A293" s="447" t="s">
        <v>5747</v>
      </c>
      <c r="B293" s="472" t="s">
        <v>4091</v>
      </c>
      <c r="C293" s="471" t="s">
        <v>5630</v>
      </c>
    </row>
    <row r="294" spans="1:3" x14ac:dyDescent="0.3">
      <c r="A294" s="447" t="s">
        <v>5747</v>
      </c>
      <c r="B294" s="472" t="s">
        <v>4092</v>
      </c>
      <c r="C294" s="471" t="s">
        <v>5630</v>
      </c>
    </row>
    <row r="295" spans="1:3" x14ac:dyDescent="0.3">
      <c r="A295" s="447" t="s">
        <v>5748</v>
      </c>
      <c r="B295" s="472" t="s">
        <v>4080</v>
      </c>
      <c r="C295" s="447" t="s">
        <v>5628</v>
      </c>
    </row>
    <row r="296" spans="1:3" x14ac:dyDescent="0.3">
      <c r="A296" s="447" t="s">
        <v>5748</v>
      </c>
      <c r="B296" s="472" t="s">
        <v>4086</v>
      </c>
      <c r="C296" s="471" t="s">
        <v>5630</v>
      </c>
    </row>
    <row r="297" spans="1:3" x14ac:dyDescent="0.3">
      <c r="A297" s="447" t="s">
        <v>5749</v>
      </c>
      <c r="B297" s="472" t="s">
        <v>5451</v>
      </c>
      <c r="C297" s="447" t="s">
        <v>5628</v>
      </c>
    </row>
    <row r="298" spans="1:3" x14ac:dyDescent="0.3">
      <c r="A298" s="447" t="s">
        <v>5749</v>
      </c>
      <c r="B298" s="472" t="s">
        <v>5452</v>
      </c>
      <c r="C298" s="471" t="s">
        <v>5630</v>
      </c>
    </row>
    <row r="299" spans="1:3" x14ac:dyDescent="0.3">
      <c r="A299" s="447" t="s">
        <v>5750</v>
      </c>
      <c r="B299" s="472" t="s">
        <v>3448</v>
      </c>
      <c r="C299" s="447" t="s">
        <v>5628</v>
      </c>
    </row>
    <row r="300" spans="1:3" x14ac:dyDescent="0.3">
      <c r="A300" s="447" t="s">
        <v>5750</v>
      </c>
      <c r="B300" s="472" t="s">
        <v>3383</v>
      </c>
      <c r="C300" s="471" t="s">
        <v>5630</v>
      </c>
    </row>
    <row r="301" spans="1:3" x14ac:dyDescent="0.3">
      <c r="A301" s="447" t="s">
        <v>5751</v>
      </c>
      <c r="B301" s="472" t="s">
        <v>4093</v>
      </c>
      <c r="C301" s="471" t="s">
        <v>5630</v>
      </c>
    </row>
    <row r="302" spans="1:3" x14ac:dyDescent="0.3">
      <c r="A302" s="447" t="s">
        <v>5751</v>
      </c>
      <c r="B302" s="472" t="s">
        <v>4097</v>
      </c>
      <c r="C302" s="447" t="s">
        <v>5628</v>
      </c>
    </row>
    <row r="303" spans="1:3" x14ac:dyDescent="0.3">
      <c r="A303" s="447" t="s">
        <v>5752</v>
      </c>
      <c r="B303" s="472" t="s">
        <v>5392</v>
      </c>
      <c r="C303" s="471" t="s">
        <v>5630</v>
      </c>
    </row>
    <row r="304" spans="1:3" x14ac:dyDescent="0.3">
      <c r="A304" s="447" t="s">
        <v>5752</v>
      </c>
      <c r="B304" s="472" t="s">
        <v>5391</v>
      </c>
      <c r="C304" s="447" t="s">
        <v>5628</v>
      </c>
    </row>
    <row r="305" spans="1:3" x14ac:dyDescent="0.3">
      <c r="A305" s="447" t="s">
        <v>5753</v>
      </c>
      <c r="B305" s="472" t="s">
        <v>3357</v>
      </c>
      <c r="C305" s="471" t="s">
        <v>5630</v>
      </c>
    </row>
    <row r="306" spans="1:3" x14ac:dyDescent="0.3">
      <c r="A306" s="447" t="s">
        <v>5753</v>
      </c>
      <c r="B306" s="472" t="s">
        <v>3358</v>
      </c>
      <c r="C306" s="447" t="s">
        <v>5628</v>
      </c>
    </row>
    <row r="307" spans="1:3" x14ac:dyDescent="0.3">
      <c r="A307" s="447" t="s">
        <v>5754</v>
      </c>
      <c r="B307" s="472" t="s">
        <v>4800</v>
      </c>
      <c r="C307" s="471" t="s">
        <v>5630</v>
      </c>
    </row>
    <row r="308" spans="1:3" x14ac:dyDescent="0.3">
      <c r="A308" s="447" t="s">
        <v>5754</v>
      </c>
      <c r="B308" s="472" t="s">
        <v>4801</v>
      </c>
      <c r="C308" s="471" t="s">
        <v>5630</v>
      </c>
    </row>
    <row r="309" spans="1:3" x14ac:dyDescent="0.3">
      <c r="A309" s="447" t="s">
        <v>5754</v>
      </c>
      <c r="B309" s="472" t="s">
        <v>4806</v>
      </c>
      <c r="C309" s="447" t="s">
        <v>5628</v>
      </c>
    </row>
    <row r="310" spans="1:3" x14ac:dyDescent="0.3">
      <c r="A310" s="447" t="s">
        <v>5754</v>
      </c>
      <c r="B310" s="472" t="s">
        <v>4807</v>
      </c>
      <c r="C310" s="471" t="s">
        <v>5630</v>
      </c>
    </row>
    <row r="311" spans="1:3" x14ac:dyDescent="0.3">
      <c r="A311" s="447" t="s">
        <v>5754</v>
      </c>
      <c r="B311" s="472" t="s">
        <v>4808</v>
      </c>
      <c r="C311" s="471" t="s">
        <v>5630</v>
      </c>
    </row>
    <row r="312" spans="1:3" x14ac:dyDescent="0.3">
      <c r="A312" s="447" t="s">
        <v>5754</v>
      </c>
      <c r="B312" s="472" t="s">
        <v>4809</v>
      </c>
      <c r="C312" s="471" t="s">
        <v>5630</v>
      </c>
    </row>
    <row r="313" spans="1:3" x14ac:dyDescent="0.3">
      <c r="A313" s="447" t="s">
        <v>5754</v>
      </c>
      <c r="B313" s="472" t="s">
        <v>4810</v>
      </c>
      <c r="C313" s="471" t="s">
        <v>5630</v>
      </c>
    </row>
    <row r="314" spans="1:3" x14ac:dyDescent="0.3">
      <c r="A314" s="447" t="s">
        <v>5754</v>
      </c>
      <c r="B314" s="472" t="s">
        <v>4811</v>
      </c>
      <c r="C314" s="471" t="s">
        <v>5630</v>
      </c>
    </row>
    <row r="315" spans="1:3" x14ac:dyDescent="0.3">
      <c r="A315" s="447" t="s">
        <v>5754</v>
      </c>
      <c r="B315" s="472" t="s">
        <v>4812</v>
      </c>
      <c r="C315" s="471" t="s">
        <v>5630</v>
      </c>
    </row>
    <row r="316" spans="1:3" x14ac:dyDescent="0.3">
      <c r="A316" s="447" t="s">
        <v>5754</v>
      </c>
      <c r="B316" s="472" t="s">
        <v>4813</v>
      </c>
      <c r="C316" s="471" t="s">
        <v>5630</v>
      </c>
    </row>
    <row r="317" spans="1:3" x14ac:dyDescent="0.3">
      <c r="A317" s="447" t="s">
        <v>5755</v>
      </c>
      <c r="B317" s="472" t="s">
        <v>4118</v>
      </c>
      <c r="C317" s="447" t="s">
        <v>5628</v>
      </c>
    </row>
    <row r="318" spans="1:3" x14ac:dyDescent="0.3">
      <c r="A318" s="447" t="s">
        <v>5755</v>
      </c>
      <c r="B318" s="472" t="s">
        <v>4124</v>
      </c>
      <c r="C318" s="471" t="s">
        <v>5630</v>
      </c>
    </row>
    <row r="319" spans="1:3" x14ac:dyDescent="0.3">
      <c r="A319" s="447" t="s">
        <v>5756</v>
      </c>
      <c r="B319" s="472" t="s">
        <v>4121</v>
      </c>
      <c r="C319" s="447" t="s">
        <v>5628</v>
      </c>
    </row>
    <row r="320" spans="1:3" x14ac:dyDescent="0.3">
      <c r="A320" s="447" t="s">
        <v>5756</v>
      </c>
      <c r="B320" s="472" t="s">
        <v>4125</v>
      </c>
      <c r="C320" s="471" t="s">
        <v>5630</v>
      </c>
    </row>
    <row r="321" spans="1:3" x14ac:dyDescent="0.3">
      <c r="A321" s="447" t="s">
        <v>5757</v>
      </c>
      <c r="B321" s="472" t="s">
        <v>3389</v>
      </c>
      <c r="C321" s="447" t="s">
        <v>5628</v>
      </c>
    </row>
    <row r="322" spans="1:3" x14ac:dyDescent="0.3">
      <c r="A322" s="447" t="s">
        <v>5757</v>
      </c>
      <c r="B322" s="472" t="s">
        <v>3397</v>
      </c>
      <c r="C322" s="471" t="s">
        <v>5630</v>
      </c>
    </row>
    <row r="323" spans="1:3" x14ac:dyDescent="0.3">
      <c r="A323" s="447" t="s">
        <v>5758</v>
      </c>
      <c r="B323" s="472" t="s">
        <v>3388</v>
      </c>
      <c r="C323" s="447" t="s">
        <v>5628</v>
      </c>
    </row>
    <row r="324" spans="1:3" x14ac:dyDescent="0.3">
      <c r="A324" s="447" t="s">
        <v>5758</v>
      </c>
      <c r="B324" s="472" t="s">
        <v>3396</v>
      </c>
      <c r="C324" s="471" t="s">
        <v>5630</v>
      </c>
    </row>
    <row r="325" spans="1:3" x14ac:dyDescent="0.3">
      <c r="A325" s="447" t="s">
        <v>5759</v>
      </c>
      <c r="B325" s="472" t="s">
        <v>3407</v>
      </c>
      <c r="C325" s="447" t="s">
        <v>5628</v>
      </c>
    </row>
    <row r="326" spans="1:3" x14ac:dyDescent="0.3">
      <c r="A326" s="447" t="s">
        <v>5759</v>
      </c>
      <c r="B326" s="472" t="s">
        <v>3408</v>
      </c>
      <c r="C326" s="471" t="s">
        <v>5630</v>
      </c>
    </row>
    <row r="327" spans="1:3" x14ac:dyDescent="0.3">
      <c r="A327" s="447" t="s">
        <v>5759</v>
      </c>
      <c r="B327" s="472" t="s">
        <v>3409</v>
      </c>
      <c r="C327" s="471" t="s">
        <v>5630</v>
      </c>
    </row>
    <row r="328" spans="1:3" x14ac:dyDescent="0.3">
      <c r="A328" s="447" t="s">
        <v>5760</v>
      </c>
      <c r="B328" s="472" t="s">
        <v>3405</v>
      </c>
      <c r="C328" s="447" t="s">
        <v>5628</v>
      </c>
    </row>
    <row r="329" spans="1:3" x14ac:dyDescent="0.3">
      <c r="A329" s="447" t="s">
        <v>5760</v>
      </c>
      <c r="B329" s="472" t="s">
        <v>3412</v>
      </c>
      <c r="C329" s="471" t="s">
        <v>5630</v>
      </c>
    </row>
    <row r="330" spans="1:3" x14ac:dyDescent="0.3">
      <c r="A330" s="447" t="s">
        <v>5761</v>
      </c>
      <c r="B330" s="472" t="s">
        <v>5176</v>
      </c>
      <c r="C330" s="447" t="s">
        <v>5628</v>
      </c>
    </row>
    <row r="331" spans="1:3" x14ac:dyDescent="0.3">
      <c r="A331" s="447" t="s">
        <v>5761</v>
      </c>
      <c r="B331" s="472" t="s">
        <v>5177</v>
      </c>
      <c r="C331" s="471" t="s">
        <v>5630</v>
      </c>
    </row>
    <row r="332" spans="1:3" ht="32.4" x14ac:dyDescent="0.3">
      <c r="A332" s="447" t="s">
        <v>5762</v>
      </c>
      <c r="B332" s="472" t="s">
        <v>5061</v>
      </c>
      <c r="C332" s="447" t="s">
        <v>5628</v>
      </c>
    </row>
    <row r="333" spans="1:3" ht="32.4" x14ac:dyDescent="0.3">
      <c r="A333" s="447" t="s">
        <v>5762</v>
      </c>
      <c r="B333" s="472" t="s">
        <v>5062</v>
      </c>
      <c r="C333" s="471" t="s">
        <v>5630</v>
      </c>
    </row>
    <row r="334" spans="1:3" x14ac:dyDescent="0.3">
      <c r="A334" s="447" t="s">
        <v>5763</v>
      </c>
      <c r="B334" s="472" t="s">
        <v>4148</v>
      </c>
      <c r="C334" s="447" t="s">
        <v>5628</v>
      </c>
    </row>
    <row r="335" spans="1:3" x14ac:dyDescent="0.3">
      <c r="A335" s="447" t="s">
        <v>5763</v>
      </c>
      <c r="B335" s="472" t="s">
        <v>4150</v>
      </c>
      <c r="C335" s="471" t="s">
        <v>5630</v>
      </c>
    </row>
    <row r="336" spans="1:3" x14ac:dyDescent="0.3">
      <c r="A336" s="447" t="s">
        <v>5764</v>
      </c>
      <c r="B336" s="472" t="s">
        <v>4151</v>
      </c>
      <c r="C336" s="447" t="s">
        <v>5628</v>
      </c>
    </row>
    <row r="337" spans="1:3" x14ac:dyDescent="0.3">
      <c r="A337" s="447" t="s">
        <v>5764</v>
      </c>
      <c r="B337" s="472" t="s">
        <v>4155</v>
      </c>
      <c r="C337" s="471" t="s">
        <v>5630</v>
      </c>
    </row>
    <row r="338" spans="1:3" x14ac:dyDescent="0.3">
      <c r="A338" s="447" t="s">
        <v>5765</v>
      </c>
      <c r="B338" s="472" t="s">
        <v>4895</v>
      </c>
      <c r="C338" s="447" t="s">
        <v>5628</v>
      </c>
    </row>
    <row r="339" spans="1:3" x14ac:dyDescent="0.3">
      <c r="A339" s="447" t="s">
        <v>5765</v>
      </c>
      <c r="B339" s="472" t="s">
        <v>4896</v>
      </c>
      <c r="C339" s="471" t="s">
        <v>5630</v>
      </c>
    </row>
    <row r="340" spans="1:3" x14ac:dyDescent="0.3">
      <c r="A340" s="447" t="s">
        <v>5766</v>
      </c>
      <c r="B340" s="472" t="s">
        <v>4161</v>
      </c>
      <c r="C340" s="447" t="s">
        <v>5628</v>
      </c>
    </row>
    <row r="341" spans="1:3" x14ac:dyDescent="0.3">
      <c r="A341" s="447" t="s">
        <v>5766</v>
      </c>
      <c r="B341" s="472" t="s">
        <v>4163</v>
      </c>
      <c r="C341" s="471" t="s">
        <v>5630</v>
      </c>
    </row>
    <row r="342" spans="1:3" x14ac:dyDescent="0.3">
      <c r="A342" s="447" t="s">
        <v>5767</v>
      </c>
      <c r="B342" s="472" t="s">
        <v>4173</v>
      </c>
      <c r="C342" s="447" t="s">
        <v>5628</v>
      </c>
    </row>
    <row r="343" spans="1:3" x14ac:dyDescent="0.3">
      <c r="A343" s="447" t="s">
        <v>5767</v>
      </c>
      <c r="B343" s="472" t="s">
        <v>4174</v>
      </c>
      <c r="C343" s="471" t="s">
        <v>5630</v>
      </c>
    </row>
    <row r="344" spans="1:3" x14ac:dyDescent="0.3">
      <c r="A344" s="447" t="s">
        <v>5768</v>
      </c>
      <c r="B344" s="472" t="s">
        <v>4906</v>
      </c>
      <c r="C344" s="447" t="s">
        <v>5628</v>
      </c>
    </row>
    <row r="345" spans="1:3" x14ac:dyDescent="0.3">
      <c r="A345" s="447" t="s">
        <v>5768</v>
      </c>
      <c r="B345" s="474" t="s">
        <v>4913</v>
      </c>
      <c r="C345" s="471" t="s">
        <v>5630</v>
      </c>
    </row>
    <row r="346" spans="1:3" x14ac:dyDescent="0.3">
      <c r="A346" s="447" t="s">
        <v>5769</v>
      </c>
      <c r="B346" s="475" t="s">
        <v>3463</v>
      </c>
      <c r="C346" s="447" t="s">
        <v>5628</v>
      </c>
    </row>
    <row r="347" spans="1:3" x14ac:dyDescent="0.3">
      <c r="A347" s="447" t="s">
        <v>5769</v>
      </c>
      <c r="B347" s="475" t="s">
        <v>3464</v>
      </c>
      <c r="C347" s="471" t="s">
        <v>5630</v>
      </c>
    </row>
    <row r="348" spans="1:3" x14ac:dyDescent="0.3">
      <c r="A348" s="447" t="s">
        <v>5770</v>
      </c>
      <c r="B348" s="472" t="s">
        <v>4177</v>
      </c>
      <c r="C348" s="447" t="s">
        <v>5628</v>
      </c>
    </row>
    <row r="349" spans="1:3" x14ac:dyDescent="0.3">
      <c r="A349" s="447" t="s">
        <v>5770</v>
      </c>
      <c r="B349" s="472" t="s">
        <v>4178</v>
      </c>
      <c r="C349" s="471" t="s">
        <v>5630</v>
      </c>
    </row>
    <row r="350" spans="1:3" x14ac:dyDescent="0.3">
      <c r="A350" s="447" t="s">
        <v>5771</v>
      </c>
      <c r="B350" s="472" t="s">
        <v>4180</v>
      </c>
      <c r="C350" s="471" t="s">
        <v>5630</v>
      </c>
    </row>
    <row r="351" spans="1:3" x14ac:dyDescent="0.3">
      <c r="A351" s="447" t="s">
        <v>5771</v>
      </c>
      <c r="B351" s="472" t="s">
        <v>4182</v>
      </c>
      <c r="C351" s="447" t="s">
        <v>5628</v>
      </c>
    </row>
    <row r="352" spans="1:3" x14ac:dyDescent="0.3">
      <c r="A352" s="447" t="s">
        <v>5772</v>
      </c>
      <c r="B352" s="472" t="s">
        <v>4179</v>
      </c>
      <c r="C352" s="471" t="s">
        <v>5630</v>
      </c>
    </row>
    <row r="353" spans="1:3" x14ac:dyDescent="0.3">
      <c r="A353" s="447" t="s">
        <v>5772</v>
      </c>
      <c r="B353" s="472" t="s">
        <v>4181</v>
      </c>
      <c r="C353" s="447" t="s">
        <v>5628</v>
      </c>
    </row>
    <row r="354" spans="1:3" x14ac:dyDescent="0.3">
      <c r="A354" s="447" t="s">
        <v>5773</v>
      </c>
      <c r="B354" s="472" t="s">
        <v>4969</v>
      </c>
      <c r="C354" s="447" t="s">
        <v>5628</v>
      </c>
    </row>
    <row r="355" spans="1:3" x14ac:dyDescent="0.3">
      <c r="A355" s="447" t="s">
        <v>5773</v>
      </c>
      <c r="B355" s="472" t="s">
        <v>4970</v>
      </c>
      <c r="C355" s="471" t="s">
        <v>5630</v>
      </c>
    </row>
    <row r="356" spans="1:3" x14ac:dyDescent="0.3">
      <c r="A356" s="447" t="s">
        <v>5774</v>
      </c>
      <c r="B356" s="472" t="s">
        <v>5629</v>
      </c>
      <c r="C356" s="447" t="s">
        <v>5628</v>
      </c>
    </row>
    <row r="357" spans="1:3" x14ac:dyDescent="0.3">
      <c r="A357" s="447" t="s">
        <v>5774</v>
      </c>
      <c r="B357" s="472" t="s">
        <v>4187</v>
      </c>
      <c r="C357" s="471" t="s">
        <v>5630</v>
      </c>
    </row>
    <row r="358" spans="1:3" x14ac:dyDescent="0.3">
      <c r="A358" s="447" t="s">
        <v>5775</v>
      </c>
      <c r="B358" s="472" t="s">
        <v>5178</v>
      </c>
      <c r="C358" s="447" t="s">
        <v>5628</v>
      </c>
    </row>
    <row r="359" spans="1:3" x14ac:dyDescent="0.3">
      <c r="A359" s="447" t="s">
        <v>5775</v>
      </c>
      <c r="B359" s="472" t="s">
        <v>5179</v>
      </c>
      <c r="C359" s="471" t="s">
        <v>5630</v>
      </c>
    </row>
    <row r="360" spans="1:3" x14ac:dyDescent="0.3">
      <c r="A360" s="447" t="s">
        <v>5775</v>
      </c>
      <c r="B360" s="472" t="s">
        <v>5180</v>
      </c>
      <c r="C360" s="471" t="s">
        <v>5630</v>
      </c>
    </row>
    <row r="361" spans="1:3" x14ac:dyDescent="0.3">
      <c r="A361" s="447" t="s">
        <v>5776</v>
      </c>
      <c r="B361" s="472" t="s">
        <v>4916</v>
      </c>
      <c r="C361" s="447" t="s">
        <v>5628</v>
      </c>
    </row>
    <row r="362" spans="1:3" x14ac:dyDescent="0.3">
      <c r="A362" s="447" t="s">
        <v>5776</v>
      </c>
      <c r="B362" s="472" t="s">
        <v>4917</v>
      </c>
      <c r="C362" s="471" t="s">
        <v>5630</v>
      </c>
    </row>
    <row r="363" spans="1:3" x14ac:dyDescent="0.3">
      <c r="A363" s="447" t="s">
        <v>5777</v>
      </c>
      <c r="B363" s="472" t="s">
        <v>4582</v>
      </c>
      <c r="C363" s="447" t="s">
        <v>5628</v>
      </c>
    </row>
    <row r="364" spans="1:3" x14ac:dyDescent="0.3">
      <c r="A364" s="447" t="s">
        <v>5777</v>
      </c>
      <c r="B364" s="472" t="s">
        <v>4583</v>
      </c>
      <c r="C364" s="471" t="s">
        <v>5630</v>
      </c>
    </row>
    <row r="365" spans="1:3" x14ac:dyDescent="0.3">
      <c r="A365" s="447" t="s">
        <v>5778</v>
      </c>
      <c r="B365" s="472" t="s">
        <v>3490</v>
      </c>
      <c r="C365" s="447" t="s">
        <v>5628</v>
      </c>
    </row>
    <row r="366" spans="1:3" x14ac:dyDescent="0.3">
      <c r="A366" s="447" t="s">
        <v>5778</v>
      </c>
      <c r="B366" s="472" t="s">
        <v>3491</v>
      </c>
      <c r="C366" s="471" t="s">
        <v>5630</v>
      </c>
    </row>
    <row r="367" spans="1:3" x14ac:dyDescent="0.3">
      <c r="A367" s="447" t="s">
        <v>5778</v>
      </c>
      <c r="B367" s="472" t="s">
        <v>3492</v>
      </c>
      <c r="C367" s="471" t="s">
        <v>5630</v>
      </c>
    </row>
    <row r="368" spans="1:3" x14ac:dyDescent="0.3">
      <c r="A368" s="447" t="s">
        <v>5779</v>
      </c>
      <c r="B368" s="472" t="s">
        <v>5099</v>
      </c>
      <c r="C368" s="447" t="s">
        <v>5628</v>
      </c>
    </row>
    <row r="369" spans="1:3" x14ac:dyDescent="0.3">
      <c r="A369" s="447" t="s">
        <v>5779</v>
      </c>
      <c r="B369" s="472" t="s">
        <v>5100</v>
      </c>
      <c r="C369" s="471" t="s">
        <v>5630</v>
      </c>
    </row>
    <row r="370" spans="1:3" x14ac:dyDescent="0.3">
      <c r="A370" s="447" t="s">
        <v>5780</v>
      </c>
      <c r="B370" s="472" t="s">
        <v>5182</v>
      </c>
      <c r="C370" s="447" t="s">
        <v>5628</v>
      </c>
    </row>
    <row r="371" spans="1:3" x14ac:dyDescent="0.3">
      <c r="A371" s="447" t="s">
        <v>5780</v>
      </c>
      <c r="B371" s="472" t="s">
        <v>5183</v>
      </c>
      <c r="C371" s="471" t="s">
        <v>5630</v>
      </c>
    </row>
    <row r="372" spans="1:3" x14ac:dyDescent="0.3">
      <c r="A372" s="447" t="s">
        <v>5780</v>
      </c>
      <c r="B372" s="472" t="s">
        <v>5184</v>
      </c>
      <c r="C372" s="471" t="s">
        <v>5630</v>
      </c>
    </row>
    <row r="373" spans="1:3" x14ac:dyDescent="0.3">
      <c r="A373" s="447" t="s">
        <v>5781</v>
      </c>
      <c r="B373" s="475" t="s">
        <v>5101</v>
      </c>
      <c r="C373" s="447" t="s">
        <v>5628</v>
      </c>
    </row>
    <row r="374" spans="1:3" x14ac:dyDescent="0.3">
      <c r="A374" s="447" t="s">
        <v>5781</v>
      </c>
      <c r="B374" s="475" t="s">
        <v>5102</v>
      </c>
      <c r="C374" s="471" t="s">
        <v>5630</v>
      </c>
    </row>
    <row r="375" spans="1:3" x14ac:dyDescent="0.3">
      <c r="A375" s="447" t="s">
        <v>5782</v>
      </c>
      <c r="B375" s="472" t="s">
        <v>3504</v>
      </c>
      <c r="C375" s="447" t="s">
        <v>5628</v>
      </c>
    </row>
    <row r="376" spans="1:3" x14ac:dyDescent="0.3">
      <c r="A376" s="447" t="s">
        <v>5782</v>
      </c>
      <c r="B376" s="472" t="s">
        <v>3505</v>
      </c>
      <c r="C376" s="471" t="s">
        <v>5630</v>
      </c>
    </row>
    <row r="377" spans="1:3" x14ac:dyDescent="0.3">
      <c r="A377" s="447" t="s">
        <v>5782</v>
      </c>
      <c r="B377" s="472" t="s">
        <v>3506</v>
      </c>
      <c r="C377" s="471" t="s">
        <v>5630</v>
      </c>
    </row>
    <row r="378" spans="1:3" x14ac:dyDescent="0.3">
      <c r="A378" s="447" t="s">
        <v>5783</v>
      </c>
      <c r="B378" s="472" t="s">
        <v>3507</v>
      </c>
      <c r="C378" s="471" t="s">
        <v>5630</v>
      </c>
    </row>
    <row r="379" spans="1:3" x14ac:dyDescent="0.3">
      <c r="A379" s="447" t="s">
        <v>5783</v>
      </c>
      <c r="B379" s="472" t="s">
        <v>3508</v>
      </c>
      <c r="C379" s="447" t="s">
        <v>5628</v>
      </c>
    </row>
    <row r="380" spans="1:3" x14ac:dyDescent="0.3">
      <c r="A380" s="447" t="s">
        <v>5784</v>
      </c>
      <c r="B380" s="472" t="s">
        <v>3511</v>
      </c>
      <c r="C380" s="471" t="s">
        <v>5630</v>
      </c>
    </row>
    <row r="381" spans="1:3" x14ac:dyDescent="0.3">
      <c r="A381" s="447" t="s">
        <v>5784</v>
      </c>
      <c r="B381" s="472" t="s">
        <v>3514</v>
      </c>
      <c r="C381" s="447" t="s">
        <v>5628</v>
      </c>
    </row>
    <row r="382" spans="1:3" x14ac:dyDescent="0.3">
      <c r="A382" s="447" t="s">
        <v>5785</v>
      </c>
      <c r="B382" s="472" t="s">
        <v>4819</v>
      </c>
      <c r="C382" s="447" t="s">
        <v>5628</v>
      </c>
    </row>
    <row r="383" spans="1:3" x14ac:dyDescent="0.3">
      <c r="A383" s="447" t="s">
        <v>5785</v>
      </c>
      <c r="B383" s="472" t="s">
        <v>4820</v>
      </c>
      <c r="C383" s="471" t="s">
        <v>5630</v>
      </c>
    </row>
    <row r="384" spans="1:3" x14ac:dyDescent="0.3">
      <c r="A384" s="447" t="s">
        <v>5786</v>
      </c>
      <c r="B384" s="472" t="s">
        <v>4253</v>
      </c>
      <c r="C384" s="447" t="s">
        <v>5628</v>
      </c>
    </row>
    <row r="385" spans="1:3" x14ac:dyDescent="0.3">
      <c r="A385" s="447" t="s">
        <v>5786</v>
      </c>
      <c r="B385" s="472" t="s">
        <v>4254</v>
      </c>
      <c r="C385" s="471" t="s">
        <v>5630</v>
      </c>
    </row>
    <row r="386" spans="1:3" x14ac:dyDescent="0.3">
      <c r="A386" s="447" t="s">
        <v>5787</v>
      </c>
      <c r="B386" s="472" t="s">
        <v>4252</v>
      </c>
      <c r="C386" s="447" t="s">
        <v>5628</v>
      </c>
    </row>
    <row r="387" spans="1:3" x14ac:dyDescent="0.3">
      <c r="A387" s="447" t="s">
        <v>5787</v>
      </c>
      <c r="B387" s="472" t="s">
        <v>4256</v>
      </c>
      <c r="C387" s="471" t="s">
        <v>5630</v>
      </c>
    </row>
    <row r="388" spans="1:3" x14ac:dyDescent="0.3">
      <c r="A388" s="447" t="s">
        <v>5788</v>
      </c>
      <c r="B388" s="472" t="s">
        <v>4586</v>
      </c>
      <c r="C388" s="471" t="s">
        <v>5630</v>
      </c>
    </row>
    <row r="389" spans="1:3" x14ac:dyDescent="0.3">
      <c r="A389" s="447" t="s">
        <v>5788</v>
      </c>
      <c r="B389" s="472" t="s">
        <v>4587</v>
      </c>
      <c r="C389" s="447" t="s">
        <v>5628</v>
      </c>
    </row>
    <row r="390" spans="1:3" x14ac:dyDescent="0.3">
      <c r="A390" s="447" t="s">
        <v>5789</v>
      </c>
      <c r="B390" s="472" t="s">
        <v>5105</v>
      </c>
      <c r="C390" s="447" t="s">
        <v>5628</v>
      </c>
    </row>
    <row r="391" spans="1:3" x14ac:dyDescent="0.3">
      <c r="A391" s="447" t="s">
        <v>5789</v>
      </c>
      <c r="B391" s="472" t="s">
        <v>5106</v>
      </c>
      <c r="C391" s="471" t="s">
        <v>5630</v>
      </c>
    </row>
    <row r="392" spans="1:3" x14ac:dyDescent="0.3">
      <c r="A392" s="447" t="s">
        <v>5790</v>
      </c>
      <c r="B392" s="472" t="s">
        <v>4260</v>
      </c>
      <c r="C392" s="447" t="s">
        <v>5628</v>
      </c>
    </row>
    <row r="393" spans="1:3" x14ac:dyDescent="0.3">
      <c r="A393" s="447" t="s">
        <v>5790</v>
      </c>
      <c r="B393" s="472" t="s">
        <v>4262</v>
      </c>
      <c r="C393" s="471" t="s">
        <v>5630</v>
      </c>
    </row>
    <row r="394" spans="1:3" x14ac:dyDescent="0.3">
      <c r="A394" s="447" t="s">
        <v>5791</v>
      </c>
      <c r="B394" s="472" t="s">
        <v>4923</v>
      </c>
      <c r="C394" s="447" t="s">
        <v>5628</v>
      </c>
    </row>
    <row r="395" spans="1:3" x14ac:dyDescent="0.3">
      <c r="A395" s="447" t="s">
        <v>5791</v>
      </c>
      <c r="B395" s="472" t="s">
        <v>4924</v>
      </c>
      <c r="C395" s="471" t="s">
        <v>5630</v>
      </c>
    </row>
    <row r="396" spans="1:3" x14ac:dyDescent="0.3">
      <c r="A396" s="447" t="s">
        <v>5792</v>
      </c>
      <c r="B396" s="472" t="s">
        <v>4266</v>
      </c>
      <c r="C396" s="447" t="s">
        <v>5628</v>
      </c>
    </row>
    <row r="397" spans="1:3" x14ac:dyDescent="0.3">
      <c r="A397" s="447" t="s">
        <v>5792</v>
      </c>
      <c r="B397" s="472" t="s">
        <v>4269</v>
      </c>
      <c r="C397" s="471" t="s">
        <v>5630</v>
      </c>
    </row>
    <row r="398" spans="1:3" x14ac:dyDescent="0.3">
      <c r="A398" s="447" t="s">
        <v>5792</v>
      </c>
      <c r="B398" s="472" t="s">
        <v>4270</v>
      </c>
      <c r="C398" s="471" t="s">
        <v>5630</v>
      </c>
    </row>
    <row r="399" spans="1:3" x14ac:dyDescent="0.3">
      <c r="A399" s="447" t="s">
        <v>5793</v>
      </c>
      <c r="B399" s="472" t="s">
        <v>3521</v>
      </c>
      <c r="C399" s="447" t="s">
        <v>5628</v>
      </c>
    </row>
    <row r="400" spans="1:3" x14ac:dyDescent="0.3">
      <c r="A400" s="447" t="s">
        <v>5793</v>
      </c>
      <c r="B400" s="472" t="s">
        <v>3526</v>
      </c>
      <c r="C400" s="471" t="s">
        <v>5630</v>
      </c>
    </row>
    <row r="401" spans="1:3" x14ac:dyDescent="0.3">
      <c r="A401" s="447" t="s">
        <v>5794</v>
      </c>
      <c r="B401" s="472" t="s">
        <v>3524</v>
      </c>
      <c r="C401" s="447" t="s">
        <v>5628</v>
      </c>
    </row>
    <row r="402" spans="1:3" x14ac:dyDescent="0.3">
      <c r="A402" s="447" t="s">
        <v>5794</v>
      </c>
      <c r="B402" s="472" t="s">
        <v>3529</v>
      </c>
      <c r="C402" s="471" t="s">
        <v>5630</v>
      </c>
    </row>
    <row r="403" spans="1:3" x14ac:dyDescent="0.3">
      <c r="A403" s="447" t="s">
        <v>5795</v>
      </c>
      <c r="B403" s="472" t="s">
        <v>3523</v>
      </c>
      <c r="C403" s="447" t="s">
        <v>5628</v>
      </c>
    </row>
    <row r="404" spans="1:3" x14ac:dyDescent="0.3">
      <c r="A404" s="447" t="s">
        <v>5795</v>
      </c>
      <c r="B404" s="472" t="s">
        <v>3528</v>
      </c>
      <c r="C404" s="471" t="s">
        <v>5630</v>
      </c>
    </row>
    <row r="405" spans="1:3" x14ac:dyDescent="0.3">
      <c r="A405" s="447" t="s">
        <v>5796</v>
      </c>
      <c r="B405" s="475" t="s">
        <v>4288</v>
      </c>
      <c r="C405" s="471" t="s">
        <v>5630</v>
      </c>
    </row>
    <row r="406" spans="1:3" x14ac:dyDescent="0.3">
      <c r="A406" s="447" t="s">
        <v>5796</v>
      </c>
      <c r="B406" s="475" t="s">
        <v>4289</v>
      </c>
      <c r="C406" s="447" t="s">
        <v>5628</v>
      </c>
    </row>
    <row r="407" spans="1:3" x14ac:dyDescent="0.3">
      <c r="A407" s="447" t="s">
        <v>5797</v>
      </c>
      <c r="B407" s="472" t="s">
        <v>4282</v>
      </c>
      <c r="C407" s="447" t="s">
        <v>5628</v>
      </c>
    </row>
    <row r="408" spans="1:3" x14ac:dyDescent="0.3">
      <c r="A408" s="447" t="s">
        <v>5797</v>
      </c>
      <c r="B408" s="472" t="s">
        <v>4283</v>
      </c>
      <c r="C408" s="471" t="s">
        <v>5630</v>
      </c>
    </row>
    <row r="409" spans="1:3" x14ac:dyDescent="0.3">
      <c r="A409" s="447" t="s">
        <v>5798</v>
      </c>
      <c r="B409" s="472" t="s">
        <v>3534</v>
      </c>
      <c r="C409" s="447" t="s">
        <v>5628</v>
      </c>
    </row>
    <row r="410" spans="1:3" x14ac:dyDescent="0.3">
      <c r="A410" s="447" t="s">
        <v>5798</v>
      </c>
      <c r="B410" s="472" t="s">
        <v>3535</v>
      </c>
      <c r="C410" s="471" t="s">
        <v>5630</v>
      </c>
    </row>
    <row r="411" spans="1:3" x14ac:dyDescent="0.3">
      <c r="A411" s="447" t="s">
        <v>5799</v>
      </c>
      <c r="B411" s="472" t="s">
        <v>3542</v>
      </c>
      <c r="C411" s="447" t="s">
        <v>5628</v>
      </c>
    </row>
    <row r="412" spans="1:3" x14ac:dyDescent="0.3">
      <c r="A412" s="447" t="s">
        <v>5799</v>
      </c>
      <c r="B412" s="472" t="s">
        <v>3543</v>
      </c>
      <c r="C412" s="471" t="s">
        <v>5630</v>
      </c>
    </row>
    <row r="413" spans="1:3" x14ac:dyDescent="0.3">
      <c r="A413" s="447" t="s">
        <v>5799</v>
      </c>
      <c r="B413" s="472" t="s">
        <v>3544</v>
      </c>
      <c r="C413" s="471" t="s">
        <v>5630</v>
      </c>
    </row>
    <row r="414" spans="1:3" x14ac:dyDescent="0.3">
      <c r="A414" s="447" t="s">
        <v>5799</v>
      </c>
      <c r="B414" s="472" t="s">
        <v>3545</v>
      </c>
      <c r="C414" s="471" t="s">
        <v>5630</v>
      </c>
    </row>
    <row r="415" spans="1:3" x14ac:dyDescent="0.3">
      <c r="A415" s="447" t="s">
        <v>5800</v>
      </c>
      <c r="B415" s="472" t="s">
        <v>3536</v>
      </c>
      <c r="C415" s="447" t="s">
        <v>5628</v>
      </c>
    </row>
    <row r="416" spans="1:3" x14ac:dyDescent="0.3">
      <c r="A416" s="447" t="s">
        <v>5800</v>
      </c>
      <c r="B416" s="472" t="s">
        <v>3549</v>
      </c>
      <c r="C416" s="471" t="s">
        <v>5630</v>
      </c>
    </row>
    <row r="417" spans="1:3" x14ac:dyDescent="0.3">
      <c r="A417" s="447" t="s">
        <v>5800</v>
      </c>
      <c r="B417" s="472" t="s">
        <v>3550</v>
      </c>
      <c r="C417" s="471" t="s">
        <v>5630</v>
      </c>
    </row>
    <row r="418" spans="1:3" x14ac:dyDescent="0.3">
      <c r="A418" s="447" t="s">
        <v>5801</v>
      </c>
      <c r="B418" s="472" t="s">
        <v>3546</v>
      </c>
      <c r="C418" s="471" t="s">
        <v>5630</v>
      </c>
    </row>
    <row r="419" spans="1:3" x14ac:dyDescent="0.3">
      <c r="A419" s="447" t="s">
        <v>5801</v>
      </c>
      <c r="B419" s="472" t="s">
        <v>3548</v>
      </c>
      <c r="C419" s="447" t="s">
        <v>5628</v>
      </c>
    </row>
    <row r="420" spans="1:3" x14ac:dyDescent="0.3">
      <c r="A420" s="447" t="s">
        <v>5802</v>
      </c>
      <c r="B420" s="472" t="s">
        <v>3553</v>
      </c>
      <c r="C420" s="447" t="s">
        <v>5628</v>
      </c>
    </row>
    <row r="421" spans="1:3" x14ac:dyDescent="0.3">
      <c r="A421" s="447" t="s">
        <v>5802</v>
      </c>
      <c r="B421" s="472" t="s">
        <v>3556</v>
      </c>
      <c r="C421" s="471" t="s">
        <v>5630</v>
      </c>
    </row>
    <row r="422" spans="1:3" x14ac:dyDescent="0.3">
      <c r="A422" s="447" t="s">
        <v>5802</v>
      </c>
      <c r="B422" s="472" t="s">
        <v>3557</v>
      </c>
      <c r="C422" s="471" t="s">
        <v>5630</v>
      </c>
    </row>
    <row r="423" spans="1:3" x14ac:dyDescent="0.3">
      <c r="A423" s="447" t="s">
        <v>5803</v>
      </c>
      <c r="B423" s="472" t="s">
        <v>3565</v>
      </c>
      <c r="C423" s="447" t="s">
        <v>5628</v>
      </c>
    </row>
    <row r="424" spans="1:3" x14ac:dyDescent="0.3">
      <c r="A424" s="447" t="s">
        <v>5803</v>
      </c>
      <c r="B424" s="472" t="s">
        <v>3566</v>
      </c>
      <c r="C424" s="471" t="s">
        <v>5630</v>
      </c>
    </row>
    <row r="425" spans="1:3" x14ac:dyDescent="0.3">
      <c r="A425" s="447" t="s">
        <v>5804</v>
      </c>
      <c r="B425" s="472" t="s">
        <v>4698</v>
      </c>
      <c r="C425" s="447" t="s">
        <v>5628</v>
      </c>
    </row>
    <row r="426" spans="1:3" x14ac:dyDescent="0.3">
      <c r="A426" s="447" t="s">
        <v>5804</v>
      </c>
      <c r="B426" s="472" t="s">
        <v>4699</v>
      </c>
      <c r="C426" s="471" t="s">
        <v>5630</v>
      </c>
    </row>
    <row r="427" spans="1:3" x14ac:dyDescent="0.3">
      <c r="A427" s="447" t="s">
        <v>5805</v>
      </c>
      <c r="B427" s="472" t="s">
        <v>4303</v>
      </c>
      <c r="C427" s="447" t="s">
        <v>5628</v>
      </c>
    </row>
    <row r="428" spans="1:3" x14ac:dyDescent="0.3">
      <c r="A428" s="447" t="s">
        <v>5805</v>
      </c>
      <c r="B428" s="472" t="s">
        <v>4310</v>
      </c>
      <c r="C428" s="471" t="s">
        <v>5630</v>
      </c>
    </row>
    <row r="429" spans="1:3" x14ac:dyDescent="0.3">
      <c r="A429" s="447" t="s">
        <v>5806</v>
      </c>
      <c r="B429" s="472" t="s">
        <v>4315</v>
      </c>
      <c r="C429" s="447" t="s">
        <v>5628</v>
      </c>
    </row>
    <row r="430" spans="1:3" x14ac:dyDescent="0.3">
      <c r="A430" s="447" t="s">
        <v>5806</v>
      </c>
      <c r="B430" s="472" t="s">
        <v>4317</v>
      </c>
      <c r="C430" s="471" t="s">
        <v>5630</v>
      </c>
    </row>
    <row r="431" spans="1:3" x14ac:dyDescent="0.3">
      <c r="A431" s="447" t="s">
        <v>5806</v>
      </c>
      <c r="B431" s="472" t="s">
        <v>4318</v>
      </c>
      <c r="C431" s="471" t="s">
        <v>5630</v>
      </c>
    </row>
    <row r="432" spans="1:3" x14ac:dyDescent="0.3">
      <c r="A432" s="447" t="s">
        <v>5807</v>
      </c>
      <c r="B432" s="472" t="s">
        <v>4313</v>
      </c>
      <c r="C432" s="447" t="s">
        <v>5628</v>
      </c>
    </row>
    <row r="433" spans="1:3" x14ac:dyDescent="0.3">
      <c r="A433" s="447" t="s">
        <v>5807</v>
      </c>
      <c r="B433" s="472" t="s">
        <v>4316</v>
      </c>
      <c r="C433" s="471" t="s">
        <v>5630</v>
      </c>
    </row>
    <row r="434" spans="1:3" x14ac:dyDescent="0.3">
      <c r="A434" s="447" t="s">
        <v>5808</v>
      </c>
      <c r="B434" s="472" t="s">
        <v>3573</v>
      </c>
      <c r="C434" s="447" t="s">
        <v>5628</v>
      </c>
    </row>
    <row r="435" spans="1:3" x14ac:dyDescent="0.3">
      <c r="A435" s="447" t="s">
        <v>5808</v>
      </c>
      <c r="B435" s="472" t="s">
        <v>3574</v>
      </c>
      <c r="C435" s="471" t="s">
        <v>5630</v>
      </c>
    </row>
    <row r="436" spans="1:3" x14ac:dyDescent="0.3">
      <c r="A436" s="447" t="s">
        <v>5808</v>
      </c>
      <c r="B436" s="472" t="s">
        <v>3576</v>
      </c>
      <c r="C436" s="471" t="s">
        <v>5630</v>
      </c>
    </row>
    <row r="437" spans="1:3" x14ac:dyDescent="0.3">
      <c r="A437" s="447" t="s">
        <v>5808</v>
      </c>
      <c r="B437" s="472" t="s">
        <v>3578</v>
      </c>
      <c r="C437" s="471" t="s">
        <v>5630</v>
      </c>
    </row>
    <row r="438" spans="1:3" x14ac:dyDescent="0.3">
      <c r="A438" s="447" t="s">
        <v>5809</v>
      </c>
      <c r="B438" s="472" t="s">
        <v>3577</v>
      </c>
      <c r="C438" s="471" t="s">
        <v>5630</v>
      </c>
    </row>
    <row r="439" spans="1:3" x14ac:dyDescent="0.3">
      <c r="A439" s="447" t="s">
        <v>5809</v>
      </c>
      <c r="B439" s="472" t="s">
        <v>4700</v>
      </c>
      <c r="C439" s="447" t="s">
        <v>5628</v>
      </c>
    </row>
    <row r="440" spans="1:3" x14ac:dyDescent="0.3">
      <c r="A440" s="447" t="s">
        <v>5810</v>
      </c>
      <c r="B440" s="472" t="s">
        <v>5310</v>
      </c>
      <c r="C440" s="447" t="s">
        <v>5628</v>
      </c>
    </row>
    <row r="441" spans="1:3" x14ac:dyDescent="0.3">
      <c r="A441" s="447" t="s">
        <v>5810</v>
      </c>
      <c r="B441" s="472" t="s">
        <v>5309</v>
      </c>
      <c r="C441" s="471" t="s">
        <v>5630</v>
      </c>
    </row>
    <row r="442" spans="1:3" x14ac:dyDescent="0.3">
      <c r="A442" s="447" t="s">
        <v>5811</v>
      </c>
      <c r="B442" s="475" t="s">
        <v>4322</v>
      </c>
      <c r="C442" s="447" t="s">
        <v>5628</v>
      </c>
    </row>
    <row r="443" spans="1:3" x14ac:dyDescent="0.3">
      <c r="A443" s="447" t="s">
        <v>5811</v>
      </c>
      <c r="B443" s="475" t="s">
        <v>4323</v>
      </c>
      <c r="C443" s="471" t="s">
        <v>5630</v>
      </c>
    </row>
    <row r="444" spans="1:3" x14ac:dyDescent="0.3">
      <c r="A444" s="447" t="s">
        <v>5812</v>
      </c>
      <c r="B444" s="472" t="s">
        <v>4705</v>
      </c>
      <c r="C444" s="447" t="s">
        <v>5628</v>
      </c>
    </row>
    <row r="445" spans="1:3" x14ac:dyDescent="0.3">
      <c r="A445" s="447" t="s">
        <v>5812</v>
      </c>
      <c r="B445" s="472" t="s">
        <v>4706</v>
      </c>
      <c r="C445" s="471" t="s">
        <v>5630</v>
      </c>
    </row>
    <row r="446" spans="1:3" x14ac:dyDescent="0.3">
      <c r="A446" s="447" t="s">
        <v>5812</v>
      </c>
      <c r="B446" s="472" t="s">
        <v>4707</v>
      </c>
      <c r="C446" s="471" t="s">
        <v>5630</v>
      </c>
    </row>
    <row r="447" spans="1:3" x14ac:dyDescent="0.3">
      <c r="A447" s="447" t="s">
        <v>5813</v>
      </c>
      <c r="B447" s="472" t="s">
        <v>4595</v>
      </c>
      <c r="C447" s="471" t="s">
        <v>5630</v>
      </c>
    </row>
    <row r="448" spans="1:3" x14ac:dyDescent="0.3">
      <c r="A448" s="447" t="s">
        <v>5813</v>
      </c>
      <c r="B448" s="472" t="s">
        <v>4596</v>
      </c>
      <c r="C448" s="447" t="s">
        <v>5628</v>
      </c>
    </row>
    <row r="449" spans="1:3" x14ac:dyDescent="0.3">
      <c r="A449" s="447" t="s">
        <v>5814</v>
      </c>
      <c r="B449" s="472" t="s">
        <v>3586</v>
      </c>
      <c r="C449" s="447" t="s">
        <v>5628</v>
      </c>
    </row>
    <row r="450" spans="1:3" x14ac:dyDescent="0.3">
      <c r="A450" s="447" t="s">
        <v>5814</v>
      </c>
      <c r="B450" s="472" t="s">
        <v>3591</v>
      </c>
      <c r="C450" s="471" t="s">
        <v>5630</v>
      </c>
    </row>
    <row r="451" spans="1:3" x14ac:dyDescent="0.3">
      <c r="A451" s="447" t="s">
        <v>5815</v>
      </c>
      <c r="B451" s="472" t="s">
        <v>4938</v>
      </c>
      <c r="C451" s="447" t="s">
        <v>5628</v>
      </c>
    </row>
    <row r="452" spans="1:3" x14ac:dyDescent="0.3">
      <c r="A452" s="447" t="s">
        <v>5815</v>
      </c>
      <c r="B452" s="472" t="s">
        <v>4939</v>
      </c>
      <c r="C452" s="471" t="s">
        <v>5630</v>
      </c>
    </row>
    <row r="453" spans="1:3" x14ac:dyDescent="0.3">
      <c r="A453" s="447" t="s">
        <v>5816</v>
      </c>
      <c r="B453" s="472" t="s">
        <v>4334</v>
      </c>
      <c r="C453" s="447" t="s">
        <v>5628</v>
      </c>
    </row>
    <row r="454" spans="1:3" x14ac:dyDescent="0.3">
      <c r="A454" s="447" t="s">
        <v>5816</v>
      </c>
      <c r="B454" s="472" t="s">
        <v>4336</v>
      </c>
      <c r="C454" s="471" t="s">
        <v>5630</v>
      </c>
    </row>
    <row r="455" spans="1:3" x14ac:dyDescent="0.3">
      <c r="A455" s="447" t="s">
        <v>5817</v>
      </c>
      <c r="B455" s="472" t="s">
        <v>4327</v>
      </c>
      <c r="C455" s="447" t="s">
        <v>5628</v>
      </c>
    </row>
    <row r="456" spans="1:3" x14ac:dyDescent="0.3">
      <c r="A456" s="447" t="s">
        <v>5817</v>
      </c>
      <c r="B456" s="472" t="s">
        <v>4333</v>
      </c>
      <c r="C456" s="471" t="s">
        <v>5630</v>
      </c>
    </row>
    <row r="457" spans="1:3" x14ac:dyDescent="0.3">
      <c r="A457" s="447" t="s">
        <v>5818</v>
      </c>
      <c r="B457" s="475" t="s">
        <v>4349</v>
      </c>
      <c r="C457" s="447" t="s">
        <v>5628</v>
      </c>
    </row>
    <row r="458" spans="1:3" x14ac:dyDescent="0.3">
      <c r="A458" s="447" t="s">
        <v>5818</v>
      </c>
      <c r="B458" s="475" t="s">
        <v>4351</v>
      </c>
      <c r="C458" s="471" t="s">
        <v>5630</v>
      </c>
    </row>
    <row r="459" spans="1:3" x14ac:dyDescent="0.3">
      <c r="A459" s="447" t="s">
        <v>5819</v>
      </c>
      <c r="B459" s="472" t="s">
        <v>3615</v>
      </c>
      <c r="C459" s="471" t="s">
        <v>5630</v>
      </c>
    </row>
    <row r="460" spans="1:3" x14ac:dyDescent="0.3">
      <c r="A460" s="447" t="s">
        <v>5819</v>
      </c>
      <c r="B460" s="472" t="s">
        <v>3618</v>
      </c>
      <c r="C460" s="447" t="s">
        <v>5628</v>
      </c>
    </row>
    <row r="461" spans="1:3" x14ac:dyDescent="0.3">
      <c r="A461" s="447" t="s">
        <v>5820</v>
      </c>
      <c r="B461" s="472" t="s">
        <v>3613</v>
      </c>
      <c r="C461" s="447" t="s">
        <v>5628</v>
      </c>
    </row>
    <row r="462" spans="1:3" x14ac:dyDescent="0.3">
      <c r="A462" s="447" t="s">
        <v>5820</v>
      </c>
      <c r="B462" s="472" t="s">
        <v>3617</v>
      </c>
      <c r="C462" s="471" t="s">
        <v>5630</v>
      </c>
    </row>
    <row r="463" spans="1:3" x14ac:dyDescent="0.3">
      <c r="A463" s="447" t="s">
        <v>5821</v>
      </c>
      <c r="B463" s="472" t="s">
        <v>5427</v>
      </c>
      <c r="C463" s="447" t="s">
        <v>5628</v>
      </c>
    </row>
    <row r="464" spans="1:3" x14ac:dyDescent="0.3">
      <c r="A464" s="447" t="s">
        <v>5821</v>
      </c>
      <c r="B464" s="472" t="s">
        <v>5428</v>
      </c>
      <c r="C464" s="471" t="s">
        <v>5630</v>
      </c>
    </row>
    <row r="465" spans="1:3" x14ac:dyDescent="0.3">
      <c r="A465" s="447" t="s">
        <v>5821</v>
      </c>
      <c r="B465" s="472" t="s">
        <v>5429</v>
      </c>
      <c r="C465" s="471" t="s">
        <v>5630</v>
      </c>
    </row>
    <row r="466" spans="1:3" x14ac:dyDescent="0.3">
      <c r="A466" s="447" t="s">
        <v>5822</v>
      </c>
      <c r="B466" s="472" t="s">
        <v>3620</v>
      </c>
      <c r="C466" s="447" t="s">
        <v>5628</v>
      </c>
    </row>
    <row r="467" spans="1:3" x14ac:dyDescent="0.3">
      <c r="A467" s="447" t="s">
        <v>5822</v>
      </c>
      <c r="B467" s="472" t="s">
        <v>3622</v>
      </c>
      <c r="C467" s="471" t="s">
        <v>5630</v>
      </c>
    </row>
    <row r="468" spans="1:3" x14ac:dyDescent="0.3">
      <c r="A468" s="447" t="s">
        <v>5822</v>
      </c>
      <c r="B468" s="472" t="s">
        <v>3623</v>
      </c>
      <c r="C468" s="471" t="s">
        <v>5630</v>
      </c>
    </row>
    <row r="469" spans="1:3" x14ac:dyDescent="0.3">
      <c r="A469" s="447" t="s">
        <v>5823</v>
      </c>
      <c r="B469" s="472" t="s">
        <v>3629</v>
      </c>
      <c r="C469" s="447" t="s">
        <v>5628</v>
      </c>
    </row>
    <row r="470" spans="1:3" x14ac:dyDescent="0.3">
      <c r="A470" s="447" t="s">
        <v>5823</v>
      </c>
      <c r="B470" s="472" t="s">
        <v>3632</v>
      </c>
      <c r="C470" s="471" t="s">
        <v>5630</v>
      </c>
    </row>
    <row r="471" spans="1:3" x14ac:dyDescent="0.3">
      <c r="A471" s="447" t="s">
        <v>5823</v>
      </c>
      <c r="B471" s="472" t="s">
        <v>3633</v>
      </c>
      <c r="C471" s="471" t="s">
        <v>5630</v>
      </c>
    </row>
    <row r="472" spans="1:3" x14ac:dyDescent="0.3">
      <c r="A472" s="447" t="s">
        <v>5823</v>
      </c>
      <c r="B472" s="472" t="s">
        <v>3634</v>
      </c>
      <c r="C472" s="471" t="s">
        <v>5630</v>
      </c>
    </row>
    <row r="473" spans="1:3" x14ac:dyDescent="0.3">
      <c r="A473" s="447" t="s">
        <v>5824</v>
      </c>
      <c r="B473" s="472" t="s">
        <v>4354</v>
      </c>
      <c r="C473" s="447" t="s">
        <v>5628</v>
      </c>
    </row>
    <row r="474" spans="1:3" x14ac:dyDescent="0.3">
      <c r="A474" s="447" t="s">
        <v>5824</v>
      </c>
      <c r="B474" s="472" t="s">
        <v>4358</v>
      </c>
      <c r="C474" s="471" t="s">
        <v>5630</v>
      </c>
    </row>
    <row r="475" spans="1:3" x14ac:dyDescent="0.3">
      <c r="A475" s="447" t="s">
        <v>5825</v>
      </c>
      <c r="B475" s="472" t="s">
        <v>4373</v>
      </c>
      <c r="C475" s="447" t="s">
        <v>5628</v>
      </c>
    </row>
    <row r="476" spans="1:3" x14ac:dyDescent="0.3">
      <c r="A476" s="447" t="s">
        <v>5825</v>
      </c>
      <c r="B476" s="472" t="s">
        <v>4375</v>
      </c>
      <c r="C476" s="471" t="s">
        <v>5630</v>
      </c>
    </row>
    <row r="477" spans="1:3" x14ac:dyDescent="0.3">
      <c r="A477" s="447" t="s">
        <v>5826</v>
      </c>
      <c r="B477" s="472" t="s">
        <v>4377</v>
      </c>
      <c r="C477" s="447" t="s">
        <v>5628</v>
      </c>
    </row>
    <row r="478" spans="1:3" x14ac:dyDescent="0.3">
      <c r="A478" s="447" t="s">
        <v>5826</v>
      </c>
      <c r="B478" s="472" t="s">
        <v>4387</v>
      </c>
      <c r="C478" s="471" t="s">
        <v>5630</v>
      </c>
    </row>
    <row r="479" spans="1:3" x14ac:dyDescent="0.3">
      <c r="A479" s="447" t="s">
        <v>5827</v>
      </c>
      <c r="B479" s="472" t="s">
        <v>4381</v>
      </c>
      <c r="C479" s="447" t="s">
        <v>5628</v>
      </c>
    </row>
    <row r="480" spans="1:3" x14ac:dyDescent="0.3">
      <c r="A480" s="447" t="s">
        <v>5827</v>
      </c>
      <c r="B480" s="472" t="s">
        <v>4388</v>
      </c>
      <c r="C480" s="471" t="s">
        <v>5630</v>
      </c>
    </row>
    <row r="481" spans="1:3" x14ac:dyDescent="0.3">
      <c r="A481" s="447" t="s">
        <v>5828</v>
      </c>
      <c r="B481" s="472" t="s">
        <v>4391</v>
      </c>
      <c r="C481" s="447" t="s">
        <v>5628</v>
      </c>
    </row>
    <row r="482" spans="1:3" x14ac:dyDescent="0.3">
      <c r="A482" s="447" t="s">
        <v>5828</v>
      </c>
      <c r="B482" s="472" t="s">
        <v>4393</v>
      </c>
      <c r="C482" s="471" t="s">
        <v>5630</v>
      </c>
    </row>
    <row r="483" spans="1:3" x14ac:dyDescent="0.3">
      <c r="A483" s="447" t="s">
        <v>5829</v>
      </c>
      <c r="B483" s="472" t="s">
        <v>3638</v>
      </c>
      <c r="C483" s="447" t="s">
        <v>5628</v>
      </c>
    </row>
    <row r="484" spans="1:3" x14ac:dyDescent="0.3">
      <c r="A484" s="447" t="s">
        <v>5829</v>
      </c>
      <c r="B484" s="472" t="s">
        <v>3642</v>
      </c>
      <c r="C484" s="471" t="s">
        <v>5630</v>
      </c>
    </row>
    <row r="485" spans="1:3" x14ac:dyDescent="0.3">
      <c r="A485" s="447" t="s">
        <v>5830</v>
      </c>
      <c r="B485" s="474" t="s">
        <v>4231</v>
      </c>
      <c r="C485" s="447" t="s">
        <v>5628</v>
      </c>
    </row>
    <row r="486" spans="1:3" x14ac:dyDescent="0.3">
      <c r="A486" s="447" t="s">
        <v>5830</v>
      </c>
      <c r="B486" s="472" t="s">
        <v>4238</v>
      </c>
      <c r="C486" s="471" t="s">
        <v>5630</v>
      </c>
    </row>
    <row r="487" spans="1:3" x14ac:dyDescent="0.3">
      <c r="A487" s="447" t="s">
        <v>5831</v>
      </c>
      <c r="B487" s="472" t="s">
        <v>5434</v>
      </c>
      <c r="C487" s="447" t="s">
        <v>5628</v>
      </c>
    </row>
    <row r="488" spans="1:3" x14ac:dyDescent="0.3">
      <c r="A488" s="447" t="s">
        <v>5831</v>
      </c>
      <c r="B488" s="472" t="s">
        <v>5435</v>
      </c>
      <c r="C488" s="471" t="s">
        <v>5630</v>
      </c>
    </row>
    <row r="489" spans="1:3" x14ac:dyDescent="0.3">
      <c r="A489" s="447" t="s">
        <v>5832</v>
      </c>
      <c r="B489" s="472" t="s">
        <v>4946</v>
      </c>
      <c r="C489" s="447" t="s">
        <v>5628</v>
      </c>
    </row>
    <row r="490" spans="1:3" x14ac:dyDescent="0.3">
      <c r="A490" s="447" t="s">
        <v>5832</v>
      </c>
      <c r="B490" s="472" t="s">
        <v>4947</v>
      </c>
      <c r="C490" s="471" t="s">
        <v>5630</v>
      </c>
    </row>
    <row r="491" spans="1:3" x14ac:dyDescent="0.3">
      <c r="A491" s="447" t="s">
        <v>5833</v>
      </c>
      <c r="B491" s="472" t="s">
        <v>4415</v>
      </c>
      <c r="C491" s="447" t="s">
        <v>5628</v>
      </c>
    </row>
    <row r="492" spans="1:3" x14ac:dyDescent="0.3">
      <c r="A492" s="447" t="s">
        <v>5833</v>
      </c>
      <c r="B492" s="472" t="s">
        <v>4416</v>
      </c>
      <c r="C492" s="471" t="s">
        <v>5630</v>
      </c>
    </row>
    <row r="493" spans="1:3" x14ac:dyDescent="0.3">
      <c r="A493" s="447" t="s">
        <v>5834</v>
      </c>
      <c r="B493" s="472" t="s">
        <v>3644</v>
      </c>
      <c r="C493" s="447" t="s">
        <v>5628</v>
      </c>
    </row>
    <row r="494" spans="1:3" x14ac:dyDescent="0.3">
      <c r="A494" s="447" t="s">
        <v>5834</v>
      </c>
      <c r="B494" s="472" t="s">
        <v>5466</v>
      </c>
      <c r="C494" s="471" t="s">
        <v>5630</v>
      </c>
    </row>
    <row r="495" spans="1:3" x14ac:dyDescent="0.3">
      <c r="A495" s="447" t="s">
        <v>5834</v>
      </c>
      <c r="B495" s="472" t="s">
        <v>5467</v>
      </c>
      <c r="C495" s="471" t="s">
        <v>5630</v>
      </c>
    </row>
    <row r="496" spans="1:3" x14ac:dyDescent="0.3">
      <c r="A496" s="447" t="s">
        <v>5835</v>
      </c>
      <c r="B496" s="472" t="s">
        <v>5463</v>
      </c>
      <c r="C496" s="447" t="s">
        <v>5628</v>
      </c>
    </row>
    <row r="497" spans="1:3" x14ac:dyDescent="0.3">
      <c r="A497" s="447" t="s">
        <v>5835</v>
      </c>
      <c r="B497" s="472" t="s">
        <v>5465</v>
      </c>
      <c r="C497" s="471" t="s">
        <v>5630</v>
      </c>
    </row>
    <row r="498" spans="1:3" x14ac:dyDescent="0.3">
      <c r="A498" s="447" t="s">
        <v>5836</v>
      </c>
      <c r="B498" s="475" t="s">
        <v>4727</v>
      </c>
      <c r="C498" s="447" t="s">
        <v>5628</v>
      </c>
    </row>
    <row r="499" spans="1:3" x14ac:dyDescent="0.3">
      <c r="A499" s="447" t="s">
        <v>5836</v>
      </c>
      <c r="B499" s="475" t="s">
        <v>4728</v>
      </c>
      <c r="C499" s="471" t="s">
        <v>5630</v>
      </c>
    </row>
    <row r="500" spans="1:3" x14ac:dyDescent="0.3">
      <c r="A500" s="447" t="s">
        <v>5837</v>
      </c>
      <c r="B500" s="472" t="s">
        <v>3656</v>
      </c>
      <c r="C500" s="447" t="s">
        <v>5628</v>
      </c>
    </row>
    <row r="501" spans="1:3" x14ac:dyDescent="0.3">
      <c r="A501" s="447" t="s">
        <v>5837</v>
      </c>
      <c r="B501" s="472" t="s">
        <v>3659</v>
      </c>
      <c r="C501" s="471" t="s">
        <v>5630</v>
      </c>
    </row>
    <row r="502" spans="1:3" x14ac:dyDescent="0.3">
      <c r="A502" s="447" t="s">
        <v>5838</v>
      </c>
      <c r="B502" s="472" t="s">
        <v>3658</v>
      </c>
      <c r="C502" s="471" t="s">
        <v>5630</v>
      </c>
    </row>
    <row r="503" spans="1:3" x14ac:dyDescent="0.3">
      <c r="A503" s="447" t="s">
        <v>5838</v>
      </c>
      <c r="B503" s="472" t="s">
        <v>3660</v>
      </c>
      <c r="C503" s="447" t="s">
        <v>5628</v>
      </c>
    </row>
    <row r="504" spans="1:3" x14ac:dyDescent="0.3">
      <c r="A504" s="447" t="s">
        <v>5839</v>
      </c>
      <c r="B504" s="472" t="s">
        <v>4456</v>
      </c>
      <c r="C504" s="447" t="s">
        <v>5628</v>
      </c>
    </row>
    <row r="505" spans="1:3" x14ac:dyDescent="0.3">
      <c r="A505" s="447" t="s">
        <v>5839</v>
      </c>
      <c r="B505" s="472" t="s">
        <v>4457</v>
      </c>
      <c r="C505" s="471" t="s">
        <v>5630</v>
      </c>
    </row>
    <row r="506" spans="1:3" x14ac:dyDescent="0.3">
      <c r="A506" s="447" t="s">
        <v>5840</v>
      </c>
      <c r="B506" s="472" t="s">
        <v>5440</v>
      </c>
      <c r="C506" s="471" t="s">
        <v>5630</v>
      </c>
    </row>
    <row r="507" spans="1:3" x14ac:dyDescent="0.3">
      <c r="A507" s="447" t="s">
        <v>5840</v>
      </c>
      <c r="B507" s="472" t="s">
        <v>5441</v>
      </c>
      <c r="C507" s="471" t="s">
        <v>5630</v>
      </c>
    </row>
    <row r="508" spans="1:3" x14ac:dyDescent="0.3">
      <c r="A508" s="447" t="s">
        <v>5840</v>
      </c>
      <c r="B508" s="472" t="s">
        <v>5442</v>
      </c>
      <c r="C508" s="447" t="s">
        <v>5628</v>
      </c>
    </row>
    <row r="509" spans="1:3" x14ac:dyDescent="0.3">
      <c r="A509" s="447" t="s">
        <v>5840</v>
      </c>
      <c r="B509" s="475" t="s">
        <v>3683</v>
      </c>
      <c r="C509" s="447" t="s">
        <v>5628</v>
      </c>
    </row>
    <row r="510" spans="1:3" x14ac:dyDescent="0.3">
      <c r="A510" s="447" t="s">
        <v>5840</v>
      </c>
      <c r="B510" s="475" t="s">
        <v>3684</v>
      </c>
      <c r="C510" s="471" t="s">
        <v>5630</v>
      </c>
    </row>
    <row r="511" spans="1:3" x14ac:dyDescent="0.3">
      <c r="A511" s="447" t="s">
        <v>5841</v>
      </c>
      <c r="B511" s="472" t="s">
        <v>4831</v>
      </c>
      <c r="C511" s="447" t="s">
        <v>5628</v>
      </c>
    </row>
    <row r="512" spans="1:3" x14ac:dyDescent="0.3">
      <c r="A512" s="447" t="s">
        <v>5841</v>
      </c>
      <c r="B512" s="472" t="s">
        <v>4832</v>
      </c>
      <c r="C512" s="471" t="s">
        <v>5630</v>
      </c>
    </row>
    <row r="513" spans="1:3" x14ac:dyDescent="0.3">
      <c r="A513" s="447" t="s">
        <v>5842</v>
      </c>
      <c r="B513" s="472" t="s">
        <v>4510</v>
      </c>
      <c r="C513" s="447" t="s">
        <v>5628</v>
      </c>
    </row>
    <row r="514" spans="1:3" x14ac:dyDescent="0.3">
      <c r="A514" s="447" t="s">
        <v>5842</v>
      </c>
      <c r="B514" s="472" t="s">
        <v>4512</v>
      </c>
      <c r="C514" s="471" t="s">
        <v>5630</v>
      </c>
    </row>
    <row r="515" spans="1:3" x14ac:dyDescent="0.3">
      <c r="A515" s="447" t="s">
        <v>5843</v>
      </c>
      <c r="B515" s="475" t="s">
        <v>5169</v>
      </c>
      <c r="C515" s="447" t="s">
        <v>5628</v>
      </c>
    </row>
    <row r="516" spans="1:3" x14ac:dyDescent="0.3">
      <c r="A516" s="447" t="s">
        <v>5843</v>
      </c>
      <c r="B516" s="475" t="s">
        <v>5170</v>
      </c>
      <c r="C516" s="471" t="s">
        <v>5630</v>
      </c>
    </row>
    <row r="517" spans="1:3" x14ac:dyDescent="0.3">
      <c r="A517" s="447" t="s">
        <v>5843</v>
      </c>
      <c r="B517" s="475" t="s">
        <v>5171</v>
      </c>
      <c r="C517" s="471" t="s">
        <v>5630</v>
      </c>
    </row>
    <row r="518" spans="1:3" x14ac:dyDescent="0.3">
      <c r="A518" s="447" t="s">
        <v>5844</v>
      </c>
      <c r="B518" s="475" t="s">
        <v>4520</v>
      </c>
      <c r="C518" s="447" t="s">
        <v>5628</v>
      </c>
    </row>
    <row r="519" spans="1:3" x14ac:dyDescent="0.3">
      <c r="A519" s="447" t="s">
        <v>5844</v>
      </c>
      <c r="B519" s="475" t="s">
        <v>4521</v>
      </c>
      <c r="C519" s="471" t="s">
        <v>5630</v>
      </c>
    </row>
    <row r="520" spans="1:3" x14ac:dyDescent="0.3">
      <c r="A520" s="447" t="s">
        <v>5844</v>
      </c>
      <c r="B520" s="475" t="s">
        <v>4522</v>
      </c>
      <c r="C520" s="471" t="s">
        <v>5630</v>
      </c>
    </row>
    <row r="521" spans="1:3" x14ac:dyDescent="0.3">
      <c r="A521" s="447" t="s">
        <v>5845</v>
      </c>
      <c r="B521" s="475" t="s">
        <v>4524</v>
      </c>
      <c r="C521" s="447" t="s">
        <v>5628</v>
      </c>
    </row>
    <row r="522" spans="1:3" x14ac:dyDescent="0.3">
      <c r="A522" s="447" t="s">
        <v>5845</v>
      </c>
      <c r="B522" s="475" t="s">
        <v>4525</v>
      </c>
      <c r="C522" s="471" t="s">
        <v>5630</v>
      </c>
    </row>
    <row r="523" spans="1:3" x14ac:dyDescent="0.3">
      <c r="A523" s="447" t="s">
        <v>5846</v>
      </c>
      <c r="B523" s="472" t="s">
        <v>5400</v>
      </c>
      <c r="C523" s="447" t="s">
        <v>5628</v>
      </c>
    </row>
    <row r="524" spans="1:3" x14ac:dyDescent="0.3">
      <c r="A524" s="447" t="s">
        <v>5846</v>
      </c>
      <c r="B524" s="472" t="s">
        <v>5399</v>
      </c>
      <c r="C524" s="471" t="s">
        <v>5630</v>
      </c>
    </row>
    <row r="525" spans="1:3" x14ac:dyDescent="0.3">
      <c r="A525" s="447" t="s">
        <v>5847</v>
      </c>
      <c r="B525" s="472" t="s">
        <v>3501</v>
      </c>
      <c r="C525" s="447" t="s">
        <v>5628</v>
      </c>
    </row>
    <row r="526" spans="1:3" x14ac:dyDescent="0.3">
      <c r="A526" s="447" t="s">
        <v>5847</v>
      </c>
      <c r="B526" s="472" t="s">
        <v>3509</v>
      </c>
      <c r="C526" s="471" t="s">
        <v>5630</v>
      </c>
    </row>
    <row r="527" spans="1:3" x14ac:dyDescent="0.3">
      <c r="B527" s="477"/>
    </row>
    <row r="528" spans="1:3" x14ac:dyDescent="0.3">
      <c r="B528" s="477"/>
    </row>
    <row r="529" spans="2:2" x14ac:dyDescent="0.3">
      <c r="B529" s="477"/>
    </row>
    <row r="530" spans="2:2" x14ac:dyDescent="0.3">
      <c r="B530" s="477"/>
    </row>
    <row r="531" spans="2:2" x14ac:dyDescent="0.3">
      <c r="B531" s="477"/>
    </row>
    <row r="532" spans="2:2" x14ac:dyDescent="0.3">
      <c r="B532" s="477"/>
    </row>
    <row r="533" spans="2:2" x14ac:dyDescent="0.3">
      <c r="B533" s="477"/>
    </row>
    <row r="534" spans="2:2" x14ac:dyDescent="0.3">
      <c r="B534" s="477"/>
    </row>
    <row r="535" spans="2:2" x14ac:dyDescent="0.3">
      <c r="B535" s="477"/>
    </row>
    <row r="536" spans="2:2" x14ac:dyDescent="0.3">
      <c r="B536" s="477"/>
    </row>
    <row r="537" spans="2:2" x14ac:dyDescent="0.3">
      <c r="B537" s="477"/>
    </row>
    <row r="538" spans="2:2" x14ac:dyDescent="0.3">
      <c r="B538" s="477"/>
    </row>
    <row r="539" spans="2:2" x14ac:dyDescent="0.3">
      <c r="B539" s="477"/>
    </row>
    <row r="540" spans="2:2" x14ac:dyDescent="0.3">
      <c r="B540" s="477"/>
    </row>
    <row r="541" spans="2:2" x14ac:dyDescent="0.3">
      <c r="B541" s="477"/>
    </row>
    <row r="542" spans="2:2" x14ac:dyDescent="0.3">
      <c r="B542" s="477"/>
    </row>
    <row r="543" spans="2:2" x14ac:dyDescent="0.3">
      <c r="B543" s="477"/>
    </row>
    <row r="544" spans="2:2" x14ac:dyDescent="0.3">
      <c r="B544" s="477"/>
    </row>
    <row r="545" spans="2:2" x14ac:dyDescent="0.3">
      <c r="B545" s="477"/>
    </row>
    <row r="546" spans="2:2" x14ac:dyDescent="0.3">
      <c r="B546" s="477"/>
    </row>
    <row r="547" spans="2:2" x14ac:dyDescent="0.3">
      <c r="B547" s="477"/>
    </row>
    <row r="548" spans="2:2" x14ac:dyDescent="0.3">
      <c r="B548" s="477"/>
    </row>
    <row r="549" spans="2:2" x14ac:dyDescent="0.3">
      <c r="B549" s="477"/>
    </row>
    <row r="550" spans="2:2" x14ac:dyDescent="0.3">
      <c r="B550" s="477"/>
    </row>
    <row r="551" spans="2:2" x14ac:dyDescent="0.3">
      <c r="B551" s="477"/>
    </row>
    <row r="552" spans="2:2" x14ac:dyDescent="0.3">
      <c r="B552" s="477"/>
    </row>
    <row r="553" spans="2:2" x14ac:dyDescent="0.3">
      <c r="B553" s="477"/>
    </row>
    <row r="554" spans="2:2" x14ac:dyDescent="0.3">
      <c r="B554" s="477"/>
    </row>
    <row r="555" spans="2:2" x14ac:dyDescent="0.3">
      <c r="B555" s="477"/>
    </row>
    <row r="556" spans="2:2" x14ac:dyDescent="0.3">
      <c r="B556" s="477"/>
    </row>
    <row r="557" spans="2:2" x14ac:dyDescent="0.3">
      <c r="B557" s="477"/>
    </row>
    <row r="558" spans="2:2" x14ac:dyDescent="0.3">
      <c r="B558" s="477"/>
    </row>
    <row r="559" spans="2:2" x14ac:dyDescent="0.3">
      <c r="B559" s="477"/>
    </row>
    <row r="560" spans="2:2" x14ac:dyDescent="0.3">
      <c r="B560" s="477"/>
    </row>
    <row r="561" spans="2:2" x14ac:dyDescent="0.3">
      <c r="B561" s="477"/>
    </row>
    <row r="562" spans="2:2" x14ac:dyDescent="0.3">
      <c r="B562" s="477"/>
    </row>
    <row r="563" spans="2:2" x14ac:dyDescent="0.3">
      <c r="B563" s="477"/>
    </row>
    <row r="564" spans="2:2" x14ac:dyDescent="0.3">
      <c r="B564" s="477"/>
    </row>
    <row r="565" spans="2:2" x14ac:dyDescent="0.3">
      <c r="B565" s="477"/>
    </row>
    <row r="566" spans="2:2" x14ac:dyDescent="0.3">
      <c r="B566" s="477"/>
    </row>
    <row r="567" spans="2:2" x14ac:dyDescent="0.3">
      <c r="B567" s="477"/>
    </row>
    <row r="568" spans="2:2" x14ac:dyDescent="0.3">
      <c r="B568" s="477"/>
    </row>
    <row r="569" spans="2:2" x14ac:dyDescent="0.3">
      <c r="B569" s="477"/>
    </row>
    <row r="570" spans="2:2" x14ac:dyDescent="0.3">
      <c r="B570" s="477"/>
    </row>
    <row r="571" spans="2:2" x14ac:dyDescent="0.3">
      <c r="B571" s="477"/>
    </row>
    <row r="572" spans="2:2" x14ac:dyDescent="0.3">
      <c r="B572" s="477"/>
    </row>
    <row r="573" spans="2:2" x14ac:dyDescent="0.3">
      <c r="B573" s="477"/>
    </row>
    <row r="574" spans="2:2" x14ac:dyDescent="0.3">
      <c r="B574" s="477"/>
    </row>
    <row r="575" spans="2:2" x14ac:dyDescent="0.3">
      <c r="B575" s="477"/>
    </row>
    <row r="576" spans="2:2" x14ac:dyDescent="0.3">
      <c r="B576" s="477"/>
    </row>
    <row r="577" spans="2:2" x14ac:dyDescent="0.3">
      <c r="B577" s="477"/>
    </row>
    <row r="578" spans="2:2" x14ac:dyDescent="0.3">
      <c r="B578" s="477"/>
    </row>
    <row r="579" spans="2:2" x14ac:dyDescent="0.3">
      <c r="B579" s="477"/>
    </row>
    <row r="580" spans="2:2" x14ac:dyDescent="0.3">
      <c r="B580" s="477"/>
    </row>
    <row r="581" spans="2:2" x14ac:dyDescent="0.3">
      <c r="B581" s="477"/>
    </row>
    <row r="582" spans="2:2" x14ac:dyDescent="0.3">
      <c r="B582" s="477"/>
    </row>
    <row r="583" spans="2:2" x14ac:dyDescent="0.3">
      <c r="B583" s="477"/>
    </row>
    <row r="584" spans="2:2" x14ac:dyDescent="0.3">
      <c r="B584" s="477"/>
    </row>
    <row r="585" spans="2:2" x14ac:dyDescent="0.3">
      <c r="B585" s="477"/>
    </row>
    <row r="586" spans="2:2" x14ac:dyDescent="0.3">
      <c r="B586" s="477"/>
    </row>
    <row r="587" spans="2:2" x14ac:dyDescent="0.3">
      <c r="B587" s="477"/>
    </row>
    <row r="588" spans="2:2" x14ac:dyDescent="0.3">
      <c r="B588" s="477"/>
    </row>
    <row r="589" spans="2:2" x14ac:dyDescent="0.3">
      <c r="B589" s="477"/>
    </row>
    <row r="590" spans="2:2" x14ac:dyDescent="0.3">
      <c r="B590" s="477"/>
    </row>
    <row r="591" spans="2:2" x14ac:dyDescent="0.3">
      <c r="B591" s="477"/>
    </row>
    <row r="592" spans="2:2" x14ac:dyDescent="0.3">
      <c r="B592" s="477"/>
    </row>
    <row r="593" spans="2:2" x14ac:dyDescent="0.3">
      <c r="B593" s="477"/>
    </row>
    <row r="594" spans="2:2" x14ac:dyDescent="0.3">
      <c r="B594" s="477"/>
    </row>
    <row r="595" spans="2:2" x14ac:dyDescent="0.3">
      <c r="B595" s="477"/>
    </row>
    <row r="596" spans="2:2" x14ac:dyDescent="0.3">
      <c r="B596" s="477"/>
    </row>
    <row r="597" spans="2:2" x14ac:dyDescent="0.3">
      <c r="B597" s="477"/>
    </row>
    <row r="598" spans="2:2" x14ac:dyDescent="0.3">
      <c r="B598" s="477"/>
    </row>
    <row r="599" spans="2:2" x14ac:dyDescent="0.3">
      <c r="B599" s="477"/>
    </row>
    <row r="600" spans="2:2" x14ac:dyDescent="0.3">
      <c r="B600" s="477"/>
    </row>
    <row r="601" spans="2:2" x14ac:dyDescent="0.3">
      <c r="B601" s="477"/>
    </row>
    <row r="602" spans="2:2" x14ac:dyDescent="0.3">
      <c r="B602" s="477"/>
    </row>
    <row r="603" spans="2:2" x14ac:dyDescent="0.3">
      <c r="B603" s="477"/>
    </row>
    <row r="604" spans="2:2" x14ac:dyDescent="0.3">
      <c r="B604" s="477"/>
    </row>
    <row r="605" spans="2:2" x14ac:dyDescent="0.3">
      <c r="B605" s="477"/>
    </row>
    <row r="606" spans="2:2" x14ac:dyDescent="0.3">
      <c r="B606" s="477"/>
    </row>
    <row r="607" spans="2:2" x14ac:dyDescent="0.3">
      <c r="B607" s="477"/>
    </row>
    <row r="608" spans="2:2" x14ac:dyDescent="0.3">
      <c r="B608" s="477"/>
    </row>
    <row r="609" spans="2:2" x14ac:dyDescent="0.3">
      <c r="B609" s="477"/>
    </row>
    <row r="610" spans="2:2" x14ac:dyDescent="0.3">
      <c r="B610" s="477"/>
    </row>
    <row r="611" spans="2:2" x14ac:dyDescent="0.3">
      <c r="B611" s="477"/>
    </row>
    <row r="612" spans="2:2" x14ac:dyDescent="0.3">
      <c r="B612" s="477"/>
    </row>
    <row r="613" spans="2:2" x14ac:dyDescent="0.3">
      <c r="B613" s="477"/>
    </row>
    <row r="614" spans="2:2" x14ac:dyDescent="0.3">
      <c r="B614" s="477"/>
    </row>
    <row r="615" spans="2:2" x14ac:dyDescent="0.3">
      <c r="B615" s="477"/>
    </row>
    <row r="616" spans="2:2" x14ac:dyDescent="0.3">
      <c r="B616" s="477"/>
    </row>
    <row r="617" spans="2:2" x14ac:dyDescent="0.3">
      <c r="B617" s="477"/>
    </row>
    <row r="618" spans="2:2" x14ac:dyDescent="0.3">
      <c r="B618" s="477"/>
    </row>
    <row r="619" spans="2:2" x14ac:dyDescent="0.3">
      <c r="B619" s="477"/>
    </row>
    <row r="620" spans="2:2" x14ac:dyDescent="0.3">
      <c r="B620" s="477"/>
    </row>
    <row r="621" spans="2:2" x14ac:dyDescent="0.3">
      <c r="B621" s="477"/>
    </row>
    <row r="622" spans="2:2" x14ac:dyDescent="0.3">
      <c r="B622" s="477"/>
    </row>
    <row r="623" spans="2:2" x14ac:dyDescent="0.3">
      <c r="B623" s="477"/>
    </row>
    <row r="624" spans="2:2" x14ac:dyDescent="0.3">
      <c r="B624" s="477"/>
    </row>
    <row r="625" spans="2:2" x14ac:dyDescent="0.3">
      <c r="B625" s="477"/>
    </row>
    <row r="626" spans="2:2" x14ac:dyDescent="0.3">
      <c r="B626" s="477"/>
    </row>
    <row r="627" spans="2:2" x14ac:dyDescent="0.3">
      <c r="B627" s="477"/>
    </row>
    <row r="628" spans="2:2" x14ac:dyDescent="0.3">
      <c r="B628" s="477"/>
    </row>
    <row r="629" spans="2:2" x14ac:dyDescent="0.3">
      <c r="B629" s="47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480"/>
    <col min="2" max="3" width="10.5546875" bestFit="1" customWidth="1"/>
    <col min="4" max="4" width="21.5546875" bestFit="1" customWidth="1"/>
  </cols>
  <sheetData>
    <row r="1" spans="1:4" x14ac:dyDescent="0.3">
      <c r="A1" s="481" t="s">
        <v>5848</v>
      </c>
      <c r="B1" t="s">
        <v>5857</v>
      </c>
      <c r="C1" t="s">
        <v>5858</v>
      </c>
      <c r="D1" t="s">
        <v>5859</v>
      </c>
    </row>
    <row r="2" spans="1:4" x14ac:dyDescent="0.3">
      <c r="A2" s="483" t="s">
        <v>5849</v>
      </c>
      <c r="B2" s="485">
        <v>2</v>
      </c>
      <c r="C2" s="486">
        <v>5</v>
      </c>
      <c r="D2" s="489">
        <v>20</v>
      </c>
    </row>
    <row r="3" spans="1:4" x14ac:dyDescent="0.25">
      <c r="A3" s="484" t="s">
        <v>5850</v>
      </c>
      <c r="B3" s="487">
        <v>30</v>
      </c>
      <c r="C3" s="488">
        <v>60</v>
      </c>
      <c r="D3" s="490">
        <v>20</v>
      </c>
    </row>
    <row r="4" spans="1:4" x14ac:dyDescent="0.25">
      <c r="A4" s="484" t="s">
        <v>5851</v>
      </c>
      <c r="B4" s="487">
        <v>120</v>
      </c>
      <c r="C4" s="488">
        <v>200</v>
      </c>
      <c r="D4" s="490">
        <v>30</v>
      </c>
    </row>
    <row r="5" spans="1:4" x14ac:dyDescent="0.25">
      <c r="A5" s="484" t="s">
        <v>5852</v>
      </c>
      <c r="B5" s="487">
        <v>175</v>
      </c>
      <c r="C5" s="488">
        <v>250</v>
      </c>
      <c r="D5" s="490">
        <v>30</v>
      </c>
    </row>
    <row r="6" spans="1:4" x14ac:dyDescent="0.25">
      <c r="A6" s="484" t="s">
        <v>5853</v>
      </c>
      <c r="B6" s="487">
        <v>2.5</v>
      </c>
      <c r="C6" s="488">
        <v>5</v>
      </c>
      <c r="D6" s="490">
        <v>20</v>
      </c>
    </row>
    <row r="7" spans="1:4" x14ac:dyDescent="0.25">
      <c r="A7" s="484" t="s">
        <v>5854</v>
      </c>
      <c r="B7" s="487">
        <v>300</v>
      </c>
      <c r="C7" s="488">
        <v>500</v>
      </c>
      <c r="D7" s="490">
        <v>20</v>
      </c>
    </row>
    <row r="8" spans="1:4" x14ac:dyDescent="0.25">
      <c r="A8" s="484" t="s">
        <v>5855</v>
      </c>
      <c r="B8" s="487">
        <v>260</v>
      </c>
      <c r="C8" s="488">
        <v>600</v>
      </c>
      <c r="D8" s="490">
        <v>30</v>
      </c>
    </row>
    <row r="9" spans="1:4" x14ac:dyDescent="0.25">
      <c r="A9" s="484" t="s">
        <v>5856</v>
      </c>
      <c r="B9" s="487">
        <v>130</v>
      </c>
      <c r="C9" s="488">
        <v>200</v>
      </c>
      <c r="D9" s="490">
        <v>30</v>
      </c>
    </row>
    <row r="10" spans="1:4" x14ac:dyDescent="0.3">
      <c r="A10" s="482"/>
    </row>
  </sheetData>
  <phoneticPr fontId="3" type="noConversion"/>
  <conditionalFormatting sqref="A2:A9">
    <cfRule type="cellIs" dxfId="32" priority="3" operator="equal">
      <formula>"P"</formula>
    </cfRule>
  </conditionalFormatting>
  <conditionalFormatting sqref="B9:C9">
    <cfRule type="cellIs" dxfId="31" priority="2" operator="equal">
      <formula>"ND "</formula>
    </cfRule>
  </conditionalFormatting>
  <conditionalFormatting sqref="B2:C3">
    <cfRule type="cellIs" dxfId="30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2025-12-29T09:20:09Z</dcterms:modified>
</cp:coreProperties>
</file>